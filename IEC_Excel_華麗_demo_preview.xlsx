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摘要 (華麗版)" sheetId="1" state="visible" r:id="rId1"/>
  </sheets>
  <definedNames>
    <definedName name="_xlnm.Print_Area" localSheetId="0">'專案摘要 (華麗版)'!$A$1:$N$32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%"/>
  </numFmts>
  <fonts count="12">
    <font>
      <name val="Calibri"/>
      <family val="2"/>
      <color theme="1"/>
      <sz val="11"/>
      <scheme val="minor"/>
    </font>
    <font>
      <name val="Microsoft JhengHei"/>
      <b val="1"/>
      <color rgb="00FFFFFF"/>
      <sz val="22"/>
    </font>
    <font>
      <name val="Microsoft JhengHei"/>
      <i val="1"/>
      <color rgb="00595959"/>
      <sz val="10"/>
    </font>
    <font>
      <name val="Microsoft JhengHei"/>
      <b val="1"/>
      <color rgb="001F3864"/>
      <sz val="12"/>
    </font>
    <font>
      <name val="Microsoft JhengHei"/>
      <color rgb="00595959"/>
      <sz val="10"/>
    </font>
    <font>
      <name val="Calibri"/>
      <b val="1"/>
      <color rgb="00BF8F00"/>
      <sz val="24"/>
    </font>
    <font>
      <name val="Microsoft JhengHei"/>
      <i val="1"/>
      <color rgb="00808080"/>
      <sz val="9"/>
    </font>
    <font>
      <name val="Calibri"/>
      <b val="1"/>
      <color rgb="001F3864"/>
      <sz val="24"/>
    </font>
    <font>
      <name val="Calibri"/>
      <b val="1"/>
      <color rgb="0070AD47"/>
      <sz val="24"/>
    </font>
    <font>
      <name val="Calibri"/>
      <b val="1"/>
      <color rgb="00C00000"/>
      <sz val="24"/>
    </font>
    <font>
      <name val="Microsoft JhengHei"/>
      <b val="1"/>
      <color rgb="00FFFFFF"/>
      <sz val="10"/>
    </font>
    <font>
      <name val="Microsoft JhengHei"/>
      <b val="1"/>
      <sz val="10"/>
    </font>
  </fonts>
  <fills count="11">
    <fill>
      <patternFill/>
    </fill>
    <fill>
      <patternFill patternType="gray125"/>
    </fill>
    <fill>
      <gradientFill type="linear" degree="30">
        <stop position="0">
          <color rgb="001F3864"/>
        </stop>
        <stop position="0.5">
          <color rgb="002E5395"/>
        </stop>
        <stop position="1">
          <color rgb="003A5BA0"/>
        </stop>
      </gradientFill>
    </fill>
    <fill>
      <patternFill patternType="solid">
        <fgColor rgb="00F2F4F8"/>
      </patternFill>
    </fill>
    <fill>
      <patternFill patternType="solid">
        <fgColor rgb="00BF8F00"/>
      </patternFill>
    </fill>
    <fill>
      <patternFill patternType="solid">
        <fgColor rgb="00FFFFFF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9">
    <border>
      <left/>
      <right/>
      <top/>
      <bottom/>
      <diagonal/>
    </border>
    <border>
      <bottom style="thick">
        <color rgb="00BF8F00"/>
      </bottom>
    </border>
    <border>
      <left style="thick">
        <color rgb="00BF8F00"/>
      </left>
      <top style="thin">
        <color rgb="00D0D7E2"/>
      </top>
    </border>
    <border>
      <left style="thick">
        <color rgb="00BF8F00"/>
      </left>
    </border>
    <border>
      <left style="thick">
        <color rgb="00BF8F00"/>
      </left>
      <bottom style="thin">
        <color rgb="00D0D7E2"/>
      </bottom>
    </border>
    <border>
      <left/>
      <right/>
      <top style="thin">
        <color rgb="00D0D7E2"/>
      </top>
      <bottom/>
    </border>
    <border>
      <left/>
      <right style="thin">
        <color rgb="00D0D7E2"/>
      </right>
      <top style="thin">
        <color rgb="00D0D7E2"/>
      </top>
      <bottom/>
    </border>
    <border>
      <left/>
      <right/>
      <top/>
      <bottom/>
    </border>
    <border>
      <left/>
      <right style="thin">
        <color rgb="00D0D7E2"/>
      </right>
      <top/>
      <bottom/>
    </border>
    <border>
      <left/>
      <right/>
      <top/>
      <bottom style="thin">
        <color rgb="00D0D7E2"/>
      </bottom>
    </border>
    <border>
      <left/>
      <right style="thin">
        <color rgb="00D0D7E2"/>
      </right>
      <top/>
      <bottom style="thin">
        <color rgb="00D0D7E2"/>
      </bottom>
    </border>
    <border>
      <left style="thick">
        <color rgb="00BF8F00"/>
      </left>
      <right style="thin">
        <color rgb="00D0D7E2"/>
      </right>
      <top style="thin">
        <color rgb="00D0D7E2"/>
      </top>
      <bottom/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 style="thick">
        <color rgb="00BF8F00"/>
      </left>
      <right/>
      <bottom/>
    </border>
    <border>
      <left style="thick">
        <color rgb="00BF8F00"/>
      </left>
      <right style="thin">
        <color rgb="00D0D7E2"/>
      </right>
      <bottom style="thin">
        <color rgb="00D0D7E2"/>
      </bottom>
    </border>
    <border>
      <left/>
      <right style="thin">
        <color rgb="00D0D7E2"/>
      </right>
      <top/>
      <bottom/>
      <diagonal/>
    </border>
    <border>
      <left/>
      <right/>
      <top/>
      <bottom style="thin">
        <color rgb="00D0D7E2"/>
      </bottom>
      <diagonal/>
    </border>
    <border>
      <left/>
      <right style="thin">
        <color rgb="00D0D7E2"/>
      </right>
      <top/>
      <bottom style="thin">
        <color rgb="00D0D7E2"/>
      </bottom>
      <diagonal/>
    </border>
    <border>
      <left style="thick">
        <color rgb="002E5395"/>
      </left>
      <top style="thin">
        <color rgb="00D0D7E2"/>
      </top>
    </border>
    <border>
      <left style="thick">
        <color rgb="002E5395"/>
      </left>
    </border>
    <border>
      <left style="thick">
        <color rgb="002E5395"/>
      </left>
      <bottom style="thin">
        <color rgb="00D0D7E2"/>
      </bottom>
    </border>
    <border>
      <left style="thick">
        <color rgb="002E5395"/>
      </left>
      <right style="thin">
        <color rgb="00D0D7E2"/>
      </right>
      <top style="thin">
        <color rgb="00D0D7E2"/>
      </top>
      <bottom/>
    </border>
    <border>
      <left style="thick">
        <color rgb="002E5395"/>
      </left>
      <right/>
      <bottom/>
    </border>
    <border>
      <left style="thick">
        <color rgb="002E5395"/>
      </left>
      <right style="thin">
        <color rgb="00D0D7E2"/>
      </right>
      <bottom style="thin">
        <color rgb="00D0D7E2"/>
      </bottom>
    </border>
    <border>
      <left style="thick">
        <color rgb="0070AD47"/>
      </left>
      <top style="thin">
        <color rgb="00D0D7E2"/>
      </top>
    </border>
    <border>
      <left style="thick">
        <color rgb="0070AD47"/>
      </left>
    </border>
    <border>
      <left style="thick">
        <color rgb="0070AD47"/>
      </left>
      <bottom style="thin">
        <color rgb="00D0D7E2"/>
      </bottom>
    </border>
    <border>
      <left style="thick">
        <color rgb="0070AD47"/>
      </left>
      <right style="thin">
        <color rgb="00D0D7E2"/>
      </right>
      <top style="thin">
        <color rgb="00D0D7E2"/>
      </top>
      <bottom/>
    </border>
    <border>
      <left style="thick">
        <color rgb="0070AD47"/>
      </left>
      <right/>
      <bottom/>
    </border>
    <border>
      <left style="thick">
        <color rgb="0070AD47"/>
      </left>
      <right style="thin">
        <color rgb="00D0D7E2"/>
      </right>
      <bottom style="thin">
        <color rgb="00D0D7E2"/>
      </bottom>
    </border>
    <border>
      <left style="thick">
        <color rgb="00C00000"/>
      </left>
      <top style="thin">
        <color rgb="00D0D7E2"/>
      </top>
    </border>
    <border>
      <left style="thick">
        <color rgb="00C00000"/>
      </left>
    </border>
    <border>
      <left style="thick">
        <color rgb="00C00000"/>
      </left>
      <bottom style="thin">
        <color rgb="00D0D7E2"/>
      </bottom>
    </border>
    <border>
      <left style="thick">
        <color rgb="00C00000"/>
      </left>
      <right style="thin">
        <color rgb="00D0D7E2"/>
      </right>
      <top style="thin">
        <color rgb="00D0D7E2"/>
      </top>
      <bottom/>
    </border>
    <border>
      <left style="thick">
        <color rgb="00C00000"/>
      </left>
      <right/>
      <bottom/>
    </border>
    <border>
      <left style="thick">
        <color rgb="00C00000"/>
      </left>
      <right style="thin">
        <color rgb="00D0D7E2"/>
      </right>
      <bottom style="thin">
        <color rgb="00D0D7E2"/>
      </bottom>
    </border>
    <border>
      <bottom style="medium">
        <color rgb="001F3864"/>
      </bottom>
    </border>
    <border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right" vertical="center" indent="2"/>
    </xf>
    <xf numFmtId="0" fontId="0" fillId="4" borderId="0" pivotButton="0" quotePrefix="0" xfId="0"/>
    <xf numFmtId="0" fontId="3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5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4" fillId="5" borderId="22" applyAlignment="1" pivotButton="0" quotePrefix="0" xfId="0">
      <alignment horizontal="left" vertical="center" indent="1"/>
    </xf>
    <xf numFmtId="0" fontId="4" fillId="5" borderId="28" applyAlignment="1" pivotButton="0" quotePrefix="0" xfId="0">
      <alignment horizontal="left" vertical="center" indent="1"/>
    </xf>
    <xf numFmtId="0" fontId="4" fillId="5" borderId="34" applyAlignment="1" pivotButton="0" quotePrefix="0" xfId="0">
      <alignment horizontal="left" vertical="center" indent="1"/>
    </xf>
    <xf numFmtId="164" fontId="5" fillId="5" borderId="14" applyAlignment="1" pivotButton="0" quotePrefix="0" xfId="0">
      <alignment horizontal="right" vertical="center"/>
    </xf>
    <xf numFmtId="0" fontId="4" fillId="5" borderId="8" applyAlignment="1" pivotButton="0" quotePrefix="0" xfId="0">
      <alignment horizontal="left" vertical="bottom" indent="1"/>
    </xf>
    <xf numFmtId="164" fontId="7" fillId="5" borderId="23" applyAlignment="1" pivotButton="0" quotePrefix="0" xfId="0">
      <alignment horizontal="right" vertical="center"/>
    </xf>
    <xf numFmtId="165" fontId="8" fillId="5" borderId="29" applyAlignment="1" pivotButton="0" quotePrefix="0" xfId="0">
      <alignment horizontal="right" vertical="center"/>
    </xf>
    <xf numFmtId="164" fontId="9" fillId="5" borderId="35" applyAlignment="1" pivotButton="0" quotePrefix="0" xfId="0">
      <alignment horizontal="right" vertical="center"/>
    </xf>
    <xf numFmtId="0" fontId="6" fillId="5" borderId="15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6" fillId="5" borderId="24" applyAlignment="1" pivotButton="0" quotePrefix="0" xfId="0">
      <alignment horizontal="left" vertical="center" indent="1"/>
    </xf>
    <xf numFmtId="0" fontId="6" fillId="5" borderId="30" applyAlignment="1" pivotButton="0" quotePrefix="0" xfId="0">
      <alignment horizontal="left" vertical="center" indent="1"/>
    </xf>
    <xf numFmtId="0" fontId="6" fillId="5" borderId="36" applyAlignment="1" pivotButton="0" quotePrefix="0" xfId="0">
      <alignment horizontal="left" vertical="center" indent="1"/>
    </xf>
    <xf numFmtId="0" fontId="10" fillId="6" borderId="37" applyAlignment="1" pivotButton="0" quotePrefix="0" xfId="0">
      <alignment horizontal="center" vertical="center"/>
    </xf>
    <xf numFmtId="0" fontId="0" fillId="8" borderId="38" applyAlignment="1" pivotButton="0" quotePrefix="0" xfId="0">
      <alignment horizontal="left" vertical="center" indent="1"/>
    </xf>
    <xf numFmtId="0" fontId="0" fillId="8" borderId="38" applyAlignment="1" pivotButton="0" quotePrefix="0" xfId="0">
      <alignment horizontal="center" vertical="center"/>
    </xf>
    <xf numFmtId="165" fontId="0" fillId="8" borderId="38" applyAlignment="1" pivotButton="0" quotePrefix="0" xfId="0">
      <alignment horizontal="center" vertical="center"/>
    </xf>
    <xf numFmtId="3" fontId="0" fillId="8" borderId="38" applyAlignment="1" pivotButton="0" quotePrefix="0" xfId="0">
      <alignment horizontal="right" vertical="center" indent="1"/>
    </xf>
    <xf numFmtId="0" fontId="11" fillId="7" borderId="38" applyAlignment="1" pivotButton="0" quotePrefix="0" xfId="0">
      <alignment horizontal="center" vertical="center"/>
    </xf>
    <xf numFmtId="0" fontId="0" fillId="0" borderId="38" applyAlignment="1" pivotButton="0" quotePrefix="0" xfId="0">
      <alignment horizontal="left" vertical="center" indent="1"/>
    </xf>
    <xf numFmtId="0" fontId="0" fillId="0" borderId="38" applyAlignment="1" pivotButton="0" quotePrefix="0" xfId="0">
      <alignment horizontal="center" vertical="center"/>
    </xf>
    <xf numFmtId="165" fontId="0" fillId="0" borderId="38" applyAlignment="1" pivotButton="0" quotePrefix="0" xfId="0">
      <alignment horizontal="center" vertical="center"/>
    </xf>
    <xf numFmtId="3" fontId="0" fillId="0" borderId="38" applyAlignment="1" pivotButton="0" quotePrefix="0" xfId="0">
      <alignment horizontal="right" vertical="center" indent="1"/>
    </xf>
    <xf numFmtId="0" fontId="11" fillId="9" borderId="38" applyAlignment="1" pivotButton="0" quotePrefix="0" xfId="0">
      <alignment horizontal="center" vertical="center"/>
    </xf>
    <xf numFmtId="0" fontId="11" fillId="10" borderId="3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材料重量分佈 (kg)</a:t>
            </a:r>
          </a:p>
        </rich>
      </tx>
    </title>
    <plotArea>
      <doughnutChart>
        <varyColors val="1"/>
        <ser>
          <idx val="0"/>
          <order val="0"/>
          <tx>
            <strRef>
              <f>'專案摘要 (華麗版)'!Q30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539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A5BA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B923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cat>
            <numRef>
              <f>'專案摘要 (華麗版)'!$P$31:$P$36</f>
            </numRef>
          </cat>
          <val>
            <numRef>
              <f>'專案摘要 (華麗版)'!$Q$31:$Q$36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重型支撐 Top 5 (kg)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'專案摘要 (華麗版)'!Q40</f>
            </strRef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prstDash val="solid"/>
            </a:ln>
          </spPr>
          <cat>
            <numRef>
              <f>'專案摘要 (華麗版)'!$P$41:$P$45</f>
            </numRef>
          </cat>
          <val>
            <numRef>
              <f>'專案摘要 (華麗版)'!$Q$41:$Q$45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3780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3960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Q4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9" customWidth="1" min="3" max="3"/>
    <col width="5" customWidth="1" min="4" max="4"/>
    <col width="15" customWidth="1" min="5" max="5"/>
    <col width="9" customWidth="1" min="6" max="6"/>
    <col width="5" customWidth="1" min="7" max="7"/>
    <col width="15" customWidth="1" min="8" max="8"/>
    <col width="9" customWidth="1" min="9" max="9"/>
    <col width="5" customWidth="1" min="10" max="10"/>
    <col width="15" customWidth="1" min="11" max="11"/>
    <col width="9" customWidth="1" min="12" max="12"/>
    <col width="5" customWidth="1" min="13" max="13"/>
    <col width="2.5" customWidth="1" min="14" max="14"/>
  </cols>
  <sheetData>
    <row r="1" ht="30" customHeight="1">
      <c r="A1" s="1" t="inlineStr">
        <is>
          <t>IEC 管架支撐 ·  專案材料統計總覽</t>
        </is>
      </c>
    </row>
    <row r="2" ht="22" customHeight="1"/>
    <row r="3" ht="20" customHeight="1">
      <c r="A3" s="2" t="inlineStr">
        <is>
          <t>製表 2026-06-01     全案總重 5,360.00 kg     支撐 1,045 組     材料 74 項     資料狀態 87 項待確認</t>
        </is>
      </c>
    </row>
    <row r="4" ht="4" customHeight="1">
      <c r="A4" s="3" t="n"/>
    </row>
    <row r="6" ht="24" customHeight="1">
      <c r="B6" s="4" t="inlineStr">
        <is>
          <t>▌  關鍵指標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18" customHeight="1">
      <c r="B7" s="6" t="inlineStr">
        <is>
          <t>◆  全案總重</t>
        </is>
      </c>
      <c r="C7" s="7" t="n"/>
      <c r="D7" s="8" t="n"/>
      <c r="E7" s="9" t="inlineStr">
        <is>
          <t>●  支撐組數</t>
        </is>
      </c>
      <c r="F7" s="7" t="n"/>
      <c r="G7" s="8" t="n"/>
      <c r="H7" s="10" t="inlineStr">
        <is>
          <t>▲  平均使用率</t>
        </is>
      </c>
      <c r="I7" s="7" t="n"/>
      <c r="J7" s="8" t="n"/>
      <c r="K7" s="11" t="inlineStr">
        <is>
          <t>⚠  需確認項目</t>
        </is>
      </c>
      <c r="L7" s="7" t="n"/>
      <c r="M7" s="8" t="n"/>
    </row>
    <row r="8" ht="34" customHeight="1">
      <c r="B8" s="12" t="n">
        <v>5360</v>
      </c>
      <c r="D8" s="13" t="inlineStr">
        <is>
          <t>kg</t>
        </is>
      </c>
      <c r="E8" s="14" t="n">
        <v>1045</v>
      </c>
      <c r="G8" s="13" t="inlineStr">
        <is>
          <t>組</t>
        </is>
      </c>
      <c r="H8" s="15" t="n">
        <v>0.575</v>
      </c>
      <c r="J8" s="13" t="inlineStr"/>
      <c r="K8" s="16" t="n">
        <v>87</v>
      </c>
      <c r="M8" s="13" t="inlineStr">
        <is>
          <t>項</t>
        </is>
      </c>
    </row>
    <row r="9" ht="16" customHeight="1">
      <c r="B9" s="17" t="inlineStr">
        <is>
          <t>全案累計總重</t>
        </is>
      </c>
      <c r="C9" s="18" t="n"/>
      <c r="D9" s="19" t="n"/>
      <c r="E9" s="20" t="inlineStr">
        <is>
          <t>本批設計支撐總數</t>
        </is>
      </c>
      <c r="F9" s="18" t="n"/>
      <c r="G9" s="19" t="n"/>
      <c r="H9" s="21" t="inlineStr">
        <is>
          <t>原料切割利用率</t>
        </is>
      </c>
      <c r="I9" s="18" t="n"/>
      <c r="J9" s="19" t="n"/>
      <c r="K9" s="22" t="inlineStr">
        <is>
          <t>請見支撐統計明細</t>
        </is>
      </c>
      <c r="L9" s="18" t="n"/>
      <c r="M9" s="19" t="n"/>
    </row>
    <row r="11" ht="24" customHeight="1">
      <c r="B11" s="4" t="inlineStr">
        <is>
          <t>▌  材料重量分佈 ＆ 重型支撐 Top 5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26" ht="24" customHeight="1">
      <c r="B26" s="4" t="inlineStr">
        <is>
          <t>▌  下料使用率健康度 (Icon Set + Data Bar 範例)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B27" s="23" t="inlineStr">
        <is>
          <t>材料</t>
        </is>
      </c>
      <c r="C27" s="23" t="inlineStr">
        <is>
          <t>原料#</t>
        </is>
      </c>
      <c r="D27" s="23" t="inlineStr">
        <is>
          <t>使用率</t>
        </is>
      </c>
      <c r="E27" s="23" t="inlineStr">
        <is>
          <t>餘料(mm)</t>
        </is>
      </c>
      <c r="F27" s="23" t="inlineStr">
        <is>
          <t>狀態</t>
        </is>
      </c>
    </row>
    <row r="28" ht="20" customHeight="1">
      <c r="B28" s="24" t="inlineStr">
        <is>
          <t>角鋼 L65x6</t>
        </is>
      </c>
      <c r="C28" s="25" t="inlineStr">
        <is>
          <t>#1</t>
        </is>
      </c>
      <c r="D28" s="26" t="n">
        <v>0.9399999999999999</v>
      </c>
      <c r="E28" s="27" t="n">
        <v>42</v>
      </c>
      <c r="F28" s="28" t="inlineStr">
        <is>
          <t>健康</t>
        </is>
      </c>
    </row>
    <row r="29" ht="20" customHeight="1">
      <c r="B29" s="29" t="inlineStr">
        <is>
          <t>H型鋼 H150</t>
        </is>
      </c>
      <c r="C29" s="30" t="inlineStr">
        <is>
          <t>#3</t>
        </is>
      </c>
      <c r="D29" s="31" t="n">
        <v>0.71</v>
      </c>
      <c r="E29" s="32" t="n">
        <v>820</v>
      </c>
      <c r="F29" s="28" t="inlineStr">
        <is>
          <t>健康</t>
        </is>
      </c>
    </row>
    <row r="30" ht="20" customHeight="1">
      <c r="B30" s="24" t="inlineStr">
        <is>
          <t>槽鐵 C150</t>
        </is>
      </c>
      <c r="C30" s="25" t="inlineStr">
        <is>
          <t>#5</t>
        </is>
      </c>
      <c r="D30" s="26" t="n">
        <v>0.45</v>
      </c>
      <c r="E30" s="27" t="n">
        <v>3210</v>
      </c>
      <c r="F30" s="33" t="inlineStr">
        <is>
          <t>偏低</t>
        </is>
      </c>
      <c r="P30" t="inlineStr">
        <is>
          <t>材料</t>
        </is>
      </c>
      <c r="Q30" t="inlineStr">
        <is>
          <t>總重</t>
        </is>
      </c>
    </row>
    <row r="31" ht="20" customHeight="1">
      <c r="B31" s="29" t="inlineStr">
        <is>
          <t>角鋼 L50x4</t>
        </is>
      </c>
      <c r="C31" s="30" t="inlineStr">
        <is>
          <t>#2</t>
        </is>
      </c>
      <c r="D31" s="31" t="n">
        <v>0.22</v>
      </c>
      <c r="E31" s="32" t="n">
        <v>5400</v>
      </c>
      <c r="F31" s="34" t="inlineStr">
        <is>
          <t>浪費</t>
        </is>
      </c>
      <c r="P31" t="inlineStr">
        <is>
          <t>角鋼</t>
        </is>
      </c>
      <c r="Q31" t="n">
        <v>994.1</v>
      </c>
    </row>
    <row r="32">
      <c r="P32" t="inlineStr">
        <is>
          <t>H型鋼</t>
        </is>
      </c>
      <c r="Q32" t="n">
        <v>890.7</v>
      </c>
    </row>
    <row r="33">
      <c r="P33" t="inlineStr">
        <is>
          <t>槽鐵 (A)</t>
        </is>
      </c>
      <c r="Q33" t="n">
        <v>773.5</v>
      </c>
    </row>
    <row r="34">
      <c r="P34" t="inlineStr">
        <is>
          <t>槽鐵 (B)</t>
        </is>
      </c>
      <c r="Q34" t="n">
        <v>495.8</v>
      </c>
    </row>
    <row r="35">
      <c r="P35" t="inlineStr">
        <is>
          <t>角鋼 (C)</t>
        </is>
      </c>
      <c r="Q35" t="n">
        <v>341.4</v>
      </c>
    </row>
    <row r="36">
      <c r="P36" t="inlineStr">
        <is>
          <t>其他</t>
        </is>
      </c>
      <c r="Q36" t="n">
        <v>1864.5</v>
      </c>
    </row>
    <row r="40">
      <c r="P40" t="inlineStr">
        <is>
          <t>型號</t>
        </is>
      </c>
      <c r="Q40" t="inlineStr">
        <is>
          <t>總重</t>
        </is>
      </c>
    </row>
    <row r="41">
      <c r="P41" t="inlineStr">
        <is>
          <t>15-8B-1532</t>
        </is>
      </c>
      <c r="Q41" t="n">
        <v>210.98</v>
      </c>
    </row>
    <row r="42">
      <c r="P42" t="inlineStr">
        <is>
          <t>H150-1800</t>
        </is>
      </c>
      <c r="Q42" t="n">
        <v>133.91</v>
      </c>
    </row>
    <row r="43">
      <c r="P43" t="inlineStr">
        <is>
          <t>2-C150-161</t>
        </is>
      </c>
      <c r="Q43" t="n">
        <v>85.68000000000001</v>
      </c>
    </row>
    <row r="44">
      <c r="P44" t="inlineStr">
        <is>
          <t>2-C150-150</t>
        </is>
      </c>
      <c r="Q44" t="n">
        <v>138.04</v>
      </c>
    </row>
    <row r="45">
      <c r="P45" t="inlineStr">
        <is>
          <t>C150-19C</t>
        </is>
      </c>
      <c r="Q45" t="n">
        <v>133.28</v>
      </c>
    </row>
  </sheetData>
  <mergeCells count="18">
    <mergeCell ref="B6:M6"/>
    <mergeCell ref="A1:N2"/>
    <mergeCell ref="K7:M7"/>
    <mergeCell ref="A3:N3"/>
    <mergeCell ref="B11:M11"/>
    <mergeCell ref="A4:N4"/>
    <mergeCell ref="K8:L8"/>
    <mergeCell ref="K9:M9"/>
    <mergeCell ref="B9:D9"/>
    <mergeCell ref="E9:G9"/>
    <mergeCell ref="H9:J9"/>
    <mergeCell ref="B26:M26"/>
    <mergeCell ref="H8:I8"/>
    <mergeCell ref="B7:D7"/>
    <mergeCell ref="B8:C8"/>
    <mergeCell ref="E7:G7"/>
    <mergeCell ref="E8:F8"/>
    <mergeCell ref="H7:J7"/>
  </mergeCells>
  <conditionalFormatting sqref="D28:D31">
    <cfRule type="iconSet" priority="1">
      <iconSet iconSet="3TrafficLights1" showValue="1">
        <cfvo type="percent" val="0"/>
        <cfvo type="percent" val="40"/>
        <cfvo type="percent" val="70"/>
      </iconSet>
    </cfRule>
  </conditionalFormatting>
  <conditionalFormatting sqref="E28:E31">
    <cfRule type="dataBar" priority="2">
      <dataBar showValue="1">
        <cfvo type="min"/>
        <cfvo type="max"/>
        <color rgb="003A5BA0"/>
      </dataBar>
    </cfRule>
  </conditionalFormatting>
  <pageMargins left="0.2" right="0.2" top="0.3" bottom="0.3" header="0.1" footer="0.1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2026-06-01T02:58:23Z</dcterms:created>
  <dcterms:modified xmlns:dcterms="http://purl.org/dc/terms/" xmlns:xsi="http://www.w3.org/2001/XMLSchema-instance" xsi:type="dcterms:W3CDTF">2026-06-01T02:58:23Z</dcterms:modified>
</cp:coreProperties>
</file>