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0976\Desktop\新增資料夾 (3)\for_iec_support\"/>
    </mc:Choice>
  </mc:AlternateContent>
  <xr:revisionPtr revIDLastSave="0" documentId="13_ncr:1_{EED67BB5-8156-4C73-B276-6AC13C8083E0}" xr6:coauthVersionLast="47" xr6:coauthVersionMax="47" xr10:uidLastSave="{00000000-0000-0000-0000-000000000000}"/>
  <bookViews>
    <workbookView xWindow="28680" yWindow="-120" windowWidth="29040" windowHeight="15840" firstSheet="9" activeTab="9" xr2:uid="{B83DEF78-2FD2-42DF-AC54-1023B3288B0B}"/>
  </bookViews>
  <sheets>
    <sheet name="For_52_Type_data" sheetId="14" state="hidden" r:id="rId1"/>
    <sheet name="For_14_Type_data" sheetId="11" state="hidden" r:id="rId2"/>
    <sheet name="For_15_Type_data" sheetId="13" state="hidden" r:id="rId3"/>
    <sheet name="For_08_Type_data" sheetId="12" state="hidden" r:id="rId4"/>
    <sheet name="For_26_Type_data" sheetId="15" state="hidden" r:id="rId5"/>
    <sheet name="For_M34_Type_data" sheetId="16" state="hidden" r:id="rId6"/>
    <sheet name="For_HBeam_Weight_Table" sheetId="10" state="hidden" r:id="rId7"/>
    <sheet name="Pipe_Table" sheetId="7" state="hidden" r:id="rId8"/>
    <sheet name="For_Channel_Weight_Table" sheetId="9" state="hidden" r:id="rId9"/>
    <sheet name="List_Table" sheetId="1" r:id="rId10"/>
    <sheet name="For_Angle_Weight_Table" sheetId="8" state="hidden" r:id="rId11"/>
    <sheet name="Weight_Analysis" sheetId="2" r:id="rId12"/>
    <sheet name="M_42_Table" sheetId="6" state="hidden" r:id="rId13"/>
  </sheets>
  <functionGroups builtInGroupCount="19"/>
  <definedNames>
    <definedName name="_xlnm._FilterDatabase" localSheetId="12" hidden="1">M_42_Table!$A$1:$S$11</definedName>
    <definedName name="FrownyFace">"圖形 9"</definedName>
    <definedName name="_xlnm.Print_Titles" localSheetId="3" hidden="1">#REF!</definedName>
    <definedName name="_xlnm.Print_Titles" localSheetId="1" hidden="1">#REF!</definedName>
    <definedName name="_xlnm.Print_Titles" localSheetId="2" hidden="1">#REF!</definedName>
    <definedName name="_xlnm.Print_Titles" localSheetId="4" hidden="1">#REF!</definedName>
    <definedName name="_xlnm.Print_Titles" localSheetId="5" hidden="1">#REF!</definedName>
    <definedName name="_xlnm.Print_Titles" hidden="1">#REF!</definedName>
    <definedName name="SmileyFace">"圖形 7"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10" l="1"/>
  <c r="E4" i="10" l="1"/>
  <c r="E5" i="10"/>
  <c r="E6" i="10"/>
  <c r="E7" i="10"/>
  <c r="E8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3" i="10"/>
  <c r="T17" i="6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3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2" i="8"/>
  <c r="C1" i="8"/>
  <c r="A3" i="6"/>
  <c r="B12" i="7"/>
  <c r="B10" i="7"/>
  <c r="B7" i="7"/>
  <c r="B5" i="7"/>
  <c r="B4" i="7"/>
  <c r="B8" i="7"/>
  <c r="W12" i="7"/>
</calcChain>
</file>

<file path=xl/sharedStrings.xml><?xml version="1.0" encoding="utf-8"?>
<sst xmlns="http://schemas.openxmlformats.org/spreadsheetml/2006/main" count="10208" uniqueCount="1064">
  <si>
    <t>H</t>
  </si>
  <si>
    <t>5/8</t>
  </si>
  <si>
    <t>3/4</t>
  </si>
  <si>
    <t>7/8</t>
  </si>
  <si>
    <t>4</t>
  </si>
  <si>
    <t>2</t>
  </si>
  <si>
    <t>3</t>
  </si>
  <si>
    <t>5</t>
  </si>
  <si>
    <t>6</t>
  </si>
  <si>
    <t>8</t>
  </si>
  <si>
    <t>10</t>
  </si>
  <si>
    <t>12</t>
  </si>
  <si>
    <t>1</t>
    <phoneticPr fontId="19" type="noConversion"/>
  </si>
  <si>
    <t>dn</t>
  </si>
  <si>
    <r>
      <t>d</t>
    </r>
    <r>
      <rPr>
        <b/>
        <vertAlign val="subscript"/>
        <sz val="16"/>
        <color rgb="FF000000"/>
        <rFont val="Calibri"/>
        <family val="2"/>
      </rPr>
      <t>ext</t>
    </r>
  </si>
  <si>
    <r>
      <t>JIS d</t>
    </r>
    <r>
      <rPr>
        <b/>
        <vertAlign val="subscript"/>
        <sz val="16"/>
        <color rgb="FF000000"/>
        <rFont val="Calibri"/>
        <family val="2"/>
      </rPr>
      <t>ext</t>
    </r>
  </si>
  <si>
    <t xml:space="preserve">ASME B36.10M SCHEDULE </t>
  </si>
  <si>
    <t>mm</t>
  </si>
  <si>
    <t>"</t>
  </si>
  <si>
    <t>5S</t>
    <phoneticPr fontId="19" type="noConversion"/>
  </si>
  <si>
    <t>10S</t>
    <phoneticPr fontId="19" type="noConversion"/>
  </si>
  <si>
    <t>20S</t>
    <phoneticPr fontId="19" type="noConversion"/>
  </si>
  <si>
    <t>30S</t>
    <phoneticPr fontId="19" type="noConversion"/>
  </si>
  <si>
    <t>40S</t>
    <phoneticPr fontId="19" type="noConversion"/>
  </si>
  <si>
    <t>60S</t>
    <phoneticPr fontId="19" type="noConversion"/>
  </si>
  <si>
    <t>80S</t>
    <phoneticPr fontId="19" type="noConversion"/>
  </si>
  <si>
    <t>100S</t>
    <phoneticPr fontId="19" type="noConversion"/>
  </si>
  <si>
    <t>120S</t>
    <phoneticPr fontId="19" type="noConversion"/>
  </si>
  <si>
    <t>140S</t>
    <phoneticPr fontId="19" type="noConversion"/>
  </si>
  <si>
    <t>160S</t>
    <phoneticPr fontId="19" type="noConversion"/>
  </si>
  <si>
    <t>STD.WT</t>
    <phoneticPr fontId="19" type="noConversion"/>
  </si>
  <si>
    <t>XS</t>
  </si>
  <si>
    <t>XXS</t>
  </si>
  <si>
    <t>基礎工料</t>
    <phoneticPr fontId="19" type="noConversion"/>
  </si>
  <si>
    <t>螺絲使用</t>
    <phoneticPr fontId="19" type="noConversion"/>
  </si>
  <si>
    <t>A</t>
    <phoneticPr fontId="19" type="noConversion"/>
  </si>
  <si>
    <t>Plate a</t>
    <phoneticPr fontId="19" type="noConversion"/>
  </si>
  <si>
    <t>小基礎</t>
    <phoneticPr fontId="19" type="noConversion"/>
  </si>
  <si>
    <t>B</t>
    <phoneticPr fontId="19" type="noConversion"/>
  </si>
  <si>
    <t>Plate a,Plate d</t>
    <phoneticPr fontId="19" type="noConversion"/>
  </si>
  <si>
    <t>C</t>
    <phoneticPr fontId="19" type="noConversion"/>
  </si>
  <si>
    <t>固有鋼構(不算)</t>
    <phoneticPr fontId="19" type="noConversion"/>
  </si>
  <si>
    <t>D</t>
    <phoneticPr fontId="19" type="noConversion"/>
  </si>
  <si>
    <t>Plate a,Plate e</t>
    <phoneticPr fontId="19" type="noConversion"/>
  </si>
  <si>
    <t>平台(不算)</t>
    <phoneticPr fontId="19" type="noConversion"/>
  </si>
  <si>
    <t>E</t>
    <phoneticPr fontId="19" type="noConversion"/>
  </si>
  <si>
    <t>F</t>
    <phoneticPr fontId="19" type="noConversion"/>
  </si>
  <si>
    <t>G</t>
    <phoneticPr fontId="19" type="noConversion"/>
  </si>
  <si>
    <t>Plate b</t>
    <phoneticPr fontId="19" type="noConversion"/>
  </si>
  <si>
    <t>H</t>
    <phoneticPr fontId="19" type="noConversion"/>
  </si>
  <si>
    <t>大基礎</t>
    <phoneticPr fontId="19" type="noConversion"/>
  </si>
  <si>
    <t>J</t>
    <phoneticPr fontId="19" type="noConversion"/>
  </si>
  <si>
    <t>K</t>
    <phoneticPr fontId="19" type="noConversion"/>
  </si>
  <si>
    <t>L</t>
    <phoneticPr fontId="19" type="noConversion"/>
  </si>
  <si>
    <t>Plate c</t>
    <phoneticPr fontId="19" type="noConversion"/>
  </si>
  <si>
    <t>M</t>
    <phoneticPr fontId="19" type="noConversion"/>
  </si>
  <si>
    <t>N</t>
    <phoneticPr fontId="19" type="noConversion"/>
  </si>
  <si>
    <t>P</t>
    <phoneticPr fontId="19" type="noConversion"/>
  </si>
  <si>
    <t>R</t>
    <phoneticPr fontId="19" type="noConversion"/>
  </si>
  <si>
    <t>S</t>
    <phoneticPr fontId="19" type="noConversion"/>
  </si>
  <si>
    <t>plate a,plate e</t>
    <phoneticPr fontId="19" type="noConversion"/>
  </si>
  <si>
    <t>BxB</t>
  </si>
  <si>
    <t>BxB,ExE</t>
  </si>
  <si>
    <t>BxB,GxG</t>
  </si>
  <si>
    <t>CxC</t>
  </si>
  <si>
    <t>-</t>
  </si>
  <si>
    <t>14</t>
    <phoneticPr fontId="19" type="noConversion"/>
  </si>
  <si>
    <t>16</t>
    <phoneticPr fontId="19" type="noConversion"/>
  </si>
  <si>
    <t>18</t>
    <phoneticPr fontId="19" type="noConversion"/>
  </si>
  <si>
    <t>24</t>
    <phoneticPr fontId="19" type="noConversion"/>
  </si>
  <si>
    <t>20</t>
    <phoneticPr fontId="19" type="noConversion"/>
  </si>
  <si>
    <t>管支撐型號</t>
  </si>
  <si>
    <t>項次</t>
  </si>
  <si>
    <t>品名</t>
  </si>
  <si>
    <t>尺寸/厚度</t>
  </si>
  <si>
    <t>長度</t>
  </si>
  <si>
    <t>寬度</t>
  </si>
  <si>
    <t>材質</t>
  </si>
  <si>
    <t>每米重</t>
  </si>
  <si>
    <t>單重</t>
  </si>
  <si>
    <t>重量小計</t>
  </si>
  <si>
    <t>單位</t>
  </si>
  <si>
    <t>組數</t>
  </si>
  <si>
    <t>長度小計</t>
  </si>
  <si>
    <t>數量小計</t>
  </si>
  <si>
    <t>重量合計</t>
  </si>
  <si>
    <t>屬性</t>
  </si>
  <si>
    <t>管支撐型號</t>
    <phoneticPr fontId="19" type="noConversion"/>
  </si>
  <si>
    <t>項次</t>
    <phoneticPr fontId="19" type="noConversion"/>
  </si>
  <si>
    <t>品名</t>
    <phoneticPr fontId="19" type="noConversion"/>
  </si>
  <si>
    <t>尺寸/厚度</t>
    <phoneticPr fontId="19" type="noConversion"/>
  </si>
  <si>
    <t>長度</t>
    <phoneticPr fontId="19" type="noConversion"/>
  </si>
  <si>
    <t>寬度</t>
    <phoneticPr fontId="19" type="noConversion"/>
  </si>
  <si>
    <t>材質</t>
    <phoneticPr fontId="19" type="noConversion"/>
  </si>
  <si>
    <t>每米重</t>
    <phoneticPr fontId="19" type="noConversion"/>
  </si>
  <si>
    <t>單重</t>
    <phoneticPr fontId="19" type="noConversion"/>
  </si>
  <si>
    <t>重量小計</t>
    <phoneticPr fontId="19" type="noConversion"/>
  </si>
  <si>
    <t>單位</t>
    <phoneticPr fontId="19" type="noConversion"/>
  </si>
  <si>
    <t>數量小計</t>
    <phoneticPr fontId="19" type="noConversion"/>
  </si>
  <si>
    <t>重量合計</t>
    <phoneticPr fontId="19" type="noConversion"/>
  </si>
  <si>
    <t>屬性</t>
    <phoneticPr fontId="19" type="noConversion"/>
  </si>
  <si>
    <t>邊長 A=B (mm)</t>
  </si>
  <si>
    <t>厚度 t (mm)</t>
  </si>
  <si>
    <t>r1 (mm)</t>
  </si>
  <si>
    <t>r2 (mm)</t>
  </si>
  <si>
    <t>斷面積 (cm²)</t>
  </si>
  <si>
    <t>單位重量 (kg/m)</t>
  </si>
  <si>
    <t>H x B</t>
  </si>
  <si>
    <t>t1</t>
  </si>
  <si>
    <t>(mm)</t>
  </si>
  <si>
    <t>t2</t>
  </si>
  <si>
    <t>r1</t>
  </si>
  <si>
    <t>r2</t>
  </si>
  <si>
    <t>斷面積</t>
  </si>
  <si>
    <t>(c㎡)</t>
  </si>
  <si>
    <t>單位重量</t>
  </si>
  <si>
    <t>(kg/m)</t>
  </si>
  <si>
    <t>備註</t>
  </si>
  <si>
    <t>65 x 32</t>
  </si>
  <si>
    <t>75 x 40</t>
  </si>
  <si>
    <t>常用鋼種</t>
  </si>
  <si>
    <t>100 x 50</t>
  </si>
  <si>
    <t>125 x 65</t>
  </si>
  <si>
    <t>150 x 70</t>
  </si>
  <si>
    <t>150 x 75</t>
  </si>
  <si>
    <t>150 x 90</t>
  </si>
  <si>
    <t>180 x 75</t>
  </si>
  <si>
    <t>180 x 90</t>
  </si>
  <si>
    <t>200 x 70</t>
  </si>
  <si>
    <t>200 x 80</t>
  </si>
  <si>
    <t>200 x 90</t>
  </si>
  <si>
    <t>230 x 80</t>
  </si>
  <si>
    <t>13/th&gt;</t>
  </si>
  <si>
    <t>230 x 90</t>
  </si>
  <si>
    <t>250 x 80</t>
  </si>
  <si>
    <t>250 x 90</t>
  </si>
  <si>
    <t>280 x 100</t>
  </si>
  <si>
    <t>300 x 90</t>
  </si>
  <si>
    <t>300 x 100</t>
  </si>
  <si>
    <t>380 x 100</t>
  </si>
  <si>
    <t>425 x 100</t>
  </si>
  <si>
    <t>稱呼寸法(mm)</t>
  </si>
  <si>
    <t>高度 x 邊</t>
  </si>
  <si>
    <t>標準斷面寸法(mm)</t>
  </si>
  <si>
    <t>R</t>
  </si>
  <si>
    <t>100 x 100</t>
  </si>
  <si>
    <t>125 x 60</t>
  </si>
  <si>
    <t>125 x 125</t>
  </si>
  <si>
    <t>150 x 100</t>
  </si>
  <si>
    <t>148 x 100</t>
  </si>
  <si>
    <t>150 x 150</t>
  </si>
  <si>
    <t>175 x 90</t>
  </si>
  <si>
    <t>175 x 125</t>
  </si>
  <si>
    <t>169 x 125</t>
  </si>
  <si>
    <t>175 x 175</t>
  </si>
  <si>
    <t>200 x 100</t>
  </si>
  <si>
    <t>198 x 99</t>
  </si>
  <si>
    <t>200 x 150</t>
  </si>
  <si>
    <t>194 x 150</t>
  </si>
  <si>
    <t>200 x 200</t>
  </si>
  <si>
    <t>208 x 208</t>
  </si>
  <si>
    <t>200 x 204</t>
  </si>
  <si>
    <t>250 x 125</t>
  </si>
  <si>
    <t>250 x 175</t>
  </si>
  <si>
    <t>244 x 175</t>
  </si>
  <si>
    <t>250 x 250</t>
  </si>
  <si>
    <t>248 x 249</t>
  </si>
  <si>
    <t>244 x 252</t>
  </si>
  <si>
    <t>250 x 255</t>
  </si>
  <si>
    <t>300 x 150</t>
  </si>
  <si>
    <t>298 x 149</t>
  </si>
  <si>
    <t>300 x 300</t>
  </si>
  <si>
    <t>298 x 299</t>
  </si>
  <si>
    <t>304 x 301</t>
  </si>
  <si>
    <t>294 x 302</t>
  </si>
  <si>
    <t>300 x 200</t>
  </si>
  <si>
    <t>294 x 200</t>
  </si>
  <si>
    <t>298 x 201</t>
  </si>
  <si>
    <t>300 x 305</t>
  </si>
  <si>
    <t>350 x 175</t>
  </si>
  <si>
    <t>346 x 174</t>
  </si>
  <si>
    <t>350 x 250</t>
  </si>
  <si>
    <t>336 x 249</t>
  </si>
  <si>
    <t>340 x 250</t>
  </si>
  <si>
    <t>350 x 350</t>
  </si>
  <si>
    <t>344 x 348</t>
  </si>
  <si>
    <t>338 x 351</t>
  </si>
  <si>
    <t>356 x 352</t>
  </si>
  <si>
    <t>344 x 354</t>
  </si>
  <si>
    <t>350 x 357</t>
  </si>
  <si>
    <t>400 x 200</t>
  </si>
  <si>
    <t>369 x 199</t>
  </si>
  <si>
    <t>400 x 300</t>
  </si>
  <si>
    <t>386 x 299</t>
  </si>
  <si>
    <t>390 x 300</t>
  </si>
  <si>
    <t>400 x 400</t>
  </si>
  <si>
    <t>394 x 398</t>
  </si>
  <si>
    <t>388 x 402</t>
  </si>
  <si>
    <t>406 x 403</t>
  </si>
  <si>
    <t>394 x 405</t>
  </si>
  <si>
    <t>414 x 405</t>
  </si>
  <si>
    <t>428 x 407</t>
  </si>
  <si>
    <t>400 x 408</t>
  </si>
  <si>
    <t>458 x 417</t>
  </si>
  <si>
    <t>498 x 432</t>
  </si>
  <si>
    <t>450 x 200</t>
  </si>
  <si>
    <t>446 x 199</t>
  </si>
  <si>
    <t>450 x 300</t>
  </si>
  <si>
    <t>434 x 299</t>
  </si>
  <si>
    <t>440 x 300</t>
  </si>
  <si>
    <t>500 x 200</t>
  </si>
  <si>
    <t>496 x 199</t>
  </si>
  <si>
    <t>506 x 201</t>
  </si>
  <si>
    <t>500 x 300</t>
  </si>
  <si>
    <t>482 x 300</t>
  </si>
  <si>
    <t>488 x 300</t>
  </si>
  <si>
    <t>500 x 500</t>
  </si>
  <si>
    <t>550 x 200</t>
  </si>
  <si>
    <t>546 x 199</t>
  </si>
  <si>
    <t>554 x 201</t>
  </si>
  <si>
    <t>560 x 202</t>
  </si>
  <si>
    <t>564 x 203</t>
  </si>
  <si>
    <t>600 x 200</t>
  </si>
  <si>
    <t>596 x 199</t>
  </si>
  <si>
    <t>606 x 201</t>
  </si>
  <si>
    <t>612 x 202</t>
  </si>
  <si>
    <t>600 x 300</t>
  </si>
  <si>
    <t>582 x 300</t>
  </si>
  <si>
    <t>588 x 300</t>
  </si>
  <si>
    <t>594 x 302</t>
  </si>
  <si>
    <t>700 x 300</t>
  </si>
  <si>
    <t>692 x 300</t>
  </si>
  <si>
    <t>708 x 302</t>
  </si>
  <si>
    <t>800 x 300</t>
  </si>
  <si>
    <t>792 x 300</t>
  </si>
  <si>
    <t>912 x 302</t>
  </si>
  <si>
    <t>900 x 300</t>
  </si>
  <si>
    <t>890 x 299</t>
  </si>
  <si>
    <t>HXB*T1</t>
    <phoneticPr fontId="19" type="noConversion"/>
  </si>
  <si>
    <t>50 x 25</t>
    <phoneticPr fontId="19" type="noConversion"/>
  </si>
  <si>
    <t>H*B*T1*T2</t>
    <phoneticPr fontId="19" type="noConversion"/>
  </si>
  <si>
    <t>L50*50*6</t>
  </si>
  <si>
    <t>L65*65*6</t>
  </si>
  <si>
    <t>L75*75*9</t>
  </si>
  <si>
    <t>L100*100*10</t>
  </si>
  <si>
    <t>C125*65*6</t>
  </si>
  <si>
    <t>C150*75*9</t>
  </si>
  <si>
    <t>H150*150*7</t>
  </si>
  <si>
    <t>H250*250*9</t>
  </si>
  <si>
    <t>數量</t>
  </si>
  <si>
    <t>Standard dimension list</t>
    <phoneticPr fontId="19" type="noConversion"/>
  </si>
  <si>
    <t>Q</t>
    <phoneticPr fontId="19" type="noConversion"/>
  </si>
  <si>
    <t>5/8</t>
    <phoneticPr fontId="19" type="noConversion"/>
  </si>
  <si>
    <t>3/4</t>
    <phoneticPr fontId="19" type="noConversion"/>
  </si>
  <si>
    <t>Pipe</t>
    <phoneticPr fontId="19" type="noConversion"/>
  </si>
  <si>
    <t>thikness</t>
    <phoneticPr fontId="19" type="noConversion"/>
  </si>
  <si>
    <t>L MAX</t>
    <phoneticPr fontId="19" type="noConversion"/>
  </si>
  <si>
    <t>H MAX</t>
    <phoneticPr fontId="19" type="noConversion"/>
  </si>
  <si>
    <t>information</t>
    <phoneticPr fontId="19" type="noConversion"/>
  </si>
  <si>
    <t>2" SCH40</t>
    <phoneticPr fontId="19" type="noConversion"/>
  </si>
  <si>
    <t>3" SCH40</t>
    <phoneticPr fontId="19" type="noConversion"/>
  </si>
  <si>
    <t>4" SCH40</t>
    <phoneticPr fontId="19" type="noConversion"/>
  </si>
  <si>
    <t>6" SCH40</t>
    <phoneticPr fontId="19" type="noConversion"/>
  </si>
  <si>
    <t>8" SCH40</t>
    <phoneticPr fontId="19" type="noConversion"/>
  </si>
  <si>
    <t>10" SCH40</t>
    <phoneticPr fontId="19" type="noConversion"/>
  </si>
  <si>
    <t>12" STD.WT</t>
    <phoneticPr fontId="19" type="noConversion"/>
  </si>
  <si>
    <t>C100*50*5</t>
  </si>
  <si>
    <t>C200*90*8</t>
  </si>
  <si>
    <t>2</t>
    <phoneticPr fontId="19" type="noConversion"/>
  </si>
  <si>
    <t>3</t>
    <phoneticPr fontId="19" type="noConversion"/>
  </si>
  <si>
    <t>4</t>
    <phoneticPr fontId="19" type="noConversion"/>
  </si>
  <si>
    <t>6</t>
    <phoneticPr fontId="19" type="noConversion"/>
  </si>
  <si>
    <t>8</t>
    <phoneticPr fontId="19" type="noConversion"/>
  </si>
  <si>
    <t>10</t>
    <phoneticPr fontId="19" type="noConversion"/>
  </si>
  <si>
    <t>12</t>
    <phoneticPr fontId="19" type="noConversion"/>
  </si>
  <si>
    <t>22</t>
  </si>
  <si>
    <t>30</t>
  </si>
  <si>
    <t>35</t>
  </si>
  <si>
    <t>65</t>
  </si>
  <si>
    <t>C100*50*5</t>
    <phoneticPr fontId="19" type="noConversion"/>
  </si>
  <si>
    <t>假設</t>
    <phoneticPr fontId="19" type="noConversion"/>
  </si>
  <si>
    <t>反邏輯 特別修正</t>
    <phoneticPr fontId="19" type="noConversion"/>
  </si>
  <si>
    <t>H150*150*10</t>
    <phoneticPr fontId="19" type="noConversion"/>
  </si>
  <si>
    <t>Line Size</t>
    <phoneticPr fontId="19" type="noConversion"/>
  </si>
  <si>
    <t>1/2</t>
    <phoneticPr fontId="19" type="noConversion"/>
  </si>
  <si>
    <t>1-1/2</t>
    <phoneticPr fontId="19" type="noConversion"/>
  </si>
  <si>
    <t>2-1/2</t>
    <phoneticPr fontId="19" type="noConversion"/>
  </si>
  <si>
    <t>-</t>
    <phoneticPr fontId="19" type="noConversion"/>
  </si>
  <si>
    <t>200*100*5.5*8</t>
    <phoneticPr fontId="19" type="noConversion"/>
  </si>
  <si>
    <t>200*200*8*12</t>
    <phoneticPr fontId="19" type="noConversion"/>
  </si>
  <si>
    <t>HOPE&amp;LOPE*12T PLATE</t>
    <phoneticPr fontId="19" type="noConversion"/>
  </si>
  <si>
    <t>01-2B-05E-G</t>
  </si>
  <si>
    <t>A36/SS400</t>
  </si>
  <si>
    <t>PC</t>
  </si>
  <si>
    <t>鋼板類</t>
  </si>
  <si>
    <t>5/8"</t>
  </si>
  <si>
    <t>7/8"</t>
  </si>
  <si>
    <t>01-10B-08K-A</t>
  </si>
  <si>
    <t>01-10B-08K-G</t>
  </si>
  <si>
    <t>01-10B-09H</t>
  </si>
  <si>
    <t>01-12B-03C</t>
  </si>
  <si>
    <t>01-12B-06C</t>
  </si>
  <si>
    <t>01-14B-02C</t>
  </si>
  <si>
    <t>01-2B-02F-G</t>
  </si>
  <si>
    <t>01-2B-05E-F</t>
  </si>
  <si>
    <t>01-2B-05F-G</t>
  </si>
  <si>
    <t>01-2B-07E-A</t>
  </si>
  <si>
    <t>01-2B-07E-G</t>
  </si>
  <si>
    <t>01-2B-08B</t>
  </si>
  <si>
    <t>Title</t>
  </si>
  <si>
    <t>16</t>
  </si>
  <si>
    <t>25</t>
  </si>
  <si>
    <t>L50*50*6</t>
    <phoneticPr fontId="19" type="noConversion"/>
  </si>
  <si>
    <t>L65*65*6</t>
    <phoneticPr fontId="19" type="noConversion"/>
  </si>
  <si>
    <t>L75*75*9</t>
    <phoneticPr fontId="19" type="noConversion"/>
  </si>
  <si>
    <t>C125*65*6</t>
    <phoneticPr fontId="19" type="noConversion"/>
  </si>
  <si>
    <t>Member</t>
    <phoneticPr fontId="19" type="noConversion"/>
  </si>
  <si>
    <t>A</t>
  </si>
  <si>
    <t>C</t>
  </si>
  <si>
    <t>D</t>
  </si>
  <si>
    <t>E</t>
  </si>
  <si>
    <t>F</t>
  </si>
  <si>
    <t>G</t>
  </si>
  <si>
    <t>K</t>
  </si>
  <si>
    <t>5/8"*40</t>
    <phoneticPr fontId="19" type="noConversion"/>
  </si>
  <si>
    <t>3/4"*50</t>
    <phoneticPr fontId="19" type="noConversion"/>
  </si>
  <si>
    <t>TYPE</t>
  </si>
  <si>
    <t>MEMBER</t>
  </si>
  <si>
    <t>B</t>
  </si>
  <si>
    <t>ØJ</t>
  </si>
  <si>
    <t>T</t>
  </si>
  <si>
    <t>LGP-C-1</t>
  </si>
  <si>
    <t>L50X50X6</t>
  </si>
  <si>
    <t>150</t>
  </si>
  <si>
    <t>100</t>
  </si>
  <si>
    <t>50</t>
  </si>
  <si>
    <t>60</t>
  </si>
  <si>
    <t>19</t>
  </si>
  <si>
    <t>9</t>
  </si>
  <si>
    <t>LGP-C-2</t>
  </si>
  <si>
    <t>L65X65X6</t>
  </si>
  <si>
    <t>160</t>
  </si>
  <si>
    <t>130</t>
  </si>
  <si>
    <t>70</t>
  </si>
  <si>
    <t>3/4”</t>
  </si>
  <si>
    <t>LGP-C-3</t>
  </si>
  <si>
    <t>L75X75X9</t>
  </si>
  <si>
    <t>140</t>
  </si>
  <si>
    <t>75</t>
  </si>
  <si>
    <t>40</t>
  </si>
  <si>
    <t>LGP-C-4</t>
  </si>
  <si>
    <t>C100X50X5</t>
  </si>
  <si>
    <t>170</t>
  </si>
  <si>
    <t>80</t>
  </si>
  <si>
    <t>LGP-C-5</t>
  </si>
  <si>
    <t>LGP-C-6</t>
  </si>
  <si>
    <t>C125X65X6</t>
  </si>
  <si>
    <t>180</t>
  </si>
  <si>
    <t>125</t>
  </si>
  <si>
    <t>55</t>
  </si>
  <si>
    <t>LGP-C-7</t>
  </si>
  <si>
    <t>C150X75X9</t>
  </si>
  <si>
    <t>190</t>
  </si>
  <si>
    <t>220</t>
  </si>
  <si>
    <t>LGP-C-8</t>
  </si>
  <si>
    <t>C180X75X7</t>
  </si>
  <si>
    <t>210</t>
  </si>
  <si>
    <t>260</t>
  </si>
  <si>
    <t>110</t>
  </si>
  <si>
    <t>45</t>
  </si>
  <si>
    <t>90</t>
  </si>
  <si>
    <t>LGP-C-9</t>
  </si>
  <si>
    <t>C200X90X8</t>
  </si>
  <si>
    <t>300</t>
  </si>
  <si>
    <t>200</t>
  </si>
  <si>
    <t>120</t>
  </si>
  <si>
    <t>LGP-C-10</t>
  </si>
  <si>
    <t>C250X90X9</t>
  </si>
  <si>
    <t>250</t>
  </si>
  <si>
    <t>350</t>
  </si>
  <si>
    <t>Pipe</t>
  </si>
  <si>
    <t>1.5"*SCH.80</t>
  </si>
  <si>
    <t>SUS304</t>
  </si>
  <si>
    <t>M</t>
  </si>
  <si>
    <t>素材類</t>
  </si>
  <si>
    <t>A53Gr.B</t>
  </si>
  <si>
    <t>Plate_a_不需鑽孔</t>
  </si>
  <si>
    <t>Angle</t>
  </si>
  <si>
    <t>40*40*5</t>
  </si>
  <si>
    <t>Plate_d_需鑽孔</t>
  </si>
  <si>
    <t>EXP.BOLT</t>
  </si>
  <si>
    <t>SET</t>
  </si>
  <si>
    <t>螺絲類</t>
  </si>
  <si>
    <t>8"*SCH.40</t>
  </si>
  <si>
    <t>10"*SCH.40</t>
  </si>
  <si>
    <t>Error</t>
  </si>
  <si>
    <t>01-2B-10E-A</t>
  </si>
  <si>
    <t>01-2B-10E-G</t>
  </si>
  <si>
    <t>01-3B-02F-A</t>
  </si>
  <si>
    <t>01-3B-02F-G</t>
  </si>
  <si>
    <t>01-3B-03F-G</t>
  </si>
  <si>
    <t>01-3B-05E-A</t>
  </si>
  <si>
    <t>01-3B-05E-F</t>
  </si>
  <si>
    <t>01-3B-05E-G</t>
  </si>
  <si>
    <t>01-3B-06C</t>
  </si>
  <si>
    <t>01-3B-08B</t>
  </si>
  <si>
    <t>01-3B-08E-G</t>
  </si>
  <si>
    <t>01-3B-10B</t>
  </si>
  <si>
    <t>01-4B-01C</t>
  </si>
  <si>
    <t>01-4B-02F-G</t>
  </si>
  <si>
    <t>01-4B-04H</t>
  </si>
  <si>
    <t>01-4B-05E-A</t>
  </si>
  <si>
    <t>01-4B-05E-G</t>
  </si>
  <si>
    <t>01-4B-07B</t>
  </si>
  <si>
    <t>01-4B-07E-A</t>
  </si>
  <si>
    <t>01-4B-07E-G</t>
  </si>
  <si>
    <t>01-4B-08E-A</t>
  </si>
  <si>
    <t>01-6B-02F-G</t>
  </si>
  <si>
    <t>01-6B-04F-G</t>
  </si>
  <si>
    <t>01-6B-05G</t>
  </si>
  <si>
    <t>01-6B-06K-A</t>
  </si>
  <si>
    <t>01-6B-07E-A</t>
  </si>
  <si>
    <t>01-6B-07E-G</t>
  </si>
  <si>
    <t>01-6B-08E-A</t>
  </si>
  <si>
    <t>01-6B-08E-G</t>
  </si>
  <si>
    <t>01-8B-02C</t>
  </si>
  <si>
    <t>01-8B-05B</t>
  </si>
  <si>
    <t>01-8B-05C</t>
  </si>
  <si>
    <t>01-8B-05E-A</t>
  </si>
  <si>
    <t>01-8B-05E-G</t>
  </si>
  <si>
    <t>01-8B-05R</t>
  </si>
  <si>
    <t>01-8B-06C</t>
  </si>
  <si>
    <t>01-8B-06F-A</t>
  </si>
  <si>
    <t>01-8B-06F-G</t>
  </si>
  <si>
    <t>01-8B-06S-F</t>
  </si>
  <si>
    <t>01-8B-07B</t>
  </si>
  <si>
    <t>01-8B-07E-A</t>
  </si>
  <si>
    <t>01-8B-07E-G</t>
  </si>
  <si>
    <t>01-8B-08H</t>
  </si>
  <si>
    <t>01-8B-08K-G</t>
  </si>
  <si>
    <t>08-4B-0515G</t>
  </si>
  <si>
    <t>09-2B-06B</t>
  </si>
  <si>
    <t>09-3B-13B</t>
  </si>
  <si>
    <t>09-3B-15B</t>
  </si>
  <si>
    <t>09-4B-03C</t>
  </si>
  <si>
    <t>09-4B-07B</t>
  </si>
  <si>
    <t>09-4B-08B</t>
  </si>
  <si>
    <t>102-12B-B</t>
  </si>
  <si>
    <t>102-4B-B</t>
  </si>
  <si>
    <t>103-2-B</t>
  </si>
  <si>
    <t>103-3-A</t>
  </si>
  <si>
    <t>103-3-B</t>
  </si>
  <si>
    <t>103-4-B</t>
  </si>
  <si>
    <t>103-4-C</t>
  </si>
  <si>
    <t>103-5-A</t>
  </si>
  <si>
    <t>103-5-C</t>
  </si>
  <si>
    <t>11-3B-07G-88</t>
  </si>
  <si>
    <t>11-3B-13G-88</t>
  </si>
  <si>
    <t>11-4B-10G-88</t>
  </si>
  <si>
    <t>15-12B-0615</t>
  </si>
  <si>
    <t>15-4B-0404</t>
  </si>
  <si>
    <t>15-4B-0524</t>
  </si>
  <si>
    <t>15-4B-1024</t>
  </si>
  <si>
    <t>15-8B-0406</t>
  </si>
  <si>
    <t>16-14B-12</t>
  </si>
  <si>
    <t>16-16B-13</t>
  </si>
  <si>
    <t>16-2B-02</t>
  </si>
  <si>
    <t>16-2B-03</t>
  </si>
  <si>
    <t>16-3B-02</t>
  </si>
  <si>
    <t>16-3B-03</t>
  </si>
  <si>
    <t>16-3B-04</t>
  </si>
  <si>
    <t>16-3B-07</t>
  </si>
  <si>
    <t>16-4B-03</t>
  </si>
  <si>
    <t>16-4B-06</t>
  </si>
  <si>
    <t>16-4B-08</t>
  </si>
  <si>
    <t>16-4B-14</t>
  </si>
  <si>
    <t>16-4B-15</t>
  </si>
  <si>
    <t>16-6B-03</t>
  </si>
  <si>
    <t>16-6B-05</t>
  </si>
  <si>
    <t>16-6B-06</t>
  </si>
  <si>
    <t>16-8B-04</t>
  </si>
  <si>
    <t>16-8B-05</t>
  </si>
  <si>
    <t>16-8B-06</t>
  </si>
  <si>
    <t>16-8B-11-02</t>
  </si>
  <si>
    <t>20-C125-08A</t>
  </si>
  <si>
    <t>20-L50-04A</t>
  </si>
  <si>
    <t>20-L50-05A</t>
  </si>
  <si>
    <t>20-L50-05B</t>
  </si>
  <si>
    <t>20-L50-06A</t>
  </si>
  <si>
    <t>20-L50-08A</t>
  </si>
  <si>
    <t>20-L50-10B</t>
  </si>
  <si>
    <t>20-L75-05A</t>
  </si>
  <si>
    <t>20-L75-06A</t>
  </si>
  <si>
    <t>20-L75-06B</t>
  </si>
  <si>
    <t>20-L75-07A</t>
  </si>
  <si>
    <t>20-L75-08A</t>
  </si>
  <si>
    <t>20-L75-09A</t>
  </si>
  <si>
    <t>20-L75-10A</t>
  </si>
  <si>
    <t>20-L75-11A</t>
  </si>
  <si>
    <t>20-L75-12A</t>
  </si>
  <si>
    <t>20-L75-14A</t>
  </si>
  <si>
    <t>21-L50-02B</t>
  </si>
  <si>
    <t>21-L50-04A</t>
  </si>
  <si>
    <t>21-L50-05A</t>
  </si>
  <si>
    <t>21-L50-05B</t>
  </si>
  <si>
    <t>21-L50-06A</t>
  </si>
  <si>
    <t>21-L50-06B</t>
  </si>
  <si>
    <t>21-L50-07A</t>
  </si>
  <si>
    <t>21-L50-09A</t>
  </si>
  <si>
    <t>21-L50-10A</t>
  </si>
  <si>
    <t>21-L75-03A</t>
  </si>
  <si>
    <t>21-L75-03B</t>
  </si>
  <si>
    <t>21-L75-03C-07</t>
  </si>
  <si>
    <t>21-L75-04A</t>
  </si>
  <si>
    <t>21-L75-04C-06</t>
  </si>
  <si>
    <t>21-L75-04C-07</t>
  </si>
  <si>
    <t>21-L75-04C-08</t>
  </si>
  <si>
    <t>21-L75-05A</t>
  </si>
  <si>
    <t>21-L75-05B</t>
  </si>
  <si>
    <t>21-L75-05C-08</t>
  </si>
  <si>
    <t>21-L75-06A</t>
  </si>
  <si>
    <t>21-L75-06B</t>
  </si>
  <si>
    <t>21-L75-07A</t>
  </si>
  <si>
    <t>21-L75-07B</t>
  </si>
  <si>
    <t>21-L75-07C-07</t>
  </si>
  <si>
    <t>21-L75-08A</t>
  </si>
  <si>
    <t>21-L75-08B</t>
  </si>
  <si>
    <t>21-L75-08C-08</t>
  </si>
  <si>
    <t>21-L75-09A</t>
  </si>
  <si>
    <t>21-L75-10A</t>
  </si>
  <si>
    <t>21-L75-10B</t>
  </si>
  <si>
    <t>21-L75-11A</t>
  </si>
  <si>
    <t>21-L75-12B</t>
  </si>
  <si>
    <t>21-L75-14A</t>
  </si>
  <si>
    <t>21-L75-14B</t>
  </si>
  <si>
    <t>21-L75-15A</t>
  </si>
  <si>
    <t>21-L75-16A</t>
  </si>
  <si>
    <t>21-L75-16B</t>
  </si>
  <si>
    <t>22-L50-02A-L</t>
  </si>
  <si>
    <t>22-L50-03A-L</t>
  </si>
  <si>
    <t>22-L50-04A-L</t>
  </si>
  <si>
    <t>22-L50-05A-L</t>
  </si>
  <si>
    <t>22-L50-07A-L</t>
  </si>
  <si>
    <t>22-L50-08A-L</t>
  </si>
  <si>
    <t>22-L50-08B-L</t>
  </si>
  <si>
    <t>22-L50-09A-L</t>
  </si>
  <si>
    <t>22-L50-10A-L</t>
  </si>
  <si>
    <t>22-L75-03A-L</t>
  </si>
  <si>
    <t>22-L75-04A-L</t>
  </si>
  <si>
    <t>22-L75-08B-L</t>
  </si>
  <si>
    <t>22-L75-09A-L</t>
  </si>
  <si>
    <t>22-L75-10A-L</t>
  </si>
  <si>
    <t>22-L75-10B-L</t>
  </si>
  <si>
    <t>22-L75-11A-L</t>
  </si>
  <si>
    <t>22-L75-13A-L</t>
  </si>
  <si>
    <t>22-L75-14B-L</t>
  </si>
  <si>
    <t>22-L75-15A-L</t>
  </si>
  <si>
    <t>23-L50-02A</t>
  </si>
  <si>
    <t>23-L50-03A</t>
  </si>
  <si>
    <t>23-L50-03B</t>
  </si>
  <si>
    <t>23-L50-04A</t>
  </si>
  <si>
    <t>23-L50-04B</t>
  </si>
  <si>
    <t>23-L50-05A</t>
  </si>
  <si>
    <t>23-L50-06A</t>
  </si>
  <si>
    <t>23-L50-06B</t>
  </si>
  <si>
    <t>23-L50-07A</t>
  </si>
  <si>
    <t>23-L50-09A</t>
  </si>
  <si>
    <t>23-L50-09B</t>
  </si>
  <si>
    <t>23-L75-01A</t>
  </si>
  <si>
    <t>23-L75-03A</t>
  </si>
  <si>
    <t>23-L75-03B</t>
  </si>
  <si>
    <t>23-L75-03C-07</t>
  </si>
  <si>
    <t>23-L75-04A</t>
  </si>
  <si>
    <t>23-L75-04B</t>
  </si>
  <si>
    <t>23-L75-04C-06</t>
  </si>
  <si>
    <t>23-L75-04C-07</t>
  </si>
  <si>
    <t>23-L75-04C-08</t>
  </si>
  <si>
    <t>23-L75-05A</t>
  </si>
  <si>
    <t>23-L75-05B</t>
  </si>
  <si>
    <t>23-L75-05C-07</t>
  </si>
  <si>
    <t>23-L75-06A</t>
  </si>
  <si>
    <t>23-L75-06B</t>
  </si>
  <si>
    <t>23-L75-06C-07</t>
  </si>
  <si>
    <t>23-L75-07A</t>
  </si>
  <si>
    <t>23-L75-08A</t>
  </si>
  <si>
    <t>23-L75-08C-07</t>
  </si>
  <si>
    <t>23-L75-09A</t>
  </si>
  <si>
    <t>23-L75-10A</t>
  </si>
  <si>
    <t>23-L75-12A</t>
  </si>
  <si>
    <t>23-L75-14A</t>
  </si>
  <si>
    <t>23-L75-14C-06</t>
  </si>
  <si>
    <t>23-L75-15A</t>
  </si>
  <si>
    <t>23-L75-17B</t>
  </si>
  <si>
    <t>23-L75-20A</t>
  </si>
  <si>
    <t>23-L75-20C-06</t>
  </si>
  <si>
    <t>23-L75-21A</t>
  </si>
  <si>
    <t>23-L75-24A</t>
  </si>
  <si>
    <t>23-L75-24B</t>
  </si>
  <si>
    <t>23-L75-25A</t>
  </si>
  <si>
    <t>25-L50-0108A</t>
  </si>
  <si>
    <t>25-L50-0201A</t>
  </si>
  <si>
    <t>25-L50-0202A</t>
  </si>
  <si>
    <t>25-L50-0204A</t>
  </si>
  <si>
    <t>25-L50-0205A</t>
  </si>
  <si>
    <t>25-L50-0206A</t>
  </si>
  <si>
    <t>25-L50-0207A</t>
  </si>
  <si>
    <t>25-L50-0308A</t>
  </si>
  <si>
    <t>25-L50-0402A-0301</t>
  </si>
  <si>
    <t>25-L50-0404A</t>
  </si>
  <si>
    <t>25-L50-0404A-0301</t>
  </si>
  <si>
    <t>25-L50-0502A</t>
  </si>
  <si>
    <t>25-L50-0502A-0401</t>
  </si>
  <si>
    <t>25-L75-0308A</t>
  </si>
  <si>
    <t>25-L75-0309A</t>
  </si>
  <si>
    <t>25-L75-0403A-0301</t>
  </si>
  <si>
    <t>25-L75-0404A</t>
  </si>
  <si>
    <t>25-L75-0505A</t>
  </si>
  <si>
    <t>25-L75-0507A</t>
  </si>
  <si>
    <t>25-L75-0507A-0401</t>
  </si>
  <si>
    <t>25-L75-0509A</t>
  </si>
  <si>
    <t>25-L75-0603A</t>
  </si>
  <si>
    <t>25-L75-0604A</t>
  </si>
  <si>
    <t>25-L75-0605A</t>
  </si>
  <si>
    <t>25-L75-0607A-0402</t>
  </si>
  <si>
    <t>25-L75-0609A-0105</t>
  </si>
  <si>
    <t>25-L75-0710A-0106</t>
  </si>
  <si>
    <t>25-L75-0805A-0503</t>
  </si>
  <si>
    <t>25-L75-0907A</t>
  </si>
  <si>
    <t>26-L75-0503A</t>
  </si>
  <si>
    <t>26-L75-0507A</t>
  </si>
  <si>
    <t>26-L75-0704A</t>
  </si>
  <si>
    <t>26-L75-0804A</t>
  </si>
  <si>
    <t>26-L75-0807A</t>
  </si>
  <si>
    <t>26-L75-0904A</t>
  </si>
  <si>
    <t>26-L75-0906A</t>
  </si>
  <si>
    <t>27-H125-0215L</t>
  </si>
  <si>
    <t>27-H125-0303T</t>
  </si>
  <si>
    <t>27-H150-0304L</t>
  </si>
  <si>
    <t>27-H150-0306L</t>
  </si>
  <si>
    <t>27-H150-0405L</t>
  </si>
  <si>
    <t>27-H150-0505T</t>
  </si>
  <si>
    <t>27-L50-0202L</t>
  </si>
  <si>
    <t>27-L50-0304L</t>
  </si>
  <si>
    <t>27-L50-0403L-0301</t>
  </si>
  <si>
    <t>27-L50-0405L</t>
  </si>
  <si>
    <t>27-L75-0303L</t>
  </si>
  <si>
    <t>27-L75-0307L</t>
  </si>
  <si>
    <t>27-L75-0313L</t>
  </si>
  <si>
    <t>28-C125-1413L</t>
  </si>
  <si>
    <t>28-L75-0915L</t>
  </si>
  <si>
    <t>30-C125-0512A-0401</t>
  </si>
  <si>
    <t>30-C125-1008B-0901</t>
  </si>
  <si>
    <t>30-C150-0311A</t>
  </si>
  <si>
    <t>30-C150-0515A</t>
  </si>
  <si>
    <t>30-C150-0815A-0701</t>
  </si>
  <si>
    <t>30-C150-0904B-0801</t>
  </si>
  <si>
    <t>30-L50-0202A</t>
  </si>
  <si>
    <t>30-L50-0203A</t>
  </si>
  <si>
    <t>30-L50-0303A</t>
  </si>
  <si>
    <t>30-L50-0305A</t>
  </si>
  <si>
    <t>30-L50-0403A-0301</t>
  </si>
  <si>
    <t>30-L75-0203A</t>
  </si>
  <si>
    <t>30-L75-0205A</t>
  </si>
  <si>
    <t>30-L75-0208A</t>
  </si>
  <si>
    <t>30-L75-0302A</t>
  </si>
  <si>
    <t>30-L75-0303A</t>
  </si>
  <si>
    <t>30-L75-0305A</t>
  </si>
  <si>
    <t>30-L75-0310A</t>
  </si>
  <si>
    <t>30-L75-0311A</t>
  </si>
  <si>
    <t>30-L75-0402A</t>
  </si>
  <si>
    <t>30-L75-0403A</t>
  </si>
  <si>
    <t>30-L75-0405A</t>
  </si>
  <si>
    <t>30-L75-0405A-0301</t>
  </si>
  <si>
    <t>30-L75-0409A-0301</t>
  </si>
  <si>
    <t>30-L75-0504A-0401</t>
  </si>
  <si>
    <t>30-L75-0505A</t>
  </si>
  <si>
    <t>30-L75-0505A-0401</t>
  </si>
  <si>
    <t>30-L75-0506A-0401</t>
  </si>
  <si>
    <t>30-L75-0605B</t>
  </si>
  <si>
    <t>30-L75-0606B</t>
  </si>
  <si>
    <t>30-L75-0608A</t>
  </si>
  <si>
    <t>30-L75-0611A-0501</t>
  </si>
  <si>
    <t>30-L75-0705A-0601</t>
  </si>
  <si>
    <t>30-L75-0806A</t>
  </si>
  <si>
    <t>30-L75-0809A</t>
  </si>
  <si>
    <t>30-L75-0814A</t>
  </si>
  <si>
    <t>30-L75-0816A</t>
  </si>
  <si>
    <t>30-L75-0820A</t>
  </si>
  <si>
    <t>30-L75-0825A</t>
  </si>
  <si>
    <t>31-C150-0407</t>
  </si>
  <si>
    <t>31-C150-0505</t>
  </si>
  <si>
    <t>31-C150-0509</t>
  </si>
  <si>
    <t>31-C150-0707</t>
  </si>
  <si>
    <t>31-L50-0405</t>
  </si>
  <si>
    <t>31-L75-0405</t>
  </si>
  <si>
    <t>31-L75-0503</t>
  </si>
  <si>
    <t>31-L75-0511</t>
  </si>
  <si>
    <t>31-L75-0604</t>
  </si>
  <si>
    <t>31-L75-0804</t>
  </si>
  <si>
    <t>31-L75-0904</t>
  </si>
  <si>
    <t>32-C125-0507</t>
  </si>
  <si>
    <t>32-C125-0610</t>
  </si>
  <si>
    <t>32-C125-0612</t>
  </si>
  <si>
    <t>32-C125-0705</t>
  </si>
  <si>
    <t>32-C125-0707</t>
  </si>
  <si>
    <t>32-C125-0716</t>
  </si>
  <si>
    <t>32-C125-0717</t>
  </si>
  <si>
    <t>32-C125-1007</t>
  </si>
  <si>
    <t>32-C125-1009</t>
  </si>
  <si>
    <t>32-C150-0617</t>
  </si>
  <si>
    <t>32-C150-0705</t>
  </si>
  <si>
    <t>32-C150-1114</t>
  </si>
  <si>
    <t>32-L50-0405</t>
  </si>
  <si>
    <t>32-L50-0506</t>
  </si>
  <si>
    <t>32-L50-0605</t>
  </si>
  <si>
    <t>32-L50-0803</t>
  </si>
  <si>
    <t>32-L75-0405</t>
  </si>
  <si>
    <t>32-L75-0505</t>
  </si>
  <si>
    <t>32-L75-0506</t>
  </si>
  <si>
    <t>32-L75-0507</t>
  </si>
  <si>
    <t>32-L75-0511</t>
  </si>
  <si>
    <t>32-L75-0606</t>
  </si>
  <si>
    <t>32-L75-0705</t>
  </si>
  <si>
    <t>32-L75-0708</t>
  </si>
  <si>
    <t>32-L75-0806</t>
  </si>
  <si>
    <t>32-L75-0904</t>
  </si>
  <si>
    <t>32-L75-0905</t>
  </si>
  <si>
    <t>32-L75-0918</t>
  </si>
  <si>
    <t>32-L75-1005</t>
  </si>
  <si>
    <t>32-L75-1118</t>
  </si>
  <si>
    <t>32-L75-1206</t>
  </si>
  <si>
    <t>32-L75-1207</t>
  </si>
  <si>
    <t>33-C125-0605</t>
  </si>
  <si>
    <t>33-C150-1004</t>
  </si>
  <si>
    <t>33-C150-1005</t>
  </si>
  <si>
    <t>34-C150-0808</t>
  </si>
  <si>
    <t>35-C100-04A</t>
  </si>
  <si>
    <t>35-C100-05A</t>
  </si>
  <si>
    <t>35-C100-06A</t>
  </si>
  <si>
    <t>35-C100-07A</t>
  </si>
  <si>
    <t>35-C100-08A</t>
  </si>
  <si>
    <t>35-C100-09A</t>
  </si>
  <si>
    <t>35-C100-10A</t>
  </si>
  <si>
    <t>35-C100-11A</t>
  </si>
  <si>
    <t>35-C100-12A</t>
  </si>
  <si>
    <t>35-C100-13A</t>
  </si>
  <si>
    <t>35-C125-02A</t>
  </si>
  <si>
    <t>35-C125-05A</t>
  </si>
  <si>
    <t>35-C125-06A</t>
  </si>
  <si>
    <t>35-C125-07A</t>
  </si>
  <si>
    <t>35-C125-08A</t>
  </si>
  <si>
    <t>35-C125-09A</t>
  </si>
  <si>
    <t>35-C150-03A</t>
  </si>
  <si>
    <t>35-C150-04A</t>
  </si>
  <si>
    <t>35-C150-05A</t>
  </si>
  <si>
    <t>35-C150-06A</t>
  </si>
  <si>
    <t>35-C150-07A</t>
  </si>
  <si>
    <t>35-C150-08A</t>
  </si>
  <si>
    <t>35-C150-10A</t>
  </si>
  <si>
    <t>35-C150-17A</t>
  </si>
  <si>
    <t>35-L50-02A</t>
  </si>
  <si>
    <t>35-L50-03A</t>
  </si>
  <si>
    <t>35-L50-04A</t>
  </si>
  <si>
    <t>35-L50-05A</t>
  </si>
  <si>
    <t>35-L50-06A</t>
  </si>
  <si>
    <t>35-L75-02A</t>
  </si>
  <si>
    <t>35-L75-03A</t>
  </si>
  <si>
    <t>35-L75-04A</t>
  </si>
  <si>
    <t>35-L75-05A</t>
  </si>
  <si>
    <t>35-L75-06A</t>
  </si>
  <si>
    <t>35-L75-07A</t>
  </si>
  <si>
    <t>35-L75-08A</t>
  </si>
  <si>
    <t>37-C100-350B</t>
  </si>
  <si>
    <t>37-C125-1000A</t>
  </si>
  <si>
    <t>37-C125-400A-08</t>
  </si>
  <si>
    <t>37-C125-600A</t>
  </si>
  <si>
    <t>37-C125-775A</t>
  </si>
  <si>
    <t>37-C125-900A</t>
  </si>
  <si>
    <t>37-H100-1500A</t>
  </si>
  <si>
    <t>37-H100-1553B</t>
  </si>
  <si>
    <t>37-H100-350B</t>
  </si>
  <si>
    <t>37-H100-525B</t>
  </si>
  <si>
    <t>37-H100-575A-03</t>
  </si>
  <si>
    <t>37-H100-593A-03</t>
  </si>
  <si>
    <t>37-H100-690A-03</t>
  </si>
  <si>
    <t>37-H100-700A-03</t>
  </si>
  <si>
    <t>37-H100-800A-03</t>
  </si>
  <si>
    <t>37-H100-913A-03</t>
  </si>
  <si>
    <t>37-H125-700B</t>
  </si>
  <si>
    <t>37-H125-725A</t>
  </si>
  <si>
    <t>37-H150-725B</t>
  </si>
  <si>
    <t>37-L75-1285A</t>
  </si>
  <si>
    <t>37-L75-250B</t>
  </si>
  <si>
    <t>37-L75-300B</t>
  </si>
  <si>
    <t>37-L75-400A</t>
  </si>
  <si>
    <t>39-C100-800A</t>
  </si>
  <si>
    <t>48-1 1/2B</t>
  </si>
  <si>
    <t>48-1B</t>
  </si>
  <si>
    <t>48-3/4B</t>
  </si>
  <si>
    <t>51-8B</t>
  </si>
  <si>
    <t>52-1 1/2B</t>
  </si>
  <si>
    <t>52-1 1/2B-(S)</t>
  </si>
  <si>
    <t>52-1 1/2B-A-120-150</t>
  </si>
  <si>
    <t>52-1 1/2B-A-134-150</t>
  </si>
  <si>
    <t>52-1/2B</t>
  </si>
  <si>
    <t>52-1/2B- -100-100</t>
  </si>
  <si>
    <t>52-1/2B- -74-150</t>
  </si>
  <si>
    <t>52-1/2B- -75-150</t>
  </si>
  <si>
    <t>52-1/2B- -81-150</t>
  </si>
  <si>
    <t>52-1/2B- -93-150</t>
  </si>
  <si>
    <t>52-1/2B--81-150</t>
  </si>
  <si>
    <t>52-10B</t>
  </si>
  <si>
    <t>52-10B-B-200-300</t>
  </si>
  <si>
    <t>52-12B</t>
  </si>
  <si>
    <t>52-12B-A(S)</t>
  </si>
  <si>
    <t>52-12B-A-124-300</t>
  </si>
  <si>
    <t>52-1B</t>
  </si>
  <si>
    <t>52-1B- -100-100</t>
  </si>
  <si>
    <t>52-1B- -94-150</t>
  </si>
  <si>
    <t>52-1B- -96-150</t>
  </si>
  <si>
    <t>52-1B-(N)</t>
  </si>
  <si>
    <t>52-1B-(S)</t>
  </si>
  <si>
    <t>52-1B-A-107-150</t>
  </si>
  <si>
    <t>52-1B-A-113-150</t>
  </si>
  <si>
    <t>52-2B</t>
  </si>
  <si>
    <t>52-2B-(N)</t>
  </si>
  <si>
    <t>52-2B-(S)</t>
  </si>
  <si>
    <t>52-2B-A-150-150</t>
  </si>
  <si>
    <t>52-2B-B</t>
  </si>
  <si>
    <t>52-3/4B</t>
  </si>
  <si>
    <t>52-3/4B-(S)</t>
  </si>
  <si>
    <t>52-3/4B-A(S)</t>
  </si>
  <si>
    <t>52-3/4B-A-104-150</t>
  </si>
  <si>
    <t>52-3/4B-A-120-150</t>
  </si>
  <si>
    <t>52-3/4B-A-131-150</t>
  </si>
  <si>
    <t>52-3B</t>
  </si>
  <si>
    <t>52-3B- -100-150</t>
  </si>
  <si>
    <t>52-3B-(S)</t>
  </si>
  <si>
    <t>52-3B-A-120-250</t>
  </si>
  <si>
    <t>52-3B-B-178-250</t>
  </si>
  <si>
    <t>52-4B</t>
  </si>
  <si>
    <t>52-4B- -87-250</t>
  </si>
  <si>
    <t>52-4B-(S)</t>
  </si>
  <si>
    <t>52-4B-A(S)</t>
  </si>
  <si>
    <t>52-4B-A-120-250</t>
  </si>
  <si>
    <t>52-4B-B-200-250</t>
  </si>
  <si>
    <t>52-6B</t>
  </si>
  <si>
    <t>52-6B-A</t>
  </si>
  <si>
    <t>52-6B-A(A)</t>
  </si>
  <si>
    <t>52-6B-A(S)</t>
  </si>
  <si>
    <t>52-8B</t>
  </si>
  <si>
    <t>52-8B-(A)</t>
  </si>
  <si>
    <t>52-8B-A(A)</t>
  </si>
  <si>
    <t>52-8B-A(S)-140-403</t>
  </si>
  <si>
    <t>53-1 1/2B</t>
  </si>
  <si>
    <t>53-10B</t>
  </si>
  <si>
    <t>53-10B-A(S)</t>
  </si>
  <si>
    <t>53-12B-A</t>
  </si>
  <si>
    <t>53-12B-A(S)</t>
  </si>
  <si>
    <t>53-14B-A</t>
  </si>
  <si>
    <t>53-16B-(N)</t>
  </si>
  <si>
    <t>53-16B-A(S)</t>
  </si>
  <si>
    <t>53-1B</t>
  </si>
  <si>
    <t>53-1B-(S)</t>
  </si>
  <si>
    <t>53-20B-A</t>
  </si>
  <si>
    <t>53-28B-A</t>
  </si>
  <si>
    <t>53-2B</t>
  </si>
  <si>
    <t>53-3/4B</t>
  </si>
  <si>
    <t>53-3B</t>
  </si>
  <si>
    <t>53-4B</t>
  </si>
  <si>
    <t>53-6B</t>
  </si>
  <si>
    <t>53-6B-(S)</t>
  </si>
  <si>
    <t>53-6B-A(A)</t>
  </si>
  <si>
    <t>53-6B-A(S)-150-300</t>
  </si>
  <si>
    <t>53-8B</t>
  </si>
  <si>
    <t>53-8B-A(A)</t>
  </si>
  <si>
    <t>53-8B-A(S)-150-300</t>
  </si>
  <si>
    <t>54-1 1/2B</t>
  </si>
  <si>
    <t>54-1/2B</t>
  </si>
  <si>
    <t>54-2B</t>
  </si>
  <si>
    <t>54-3B</t>
  </si>
  <si>
    <t>55-1 1/2B</t>
  </si>
  <si>
    <t>57-1 1/2B-A</t>
  </si>
  <si>
    <t>57-1/2B-A</t>
  </si>
  <si>
    <t>57-1B-A</t>
  </si>
  <si>
    <t>57-1B-B</t>
  </si>
  <si>
    <t>57-2B-A</t>
  </si>
  <si>
    <t>57-3/4B-A</t>
  </si>
  <si>
    <t>59-1 1/2B-A</t>
  </si>
  <si>
    <t>59-1 1/2B-A(S)</t>
  </si>
  <si>
    <t>59-1/2B-A</t>
  </si>
  <si>
    <t>59-1B-A</t>
  </si>
  <si>
    <t>59-1B-A(N)</t>
  </si>
  <si>
    <t>59-1B-A(S)</t>
  </si>
  <si>
    <t>59-1B-B</t>
  </si>
  <si>
    <t>59-2B-A</t>
  </si>
  <si>
    <t>59-2B-A(N)</t>
  </si>
  <si>
    <t>59-3/4B-A</t>
  </si>
  <si>
    <t>59-3/4B-A(S)</t>
  </si>
  <si>
    <t>59-3/4B-B</t>
  </si>
  <si>
    <t>59-3B-A</t>
  </si>
  <si>
    <t>59-3B-A(S)</t>
  </si>
  <si>
    <t>59-4B-A</t>
  </si>
  <si>
    <t>59-6B-A</t>
  </si>
  <si>
    <t>59-6B-A(S)</t>
  </si>
  <si>
    <t>61-2B-T1-03</t>
  </si>
  <si>
    <t>61-2B-T1-04</t>
  </si>
  <si>
    <t>61-3B-T1-06</t>
  </si>
  <si>
    <t>61-3B-T1-07(P4)</t>
  </si>
  <si>
    <t>61-4B-T1-04</t>
  </si>
  <si>
    <t>61-4B-T1-05</t>
  </si>
  <si>
    <t>61-4B-T1-07(P6)</t>
  </si>
  <si>
    <t>61-4B-T1-08</t>
  </si>
  <si>
    <t>61-8B-T1-04</t>
  </si>
  <si>
    <t>61-8B-T1-06</t>
  </si>
  <si>
    <t>61-8B-T2-06</t>
  </si>
  <si>
    <t>66-1 1/2B</t>
  </si>
  <si>
    <t>66-1 1/2B-(S)</t>
  </si>
  <si>
    <t>66-1/2B</t>
  </si>
  <si>
    <t>66-10B</t>
  </si>
  <si>
    <t>66-10B-(N)-69-300</t>
  </si>
  <si>
    <t>66-10B-A(S)</t>
  </si>
  <si>
    <t>66-10B-A(S)-112-300</t>
  </si>
  <si>
    <t>66-10B-A(S)-150-350</t>
  </si>
  <si>
    <t>66-12B</t>
  </si>
  <si>
    <t>66-12B-(N)</t>
  </si>
  <si>
    <t>66-12B-(N)-100-300</t>
  </si>
  <si>
    <t>66-12B-A</t>
  </si>
  <si>
    <t>66-12B-A(S)</t>
  </si>
  <si>
    <t>66-12B-C(N)-210-300</t>
  </si>
  <si>
    <t>66-14B-(S)</t>
  </si>
  <si>
    <t>66-14B-A</t>
  </si>
  <si>
    <t>66-16B</t>
  </si>
  <si>
    <t>66-16B-(N)</t>
  </si>
  <si>
    <t>66-1B</t>
  </si>
  <si>
    <t>66-1B-(S)</t>
  </si>
  <si>
    <t>66-20B-A</t>
  </si>
  <si>
    <t>66-28B-A</t>
  </si>
  <si>
    <t>66-2B</t>
  </si>
  <si>
    <t>66-2B-(N)</t>
  </si>
  <si>
    <t>66-2B-(S)</t>
  </si>
  <si>
    <t>66-2B-B</t>
  </si>
  <si>
    <t>66-3/4B</t>
  </si>
  <si>
    <t>66-3/4B-(S)</t>
  </si>
  <si>
    <t>66-3/4B-(S)-100-100</t>
  </si>
  <si>
    <t>66-3/4B-A(S)</t>
  </si>
  <si>
    <t>66-3B</t>
  </si>
  <si>
    <t>66-3B-(S)</t>
  </si>
  <si>
    <t>66-3B-A-150-250</t>
  </si>
  <si>
    <t>66-4B</t>
  </si>
  <si>
    <t>66-4B(P)</t>
  </si>
  <si>
    <t>66-4B-(S)</t>
  </si>
  <si>
    <t>66-4B-A</t>
  </si>
  <si>
    <t>66-4B-A(S)</t>
  </si>
  <si>
    <t>66-4B-B-175-400</t>
  </si>
  <si>
    <t>66-6B</t>
  </si>
  <si>
    <t>66-6B(P)</t>
  </si>
  <si>
    <t>66-6B-A</t>
  </si>
  <si>
    <t>66-6B-A(A)</t>
  </si>
  <si>
    <t>66-6B-A(A)-150-350</t>
  </si>
  <si>
    <t>66-6B-A(S)</t>
  </si>
  <si>
    <t>66-6B-B-175-250</t>
  </si>
  <si>
    <t>66-6B-C-239-300</t>
  </si>
  <si>
    <t>66-8B</t>
  </si>
  <si>
    <t>66-8B-(N)</t>
  </si>
  <si>
    <t>66-8B(P)</t>
  </si>
  <si>
    <t>66-8B-A(A)</t>
  </si>
  <si>
    <t>66-8B-A(S)</t>
  </si>
  <si>
    <t>66-8B-A(S)-140-403</t>
  </si>
  <si>
    <t>67-1/2B</t>
  </si>
  <si>
    <t>67-1B</t>
  </si>
  <si>
    <t>67-1B-A</t>
  </si>
  <si>
    <t>67-2B</t>
  </si>
  <si>
    <t>80-10B-A(S)-150-356</t>
  </si>
  <si>
    <t>80-12B-A(S)-150-410</t>
  </si>
  <si>
    <t>80-1B-(S)-100-310</t>
  </si>
  <si>
    <t>80-3B--100-380</t>
  </si>
  <si>
    <t>80-4B- -100-410</t>
  </si>
  <si>
    <t>80-4B-(S)-100-306</t>
  </si>
  <si>
    <t>80-4B--100-310</t>
  </si>
  <si>
    <t>80-6B-A(S)-150-460</t>
  </si>
  <si>
    <t>80-6B-A(S)-150-489</t>
  </si>
  <si>
    <t>80-8B--100-706</t>
  </si>
  <si>
    <t>80-8B-A(A)-150-706</t>
  </si>
  <si>
    <t>83-16B- -100-410</t>
  </si>
  <si>
    <t>83-2B-(S)-100-706</t>
  </si>
  <si>
    <t>83-2B--100-463</t>
  </si>
  <si>
    <t>83-2B--100-706</t>
  </si>
  <si>
    <t>83-3/4B-(S)-100-310</t>
  </si>
  <si>
    <t>83-3B-(S)-100-463</t>
  </si>
  <si>
    <t>83-3B--100-310</t>
  </si>
  <si>
    <t>83-3B--100-463</t>
  </si>
  <si>
    <t>83-4B--100-310</t>
  </si>
  <si>
    <t>83-4B--100-463</t>
  </si>
  <si>
    <t>83-4B--100-706</t>
  </si>
  <si>
    <t>83-6B- -100-260</t>
  </si>
  <si>
    <t>83-6B--100-310</t>
  </si>
  <si>
    <t>83-6B-A(S)-150-306</t>
  </si>
  <si>
    <t>83-8B(P)--100-706</t>
  </si>
  <si>
    <t>83-8B--100-706</t>
  </si>
  <si>
    <t>85-1 1/2B</t>
  </si>
  <si>
    <t>85-1/2B</t>
  </si>
  <si>
    <t>85-16B</t>
  </si>
  <si>
    <t>85-1B</t>
  </si>
  <si>
    <t>85-1B- -83-150</t>
  </si>
  <si>
    <t>85-2B</t>
  </si>
  <si>
    <t>85-3B</t>
  </si>
  <si>
    <t>85-3B-(S)</t>
  </si>
  <si>
    <t>85-4B</t>
  </si>
  <si>
    <t>85-4B-(S)</t>
  </si>
  <si>
    <t>85-6B</t>
  </si>
  <si>
    <t>85-6B-(S)</t>
  </si>
  <si>
    <t>85-6B-A(S)</t>
  </si>
  <si>
    <t>86-6B</t>
  </si>
  <si>
    <t>87-1 1/2-07G</t>
  </si>
  <si>
    <t>87-1-06G</t>
  </si>
  <si>
    <t>87-1-07G</t>
  </si>
  <si>
    <t>87-1-08G</t>
  </si>
  <si>
    <t>87-1-10G</t>
  </si>
  <si>
    <t>87-1-13G</t>
  </si>
  <si>
    <t>SPS-3000-18</t>
  </si>
  <si>
    <t>35-H100-25</t>
  </si>
  <si>
    <t>SPS-3000D-004</t>
  </si>
  <si>
    <t>2"*SCH.40</t>
  </si>
  <si>
    <t>3"*SCH.40</t>
  </si>
  <si>
    <t>4"*SCH.40</t>
  </si>
  <si>
    <t>Plate_b_需鑽孔</t>
  </si>
  <si>
    <t>6"*SCH.40</t>
  </si>
  <si>
    <t>Plate_e_不需鑽孔</t>
  </si>
  <si>
    <t>Channel</t>
  </si>
  <si>
    <t>125*65*6</t>
  </si>
  <si>
    <t>Plate(STOPPER)_08Type</t>
  </si>
  <si>
    <t>Plate(TOP)_08Type</t>
  </si>
  <si>
    <t>2"*SCH.80</t>
  </si>
  <si>
    <t>MACHINE BOLT</t>
  </si>
  <si>
    <t>1-5/8""*150L</t>
  </si>
  <si>
    <t>A307Gr.B(熱浸鋅)</t>
  </si>
  <si>
    <t>12"*STD.WT</t>
  </si>
  <si>
    <t>200*90*8</t>
  </si>
  <si>
    <t>Plate(wing)_15Type</t>
  </si>
  <si>
    <t>Plate(STOPPER)_15Type</t>
  </si>
  <si>
    <t>Plate(BASE PLATE)_15Type</t>
  </si>
  <si>
    <t>Plate(TOP)_15Type</t>
  </si>
  <si>
    <t>Plate</t>
  </si>
  <si>
    <t>50*50*6</t>
  </si>
  <si>
    <t>75*75*9</t>
  </si>
  <si>
    <t>Error03</t>
  </si>
  <si>
    <t>H Beam</t>
  </si>
  <si>
    <t>150*150*10</t>
  </si>
  <si>
    <t>Plate_c_需鑽孔</t>
  </si>
  <si>
    <t>Plate(Wing)_27Type</t>
  </si>
  <si>
    <t>3/4"</t>
  </si>
  <si>
    <t>150*75*9</t>
  </si>
  <si>
    <t>100*50*5</t>
  </si>
  <si>
    <t>37-H150-725B</t>
    <phoneticPr fontId="19" type="noConversion"/>
  </si>
  <si>
    <t>Plate_48Type</t>
  </si>
  <si>
    <t>SPS-3000D-004</t>
    <phoneticPr fontId="19" type="noConversion"/>
  </si>
  <si>
    <t>1-5/8""*300L</t>
  </si>
  <si>
    <t>washer</t>
  </si>
  <si>
    <t>92*9t*50</t>
  </si>
  <si>
    <t>Spring</t>
  </si>
  <si>
    <t>12W46ID</t>
  </si>
  <si>
    <t>A229</t>
  </si>
  <si>
    <t>執行紀錄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</si>
</sst>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"/>
    <numFmt numFmtId="178" formatCode="m&quot;月&quot;d&quot;日&quot;"/>
  </numFmts>
  <fonts count="4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1"/>
      <name val="Calibri"/>
      <family val="2"/>
      <charset val="136"/>
    </font>
    <font>
      <sz val="12"/>
      <color rgb="FF9C65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color theme="1"/>
      <name val="Calibri"/>
      <family val="2"/>
    </font>
    <font>
      <sz val="11"/>
      <color theme="1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6"/>
      <name val="Calibri"/>
      <family val="2"/>
    </font>
    <font>
      <sz val="16"/>
      <color rgb="FF0070C0"/>
      <name val="Calibri"/>
      <family val="2"/>
    </font>
    <font>
      <b/>
      <sz val="16"/>
      <color rgb="FF000000"/>
      <name val="Calibri"/>
      <family val="2"/>
    </font>
    <font>
      <b/>
      <vertAlign val="subscript"/>
      <sz val="16"/>
      <color rgb="FF000000"/>
      <name val="Calibri"/>
      <family val="2"/>
    </font>
    <font>
      <sz val="16"/>
      <color rgb="FF00B0F0"/>
      <name val="Calibri"/>
      <family val="2"/>
    </font>
    <font>
      <b/>
      <sz val="16"/>
      <color rgb="FF00B0F0"/>
      <name val="Calibri"/>
      <family val="2"/>
    </font>
    <font>
      <b/>
      <sz val="16"/>
      <name val="Calibri"/>
      <family val="2"/>
    </font>
    <font>
      <sz val="12"/>
      <name val="細明體"/>
      <family val="2"/>
      <charset val="136"/>
    </font>
    <font>
      <sz val="12"/>
      <color theme="1"/>
      <name val="細明體"/>
      <family val="2"/>
      <charset val="136"/>
    </font>
    <font>
      <sz val="12"/>
      <color rgb="FF000000"/>
      <name val="新細明體"/>
      <family val="1"/>
      <charset val="136"/>
    </font>
    <font>
      <sz val="10.8"/>
      <color rgb="FF666666"/>
      <name val="Arial"/>
      <family val="2"/>
    </font>
    <font>
      <b/>
      <sz val="8"/>
      <color rgb="FF7F7F7F"/>
      <name val="Arial"/>
      <family val="2"/>
    </font>
    <font>
      <b/>
      <sz val="8"/>
      <color rgb="FFFF0000"/>
      <name val="Arial"/>
      <family val="2"/>
    </font>
    <font>
      <sz val="10.8"/>
      <color rgb="FFFF0000"/>
      <name val="Arial"/>
      <family val="2"/>
    </font>
    <font>
      <sz val="11"/>
      <name val="Calibri"/>
      <family val="2"/>
    </font>
    <font>
      <sz val="12"/>
      <color theme="1"/>
      <name val="新細明體"/>
      <family val="1"/>
      <charset val="136"/>
      <scheme val="minor"/>
    </font>
    <font>
      <sz val="9"/>
      <color rgb="FF000000"/>
      <name val="Microsoft JhengHei UI"/>
      <family val="2"/>
      <charset val="136"/>
    </font>
    <font>
      <sz val="12"/>
      <color rgb="FFFF000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0"/>
      <color rgb="FF000000"/>
      <name val="Times New Roman"/>
      <family val="1"/>
    </font>
    <font>
      <b/>
      <sz val="14"/>
      <color rgb="FFFFFF00"/>
      <name val="標楷體"/>
      <family val="4"/>
      <charset val="136"/>
    </font>
    <font>
      <b/>
      <sz val="14"/>
      <color rgb="FFFFFF00"/>
      <name val="新細明體"/>
      <family val="2"/>
      <charset val="136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9FE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/>
      <right/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/>
      <right/>
      <top/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ABABAB"/>
      </left>
      <right/>
      <top/>
      <bottom/>
      <diagonal/>
    </border>
  </borders>
  <cellStyleXfs count="5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20" fillId="0" borderId="0"/>
    <xf numFmtId="0" fontId="21" fillId="0" borderId="0">
      <alignment vertical="center"/>
    </xf>
    <xf numFmtId="0" fontId="22" fillId="0" borderId="0"/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/>
    <xf numFmtId="0" fontId="39" fillId="0" borderId="0">
      <alignment vertical="center"/>
    </xf>
    <xf numFmtId="0" fontId="1" fillId="0" borderId="0">
      <alignment vertical="center"/>
    </xf>
    <xf numFmtId="0" fontId="20" fillId="0" borderId="0"/>
    <xf numFmtId="0" fontId="38" fillId="0" borderId="0"/>
    <xf numFmtId="0" fontId="17" fillId="0" borderId="0">
      <alignment vertical="center"/>
    </xf>
    <xf numFmtId="0" fontId="43" fillId="0" borderId="0"/>
  </cellStyleXfs>
  <cellXfs count="70">
    <xf numFmtId="0" fontId="0" fillId="0" borderId="0" xfId="0">
      <alignment vertical="center"/>
    </xf>
    <xf numFmtId="0" fontId="23" fillId="33" borderId="0" xfId="0" applyFont="1" applyFill="1">
      <alignment vertical="center"/>
    </xf>
    <xf numFmtId="0" fontId="0" fillId="0" borderId="0" xfId="0" quotePrefix="1">
      <alignment vertical="center"/>
    </xf>
    <xf numFmtId="49" fontId="24" fillId="0" borderId="0" xfId="47" applyNumberFormat="1" applyFont="1" applyAlignment="1">
      <alignment horizontal="center"/>
    </xf>
    <xf numFmtId="12" fontId="24" fillId="0" borderId="0" xfId="47" applyNumberFormat="1" applyFont="1" applyAlignment="1">
      <alignment horizontal="center"/>
    </xf>
    <xf numFmtId="0" fontId="25" fillId="0" borderId="0" xfId="47" applyFont="1" applyAlignment="1"/>
    <xf numFmtId="49" fontId="24" fillId="0" borderId="11" xfId="47" applyNumberFormat="1" applyFont="1" applyBorder="1" applyAlignment="1">
      <alignment horizontal="center"/>
    </xf>
    <xf numFmtId="12" fontId="24" fillId="0" borderId="12" xfId="47" applyNumberFormat="1" applyFont="1" applyBorder="1" applyAlignment="1">
      <alignment horizontal="center"/>
    </xf>
    <xf numFmtId="0" fontId="26" fillId="35" borderId="13" xfId="47" applyFont="1" applyFill="1" applyBorder="1" applyAlignment="1">
      <alignment horizontal="center"/>
    </xf>
    <xf numFmtId="0" fontId="26" fillId="35" borderId="14" xfId="47" applyFont="1" applyFill="1" applyBorder="1" applyAlignment="1">
      <alignment horizontal="center"/>
    </xf>
    <xf numFmtId="49" fontId="24" fillId="0" borderId="15" xfId="47" applyNumberFormat="1" applyFont="1" applyBorder="1" applyAlignment="1">
      <alignment horizontal="center"/>
    </xf>
    <xf numFmtId="12" fontId="26" fillId="35" borderId="16" xfId="47" applyNumberFormat="1" applyFont="1" applyFill="1" applyBorder="1" applyAlignment="1">
      <alignment horizontal="center"/>
    </xf>
    <xf numFmtId="0" fontId="24" fillId="0" borderId="11" xfId="47" applyFont="1" applyBorder="1" applyAlignment="1">
      <alignment horizontal="center"/>
    </xf>
    <xf numFmtId="0" fontId="24" fillId="0" borderId="17" xfId="47" applyFont="1" applyBorder="1" applyAlignment="1">
      <alignment horizontal="center"/>
    </xf>
    <xf numFmtId="0" fontId="29" fillId="36" borderId="18" xfId="47" applyFont="1" applyFill="1" applyBorder="1" applyAlignment="1">
      <alignment horizontal="center"/>
    </xf>
    <xf numFmtId="0" fontId="29" fillId="36" borderId="16" xfId="47" applyFont="1" applyFill="1" applyBorder="1" applyAlignment="1">
      <alignment horizontal="center"/>
    </xf>
    <xf numFmtId="0" fontId="24" fillId="0" borderId="15" xfId="47" applyFont="1" applyBorder="1" applyAlignment="1">
      <alignment horizontal="center"/>
    </xf>
    <xf numFmtId="12" fontId="24" fillId="0" borderId="18" xfId="47" applyNumberFormat="1" applyFont="1" applyBorder="1" applyAlignment="1">
      <alignment horizontal="center"/>
    </xf>
    <xf numFmtId="0" fontId="24" fillId="0" borderId="18" xfId="47" applyFont="1" applyBorder="1" applyAlignment="1">
      <alignment horizontal="center"/>
    </xf>
    <xf numFmtId="176" fontId="24" fillId="0" borderId="18" xfId="47" applyNumberFormat="1" applyFont="1" applyBorder="1" applyAlignment="1">
      <alignment horizontal="center"/>
    </xf>
    <xf numFmtId="0" fontId="30" fillId="34" borderId="18" xfId="47" applyFont="1" applyFill="1" applyBorder="1" applyAlignment="1">
      <alignment horizontal="center"/>
    </xf>
    <xf numFmtId="177" fontId="24" fillId="0" borderId="18" xfId="47" applyNumberFormat="1" applyFont="1" applyBorder="1" applyAlignment="1">
      <alignment horizontal="center"/>
    </xf>
    <xf numFmtId="0" fontId="29" fillId="36" borderId="18" xfId="47" quotePrefix="1" applyFont="1" applyFill="1" applyBorder="1" applyAlignment="1">
      <alignment horizontal="center"/>
    </xf>
    <xf numFmtId="0" fontId="23" fillId="33" borderId="10" xfId="0" applyFont="1" applyFill="1" applyBorder="1" applyAlignment="1">
      <alignment horizontal="center" vertical="center"/>
    </xf>
    <xf numFmtId="0" fontId="23" fillId="33" borderId="10" xfId="0" applyFont="1" applyFill="1" applyBorder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12" fontId="24" fillId="0" borderId="18" xfId="47" quotePrefix="1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49" fontId="31" fillId="0" borderId="0" xfId="45" quotePrefix="1" applyNumberFormat="1" applyFont="1" applyAlignment="1">
      <alignment horizontal="center" vertical="center"/>
    </xf>
    <xf numFmtId="0" fontId="32" fillId="0" borderId="0" xfId="45" applyFont="1" applyAlignment="1">
      <alignment horizontal="center" vertical="center"/>
    </xf>
    <xf numFmtId="0" fontId="32" fillId="0" borderId="0" xfId="45" applyFont="1">
      <alignment vertical="center"/>
    </xf>
    <xf numFmtId="0" fontId="32" fillId="0" borderId="0" xfId="45" quotePrefix="1" applyFont="1">
      <alignment vertical="center"/>
    </xf>
    <xf numFmtId="0" fontId="32" fillId="33" borderId="0" xfId="45" applyFont="1" applyFill="1">
      <alignment vertical="center"/>
    </xf>
    <xf numFmtId="0" fontId="34" fillId="39" borderId="19" xfId="0" applyFont="1" applyFill="1" applyBorder="1" applyAlignment="1">
      <alignment horizontal="center" vertical="center" wrapText="1"/>
    </xf>
    <xf numFmtId="0" fontId="34" fillId="38" borderId="19" xfId="0" applyFont="1" applyFill="1" applyBorder="1" applyAlignment="1">
      <alignment horizontal="center" vertical="center" wrapText="1"/>
    </xf>
    <xf numFmtId="0" fontId="35" fillId="38" borderId="21" xfId="0" applyFont="1" applyFill="1" applyBorder="1" applyAlignment="1">
      <alignment horizontal="center" vertical="center" wrapText="1"/>
    </xf>
    <xf numFmtId="0" fontId="35" fillId="38" borderId="22" xfId="0" applyFont="1" applyFill="1" applyBorder="1" applyAlignment="1">
      <alignment horizontal="center" vertical="center" wrapText="1"/>
    </xf>
    <xf numFmtId="0" fontId="35" fillId="38" borderId="20" xfId="0" applyFont="1" applyFill="1" applyBorder="1" applyAlignment="1">
      <alignment horizontal="center" vertical="center" wrapText="1"/>
    </xf>
    <xf numFmtId="0" fontId="0" fillId="38" borderId="23" xfId="0" applyFill="1" applyBorder="1">
      <alignment vertical="center"/>
    </xf>
    <xf numFmtId="0" fontId="36" fillId="33" borderId="21" xfId="0" applyFont="1" applyFill="1" applyBorder="1" applyAlignment="1">
      <alignment horizontal="center" vertical="center" wrapText="1"/>
    </xf>
    <xf numFmtId="0" fontId="36" fillId="33" borderId="22" xfId="0" applyFont="1" applyFill="1" applyBorder="1" applyAlignment="1">
      <alignment horizontal="center" vertical="center" wrapText="1"/>
    </xf>
    <xf numFmtId="0" fontId="37" fillId="33" borderId="19" xfId="0" applyFont="1" applyFill="1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0" fontId="0" fillId="33" borderId="10" xfId="0" applyFill="1" applyBorder="1">
      <alignment vertical="center"/>
    </xf>
    <xf numFmtId="49" fontId="0" fillId="0" borderId="10" xfId="0" quotePrefix="1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10" xfId="0" quotePrefix="1" applyFill="1" applyBorder="1">
      <alignment vertical="center"/>
    </xf>
    <xf numFmtId="0" fontId="17" fillId="0" borderId="0" xfId="45">
      <alignment vertical="center"/>
    </xf>
    <xf numFmtId="0" fontId="23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49" fontId="21" fillId="0" borderId="24" xfId="46" applyNumberFormat="1" applyFont="1" applyBorder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35" fillId="38" borderId="21" xfId="0" applyFont="1" applyFill="1" applyBorder="1" applyAlignment="1">
      <alignment horizontal="center" vertical="center" wrapText="1"/>
    </xf>
    <xf numFmtId="0" fontId="35" fillId="38" borderId="22" xfId="0" applyFont="1" applyFill="1" applyBorder="1" applyAlignment="1">
      <alignment horizontal="center" vertical="center" wrapText="1"/>
    </xf>
    <xf numFmtId="0" fontId="24" fillId="34" borderId="10" xfId="47" applyFont="1" applyFill="1" applyBorder="1" applyAlignment="1">
      <alignment horizontal="center"/>
    </xf>
    <xf numFmtId="0" fontId="28" fillId="36" borderId="10" xfId="47" applyFont="1" applyFill="1" applyBorder="1" applyAlignment="1">
      <alignment horizontal="center"/>
    </xf>
    <xf numFmtId="0" fontId="0" fillId="0" borderId="0" xfId="0" applyAlignment="1">
      <alignment vertical="center"/>
    </xf>
    <xf numFmtId="0" fontId="42" fillId="0" borderId="0" xfId="0" applyFont="1" applyAlignment="1">
      <alignment vertical="center"/>
    </xf>
    <xf numFmtId="0" fontId="42" fillId="0" borderId="0" xfId="0" applyFont="1">
      <alignment vertical="center"/>
    </xf>
    <xf numFmtId="0" fontId="13" fillId="0" borderId="0" xfId="0" applyFont="1" applyAlignment="1">
      <alignment vertical="center"/>
    </xf>
    <xf numFmtId="0" fontId="41" fillId="0" borderId="0" xfId="0" applyFont="1">
      <alignment vertical="center"/>
    </xf>
    <xf numFmtId="0" fontId="13" fillId="0" borderId="0" xfId="0" applyFont="1">
      <alignment vertical="center"/>
    </xf>
    <xf numFmtId="0" fontId="44" fillId="0" borderId="0" xfId="0" applyFont="1">
      <alignment vertical="center"/>
    </xf>
    <xf numFmtId="22" fontId="45" fillId="0" borderId="0" xfId="0" applyNumberFormat="1" applyFont="1" applyAlignment="1">
      <alignment horizontal="center" vertical="center"/>
    </xf>
    <xf numFmtId="0" fontId="45" fillId="0" borderId="0" xfId="0" applyFont="1" applyAlignment="1">
      <alignment horizontal="center" vertical="center"/>
    </xf>
  </cellXfs>
  <cellStyles count="55">
    <cellStyle name="20% - 輔色1" xfId="18" builtinId="30" customBuiltin="1"/>
    <cellStyle name="20% - 輔色2" xfId="21" builtinId="34" customBuiltin="1"/>
    <cellStyle name="20% - 輔色3" xfId="24" builtinId="38" customBuiltin="1"/>
    <cellStyle name="20% - 輔色4" xfId="27" builtinId="42" customBuiltin="1"/>
    <cellStyle name="20% - 輔色5" xfId="30" builtinId="46" customBuiltin="1"/>
    <cellStyle name="20% - 輔色6" xfId="33" builtinId="50" customBuiltin="1"/>
    <cellStyle name="40% - 輔色1" xfId="19" builtinId="31" customBuiltin="1"/>
    <cellStyle name="40% - 輔色2" xfId="22" builtinId="35" customBuiltin="1"/>
    <cellStyle name="40% - 輔色3" xfId="25" builtinId="39" customBuiltin="1"/>
    <cellStyle name="40% - 輔色4" xfId="28" builtinId="43" customBuiltin="1"/>
    <cellStyle name="40% - 輔色5" xfId="31" builtinId="47" customBuiltin="1"/>
    <cellStyle name="40% - 輔色6" xfId="34" builtinId="51" customBuiltin="1"/>
    <cellStyle name="60% - 輔色1 2" xfId="36" xr:uid="{300F9C4A-C998-470D-A360-F2EB15633095}"/>
    <cellStyle name="60% - 輔色2 2" xfId="37" xr:uid="{C9D96596-FB39-4C0B-A4AA-8E240C5CE969}"/>
    <cellStyle name="60% - 輔色3 2" xfId="38" xr:uid="{6AA16B5F-7063-4C99-8009-E8F611299912}"/>
    <cellStyle name="60% - 輔色4 2" xfId="39" xr:uid="{444312CF-DA5E-4455-A3C2-6EAC8D364950}"/>
    <cellStyle name="60% - 輔色5 2" xfId="40" xr:uid="{1C0DA0F9-3E25-4154-9F16-FD9D892066FD}"/>
    <cellStyle name="60% - 輔色6 2" xfId="41" xr:uid="{D714C01B-C44E-4038-ABDC-5039CB1AD246}"/>
    <cellStyle name="一般" xfId="0" builtinId="0"/>
    <cellStyle name="一般 16" xfId="50" xr:uid="{BCA5CCF0-00BF-4F73-9D54-E6A220741B20}"/>
    <cellStyle name="一般 2" xfId="42" xr:uid="{8C91DA27-F9F5-403F-AAF2-72235F063A6A}"/>
    <cellStyle name="一般 2 2" xfId="49" xr:uid="{8BA43D48-30CD-4BCA-AC78-EC40DF1FAD0C}"/>
    <cellStyle name="一般 2 3" xfId="52" xr:uid="{23EED695-775B-47C5-B510-84578F123D32}"/>
    <cellStyle name="一般 3" xfId="43" xr:uid="{BC484818-6AB7-40FB-88F9-A2B7DCCF5DC6}"/>
    <cellStyle name="一般 3 2" xfId="45" xr:uid="{F3EF8B04-9C89-4277-836D-4040946BF655}"/>
    <cellStyle name="一般 3 3" xfId="51" xr:uid="{3594CCDF-3CF1-4676-9F3B-4051C3C7FC4F}"/>
    <cellStyle name="一般 4" xfId="44" xr:uid="{8EA50A31-C9E6-4B86-9E76-5E1777B687BA}"/>
    <cellStyle name="一般 4 2" xfId="53" xr:uid="{2E6512E4-476A-4CB3-A755-7293A5CCAD99}"/>
    <cellStyle name="一般 5" xfId="46" xr:uid="{ED88C25B-6A2E-4F78-ADAC-A3A01EB8B344}"/>
    <cellStyle name="一般 6" xfId="47" xr:uid="{31047F30-A4FA-4A7C-A0F2-DAF7F9D992C9}"/>
    <cellStyle name="一般 7" xfId="48" xr:uid="{8FB41B43-ACCB-458C-A212-E4821B8CB469}"/>
    <cellStyle name="一般 8" xfId="54" xr:uid="{587357EB-B849-4C84-B554-76147D11E403}"/>
    <cellStyle name="中等 2" xfId="35" xr:uid="{20103201-8BC9-457E-9390-EF41CC0F19B6}"/>
    <cellStyle name="合計" xfId="16" builtinId="25" customBuiltin="1"/>
    <cellStyle name="好" xfId="6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說明文字" xfId="15" builtinId="53" customBuiltin="1"/>
    <cellStyle name="輔色1" xfId="17" builtinId="29" customBuiltin="1"/>
    <cellStyle name="輔色2" xfId="20" builtinId="33" customBuiltin="1"/>
    <cellStyle name="輔色3" xfId="23" builtinId="37" customBuiltin="1"/>
    <cellStyle name="輔色4" xfId="26" builtinId="41" customBuiltin="1"/>
    <cellStyle name="輔色5" xfId="29" builtinId="45" customBuiltin="1"/>
    <cellStyle name="輔色6" xfId="32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8" builtinId="20" customBuiltin="1"/>
    <cellStyle name="輸出" xfId="9" builtinId="21" customBuiltin="1"/>
    <cellStyle name="檢查儲存格" xfId="12" builtinId="23" customBuiltin="1"/>
    <cellStyle name="壞" xfId="7" builtinId="27" customBuiltin="1"/>
    <cellStyle name="警告文字" xfId="13" builtinId="11" customBuiltin="1"/>
  </cellStyles>
  <dxfs count="2">
    <dxf>
      <border outline="0">
        <top style="thin">
          <color rgb="FFABABAB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26" noThreeD="1" sel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hyperlink" Target="#Weight_Analysis!A1"/><Relationship Id="rId1" Type="http://schemas.openxmlformats.org/officeDocument/2006/relationships/image" Target="../media/image2.jpe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243840</xdr:colOff>
          <xdr:row>4</xdr:row>
          <xdr:rowOff>198120</xdr:rowOff>
        </xdr:from>
        <xdr:to>
          <xdr:col>16</xdr:col>
          <xdr:colOff>266700</xdr:colOff>
          <xdr:row>22</xdr:row>
          <xdr:rowOff>91440</xdr:rowOff>
        </xdr:to>
        <xdr:sp macro="" textlink="">
          <xdr:nvSpPr>
            <xdr:cNvPr id="5127" name="List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335280</xdr:colOff>
          <xdr:row>5</xdr:row>
          <xdr:rowOff>38100</xdr:rowOff>
        </xdr:from>
        <xdr:to>
          <xdr:col>10</xdr:col>
          <xdr:colOff>152400</xdr:colOff>
          <xdr:row>7</xdr:row>
          <xdr:rowOff>121920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匯出所有Modules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15240</xdr:rowOff>
        </xdr:from>
        <xdr:to>
          <xdr:col>15</xdr:col>
          <xdr:colOff>266700</xdr:colOff>
          <xdr:row>7</xdr:row>
          <xdr:rowOff>190500</xdr:rowOff>
        </xdr:to>
        <xdr:sp macro="" textlink="">
          <xdr:nvSpPr>
            <xdr:cNvPr id="5129" name="Label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目前SaveFolder:</a:t>
              </a:r>
            </a:p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SaveFolder = "C:\Users\a0976\Desktop\新增資料夾 (3)\for_iec_support\Module占存區"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532241</xdr:colOff>
      <xdr:row>0</xdr:row>
      <xdr:rowOff>19711</xdr:rowOff>
    </xdr:from>
    <xdr:to>
      <xdr:col>7</xdr:col>
      <xdr:colOff>360129</xdr:colOff>
      <xdr:row>3</xdr:row>
      <xdr:rowOff>22279</xdr:rowOff>
    </xdr:to>
    <xdr:sp macro="[0]!List_to_Analysis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3084941" y="15901"/>
          <a:ext cx="2727298" cy="631218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  <a:effectLst>
          <a:outerShdw blurRad="39000" dist="25400" dir="5400000" rotWithShape="0">
            <a:schemeClr val="accent4">
              <a:shade val="33000"/>
              <a:alpha val="83000"/>
            </a:scheme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 cap="none" spc="0">
              <a:ln w="66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accent1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標楷體" panose="03000509000000000000" pitchFamily="65" charset="-120"/>
              <a:ea typeface="標楷體" panose="03000509000000000000" pitchFamily="65" charset="-120"/>
            </a:rPr>
            <a:t>執 行 主 程 序</a:t>
          </a:r>
        </a:p>
      </xdr:txBody>
    </xdr:sp>
    <xdr:clientData/>
  </xdr:twoCellAnchor>
  <xdr:twoCellAnchor>
    <xdr:from>
      <xdr:col>3</xdr:col>
      <xdr:colOff>321945</xdr:colOff>
      <xdr:row>4</xdr:row>
      <xdr:rowOff>13251</xdr:rowOff>
    </xdr:from>
    <xdr:to>
      <xdr:col>8</xdr:col>
      <xdr:colOff>7454</xdr:colOff>
      <xdr:row>7</xdr:row>
      <xdr:rowOff>161924</xdr:rowOff>
    </xdr:to>
    <xdr:sp macro="" textlink="">
      <xdr:nvSpPr>
        <xdr:cNvPr id="12" name="文字方塊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2874645" y="889551"/>
          <a:ext cx="2838284" cy="777323"/>
        </a:xfrm>
        <a:prstGeom prst="rightArrow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100" b="1">
              <a:solidFill>
                <a:srgbClr val="FF0000"/>
              </a:solidFill>
            </a:rPr>
            <a:t>看完成後表單</a:t>
          </a:r>
        </a:p>
      </xdr:txBody>
    </xdr:sp>
    <xdr:clientData/>
  </xdr:twoCellAnchor>
  <xdr:twoCellAnchor>
    <xdr:from>
      <xdr:col>8</xdr:col>
      <xdr:colOff>330641</xdr:colOff>
      <xdr:row>2</xdr:row>
      <xdr:rowOff>173934</xdr:rowOff>
    </xdr:from>
    <xdr:to>
      <xdr:col>15</xdr:col>
      <xdr:colOff>541516</xdr:colOff>
      <xdr:row>4</xdr:row>
      <xdr:rowOff>132521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6036116" y="593034"/>
          <a:ext cx="4478075" cy="415787"/>
        </a:xfrm>
        <a:custGeom>
          <a:avLst/>
          <a:gdLst>
            <a:gd name="connsiteX0" fmla="*/ 0 w 4497456"/>
            <a:gd name="connsiteY0" fmla="*/ 0 h 414131"/>
            <a:gd name="connsiteX1" fmla="*/ 472233 w 4497456"/>
            <a:gd name="connsiteY1" fmla="*/ 0 h 414131"/>
            <a:gd name="connsiteX2" fmla="*/ 899491 w 4497456"/>
            <a:gd name="connsiteY2" fmla="*/ 0 h 414131"/>
            <a:gd name="connsiteX3" fmla="*/ 1551622 w 4497456"/>
            <a:gd name="connsiteY3" fmla="*/ 0 h 414131"/>
            <a:gd name="connsiteX4" fmla="*/ 2203753 w 4497456"/>
            <a:gd name="connsiteY4" fmla="*/ 0 h 414131"/>
            <a:gd name="connsiteX5" fmla="*/ 2675986 w 4497456"/>
            <a:gd name="connsiteY5" fmla="*/ 0 h 414131"/>
            <a:gd name="connsiteX6" fmla="*/ 3238168 w 4497456"/>
            <a:gd name="connsiteY6" fmla="*/ 0 h 414131"/>
            <a:gd name="connsiteX7" fmla="*/ 3890299 w 4497456"/>
            <a:gd name="connsiteY7" fmla="*/ 0 h 414131"/>
            <a:gd name="connsiteX8" fmla="*/ 4497456 w 4497456"/>
            <a:gd name="connsiteY8" fmla="*/ 0 h 414131"/>
            <a:gd name="connsiteX9" fmla="*/ 4497456 w 4497456"/>
            <a:gd name="connsiteY9" fmla="*/ 414131 h 414131"/>
            <a:gd name="connsiteX10" fmla="*/ 3935274 w 4497456"/>
            <a:gd name="connsiteY10" fmla="*/ 414131 h 414131"/>
            <a:gd name="connsiteX11" fmla="*/ 3418067 w 4497456"/>
            <a:gd name="connsiteY11" fmla="*/ 414131 h 414131"/>
            <a:gd name="connsiteX12" fmla="*/ 2765935 w 4497456"/>
            <a:gd name="connsiteY12" fmla="*/ 414131 h 414131"/>
            <a:gd name="connsiteX13" fmla="*/ 2338677 w 4497456"/>
            <a:gd name="connsiteY13" fmla="*/ 414131 h 414131"/>
            <a:gd name="connsiteX14" fmla="*/ 1911419 w 4497456"/>
            <a:gd name="connsiteY14" fmla="*/ 414131 h 414131"/>
            <a:gd name="connsiteX15" fmla="*/ 1304262 w 4497456"/>
            <a:gd name="connsiteY15" fmla="*/ 414131 h 414131"/>
            <a:gd name="connsiteX16" fmla="*/ 832029 w 4497456"/>
            <a:gd name="connsiteY16" fmla="*/ 414131 h 414131"/>
            <a:gd name="connsiteX17" fmla="*/ 0 w 4497456"/>
            <a:gd name="connsiteY17" fmla="*/ 414131 h 414131"/>
            <a:gd name="connsiteX18" fmla="*/ 0 w 4497456"/>
            <a:gd name="connsiteY18" fmla="*/ 0 h 41413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4497456" h="414131" fill="none" extrusionOk="0">
              <a:moveTo>
                <a:pt x="0" y="0"/>
              </a:moveTo>
              <a:cubicBezTo>
                <a:pt x="225331" y="-5845"/>
                <a:pt x="236936" y="54592"/>
                <a:pt x="472233" y="0"/>
              </a:cubicBezTo>
              <a:cubicBezTo>
                <a:pt x="707530" y="-54592"/>
                <a:pt x="758445" y="7367"/>
                <a:pt x="899491" y="0"/>
              </a:cubicBezTo>
              <a:cubicBezTo>
                <a:pt x="1040537" y="-7367"/>
                <a:pt x="1388149" y="13756"/>
                <a:pt x="1551622" y="0"/>
              </a:cubicBezTo>
              <a:cubicBezTo>
                <a:pt x="1715095" y="-13756"/>
                <a:pt x="2050887" y="24859"/>
                <a:pt x="2203753" y="0"/>
              </a:cubicBezTo>
              <a:cubicBezTo>
                <a:pt x="2356619" y="-24859"/>
                <a:pt x="2522921" y="36507"/>
                <a:pt x="2675986" y="0"/>
              </a:cubicBezTo>
              <a:cubicBezTo>
                <a:pt x="2829051" y="-36507"/>
                <a:pt x="3049782" y="65449"/>
                <a:pt x="3238168" y="0"/>
              </a:cubicBezTo>
              <a:cubicBezTo>
                <a:pt x="3426554" y="-65449"/>
                <a:pt x="3616682" y="45747"/>
                <a:pt x="3890299" y="0"/>
              </a:cubicBezTo>
              <a:cubicBezTo>
                <a:pt x="4163916" y="-45747"/>
                <a:pt x="4243590" y="31145"/>
                <a:pt x="4497456" y="0"/>
              </a:cubicBezTo>
              <a:cubicBezTo>
                <a:pt x="4537114" y="126191"/>
                <a:pt x="4489815" y="230111"/>
                <a:pt x="4497456" y="414131"/>
              </a:cubicBezTo>
              <a:cubicBezTo>
                <a:pt x="4306900" y="459108"/>
                <a:pt x="4143446" y="407242"/>
                <a:pt x="3935274" y="414131"/>
              </a:cubicBezTo>
              <a:cubicBezTo>
                <a:pt x="3727102" y="421020"/>
                <a:pt x="3584608" y="353769"/>
                <a:pt x="3418067" y="414131"/>
              </a:cubicBezTo>
              <a:cubicBezTo>
                <a:pt x="3251526" y="474493"/>
                <a:pt x="3071526" y="360870"/>
                <a:pt x="2765935" y="414131"/>
              </a:cubicBezTo>
              <a:cubicBezTo>
                <a:pt x="2460344" y="467392"/>
                <a:pt x="2539576" y="389420"/>
                <a:pt x="2338677" y="414131"/>
              </a:cubicBezTo>
              <a:cubicBezTo>
                <a:pt x="2137778" y="438842"/>
                <a:pt x="2041386" y="400542"/>
                <a:pt x="1911419" y="414131"/>
              </a:cubicBezTo>
              <a:cubicBezTo>
                <a:pt x="1781452" y="427720"/>
                <a:pt x="1575581" y="402569"/>
                <a:pt x="1304262" y="414131"/>
              </a:cubicBezTo>
              <a:cubicBezTo>
                <a:pt x="1032943" y="425693"/>
                <a:pt x="1008587" y="390433"/>
                <a:pt x="832029" y="414131"/>
              </a:cubicBezTo>
              <a:cubicBezTo>
                <a:pt x="655471" y="437829"/>
                <a:pt x="334663" y="351860"/>
                <a:pt x="0" y="414131"/>
              </a:cubicBezTo>
              <a:cubicBezTo>
                <a:pt x="-40032" y="293260"/>
                <a:pt x="5023" y="138000"/>
                <a:pt x="0" y="0"/>
              </a:cubicBezTo>
              <a:close/>
            </a:path>
            <a:path w="4497456" h="414131" stroke="0" extrusionOk="0">
              <a:moveTo>
                <a:pt x="0" y="0"/>
              </a:moveTo>
              <a:cubicBezTo>
                <a:pt x="230220" y="-37394"/>
                <a:pt x="300527" y="53531"/>
                <a:pt x="472233" y="0"/>
              </a:cubicBezTo>
              <a:cubicBezTo>
                <a:pt x="643939" y="-53531"/>
                <a:pt x="884107" y="59258"/>
                <a:pt x="1034415" y="0"/>
              </a:cubicBezTo>
              <a:cubicBezTo>
                <a:pt x="1184723" y="-59258"/>
                <a:pt x="1386486" y="17468"/>
                <a:pt x="1551622" y="0"/>
              </a:cubicBezTo>
              <a:cubicBezTo>
                <a:pt x="1716758" y="-17468"/>
                <a:pt x="1857974" y="11629"/>
                <a:pt x="2158779" y="0"/>
              </a:cubicBezTo>
              <a:cubicBezTo>
                <a:pt x="2459584" y="-11629"/>
                <a:pt x="2449491" y="12450"/>
                <a:pt x="2631012" y="0"/>
              </a:cubicBezTo>
              <a:cubicBezTo>
                <a:pt x="2812533" y="-12450"/>
                <a:pt x="2874645" y="3367"/>
                <a:pt x="3058270" y="0"/>
              </a:cubicBezTo>
              <a:cubicBezTo>
                <a:pt x="3241895" y="-3367"/>
                <a:pt x="3441451" y="4705"/>
                <a:pt x="3710401" y="0"/>
              </a:cubicBezTo>
              <a:cubicBezTo>
                <a:pt x="3979351" y="-4705"/>
                <a:pt x="4136939" y="33402"/>
                <a:pt x="4497456" y="0"/>
              </a:cubicBezTo>
              <a:cubicBezTo>
                <a:pt x="4502079" y="132956"/>
                <a:pt x="4481228" y="260635"/>
                <a:pt x="4497456" y="414131"/>
              </a:cubicBezTo>
              <a:cubicBezTo>
                <a:pt x="4277644" y="415930"/>
                <a:pt x="4090170" y="381649"/>
                <a:pt x="3890299" y="414131"/>
              </a:cubicBezTo>
              <a:cubicBezTo>
                <a:pt x="3690428" y="446613"/>
                <a:pt x="3415661" y="364811"/>
                <a:pt x="3238168" y="414131"/>
              </a:cubicBezTo>
              <a:cubicBezTo>
                <a:pt x="3060675" y="463451"/>
                <a:pt x="2785991" y="402367"/>
                <a:pt x="2631012" y="414131"/>
              </a:cubicBezTo>
              <a:cubicBezTo>
                <a:pt x="2476033" y="425895"/>
                <a:pt x="2267075" y="361194"/>
                <a:pt x="2023855" y="414131"/>
              </a:cubicBezTo>
              <a:cubicBezTo>
                <a:pt x="1780635" y="467068"/>
                <a:pt x="1696149" y="387707"/>
                <a:pt x="1596597" y="414131"/>
              </a:cubicBezTo>
              <a:cubicBezTo>
                <a:pt x="1497045" y="440555"/>
                <a:pt x="1208424" y="359430"/>
                <a:pt x="1079389" y="414131"/>
              </a:cubicBezTo>
              <a:cubicBezTo>
                <a:pt x="950354" y="468832"/>
                <a:pt x="780508" y="394236"/>
                <a:pt x="562182" y="414131"/>
              </a:cubicBezTo>
              <a:cubicBezTo>
                <a:pt x="343856" y="434026"/>
                <a:pt x="113677" y="362057"/>
                <a:pt x="0" y="414131"/>
              </a:cubicBezTo>
              <a:cubicBezTo>
                <a:pt x="-16677" y="296295"/>
                <a:pt x="47860" y="101408"/>
                <a:pt x="0" y="0"/>
              </a:cubicBezTo>
              <a:close/>
            </a:path>
          </a:pathLst>
        </a:custGeom>
        <a:gradFill flip="none" rotWithShape="1">
          <a:gsLst>
            <a:gs pos="0">
              <a:srgbClr val="FFFF00">
                <a:tint val="66000"/>
                <a:satMod val="160000"/>
              </a:srgbClr>
            </a:gs>
            <a:gs pos="50000">
              <a:srgbClr val="FFFF00">
                <a:tint val="44500"/>
                <a:satMod val="160000"/>
              </a:srgbClr>
            </a:gs>
            <a:gs pos="100000">
              <a:srgbClr val="FFFF00">
                <a:tint val="23500"/>
                <a:satMod val="160000"/>
              </a:srgbClr>
            </a:gs>
          </a:gsLst>
          <a:lin ang="18900000" scaled="1"/>
          <a:tileRect/>
        </a:gradFill>
        <a:ln w="38100">
          <a:extLst>
            <a:ext uri="{C807C97D-BFC1-408E-A445-0C87EB9F89A2}">
              <ask:lineSketchStyleProps xmlns:ask="http://schemas.microsoft.com/office/drawing/2018/sketchyshapes" sd="348507130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600">
              <a:solidFill>
                <a:srgbClr val="FF0000"/>
              </a:solidFill>
              <a:latin typeface="Yu Gothic UI Semibold" panose="020B0700000000000000" pitchFamily="34" charset="-128"/>
              <a:ea typeface="Yu Gothic UI Semibold" panose="020B0700000000000000" pitchFamily="34" charset="-128"/>
            </a:rPr>
            <a:t>管理員   </a:t>
          </a:r>
          <a:r>
            <a:rPr lang="en-US" altLang="zh-TW" sz="1600">
              <a:solidFill>
                <a:srgbClr val="FF0000"/>
              </a:solidFill>
              <a:latin typeface="Yu Gothic UI Semibold" panose="020B0700000000000000" pitchFamily="34" charset="-128"/>
              <a:ea typeface="Yu Gothic UI Semibold" panose="020B0700000000000000" pitchFamily="34" charset="-128"/>
            </a:rPr>
            <a:t>/</a:t>
          </a:r>
          <a:r>
            <a:rPr lang="zh-TW" altLang="en-US" sz="1600">
              <a:solidFill>
                <a:srgbClr val="FF0000"/>
              </a:solidFill>
              <a:latin typeface="Yu Gothic UI Semibold" panose="020B0700000000000000" pitchFamily="34" charset="-128"/>
              <a:ea typeface="Yu Gothic UI Semibold" panose="020B0700000000000000" pitchFamily="34" charset="-128"/>
            </a:rPr>
            <a:t>   開發者   專區</a:t>
          </a:r>
        </a:p>
      </xdr:txBody>
    </xdr:sp>
    <xdr:clientData/>
  </xdr:twoCellAnchor>
  <xdr:twoCellAnchor editAs="oneCell">
    <xdr:from>
      <xdr:col>9</xdr:col>
      <xdr:colOff>212866</xdr:colOff>
      <xdr:row>0</xdr:row>
      <xdr:rowOff>17973</xdr:rowOff>
    </xdr:from>
    <xdr:to>
      <xdr:col>15</xdr:col>
      <xdr:colOff>20956</xdr:colOff>
      <xdr:row>2</xdr:row>
      <xdr:rowOff>56884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527941" y="17973"/>
          <a:ext cx="3473310" cy="471346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twoCellAnchor>
    <xdr:from>
      <xdr:col>1</xdr:col>
      <xdr:colOff>97155</xdr:colOff>
      <xdr:row>1</xdr:row>
      <xdr:rowOff>47625</xdr:rowOff>
    </xdr:from>
    <xdr:to>
      <xdr:col>2</xdr:col>
      <xdr:colOff>569595</xdr:colOff>
      <xdr:row>3</xdr:row>
      <xdr:rowOff>85725</xdr:rowOff>
    </xdr:to>
    <xdr:sp macro="[0]!clear_contents" textlink="">
      <xdr:nvSpPr>
        <xdr:cNvPr id="3" name="六邊形 2">
          <a:extLst>
            <a:ext uri="{FF2B5EF4-FFF2-40B4-BE49-F238E27FC236}">
              <a16:creationId xmlns:a16="http://schemas.microsoft.com/office/drawing/2014/main" id="{5FEB1A33-58E6-F572-D0B0-0ED7841AEEBA}"/>
            </a:ext>
          </a:extLst>
        </xdr:cNvPr>
        <xdr:cNvSpPr/>
      </xdr:nvSpPr>
      <xdr:spPr>
        <a:xfrm>
          <a:off x="1430655" y="257175"/>
          <a:ext cx="1082040" cy="457200"/>
        </a:xfrm>
        <a:prstGeom prst="hex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200" b="1" cap="none" spc="50">
              <a:ln w="9525" cmpd="sng">
                <a:solidFill>
                  <a:srgbClr val="FFFF00"/>
                </a:solidFill>
                <a:prstDash val="solid"/>
              </a:ln>
              <a:blipFill>
                <a:blip xmlns:r="http://schemas.openxmlformats.org/officeDocument/2006/relationships" r:embed="rId5"/>
                <a:tile tx="0" ty="0" sx="100000" sy="100000" flip="none" algn="tl"/>
              </a:blip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刪除清單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327660</xdr:colOff>
          <xdr:row>0</xdr:row>
          <xdr:rowOff>182880</xdr:rowOff>
        </xdr:from>
        <xdr:to>
          <xdr:col>22</xdr:col>
          <xdr:colOff>30480</xdr:colOff>
          <xdr:row>3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開始演算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7B02F9-C4E4-49E2-AE25-5AE7524DA9AE}" name="表格1" displayName="表格1" ref="A1:A1125" totalsRowShown="0" headerRowDxfId="1" tableBorderDxfId="0" headerRowCellStyle="一般 5">
  <autoFilter ref="A1:A1125" xr:uid="{E87B02F9-C4E4-49E2-AE25-5AE7524DA9AE}"/>
  <tableColumns count="1">
    <tableColumn id="1" xr3:uid="{218BB377-EC4F-4BCB-80D7-0C576545787C}" name="Title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飛機雲">
  <a:themeElements>
    <a:clrScheme name="飛機雲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飛機雲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乳白玻璃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0879-F44F-4162-ACFB-40308FEFCB06}">
  <sheetPr codeName="工作表7"/>
  <dimension ref="A1:F19"/>
  <sheetViews>
    <sheetView workbookViewId="0">
      <selection activeCell="H12" sqref="H12"/>
    </sheetView>
  </sheetViews>
  <sheetFormatPr defaultRowHeight="16.2" x14ac:dyDescent="0.3"/>
  <cols>
    <col min="4" max="4" width="26.33203125" bestFit="1" customWidth="1"/>
    <col min="5" max="5" width="9.109375" customWidth="1"/>
  </cols>
  <sheetData>
    <row r="1" spans="1:6" x14ac:dyDescent="0.3">
      <c r="A1" t="s">
        <v>283</v>
      </c>
      <c r="B1" t="s">
        <v>35</v>
      </c>
      <c r="C1" t="s">
        <v>38</v>
      </c>
      <c r="D1" t="s">
        <v>40</v>
      </c>
      <c r="E1" t="s">
        <v>42</v>
      </c>
      <c r="F1" t="s">
        <v>45</v>
      </c>
    </row>
    <row r="2" spans="1:6" x14ac:dyDescent="0.3">
      <c r="A2" s="2" t="s">
        <v>284</v>
      </c>
      <c r="B2">
        <v>100</v>
      </c>
      <c r="C2" t="s">
        <v>287</v>
      </c>
      <c r="D2" t="s">
        <v>288</v>
      </c>
      <c r="E2">
        <v>150</v>
      </c>
      <c r="F2" t="s">
        <v>287</v>
      </c>
    </row>
    <row r="3" spans="1:6" x14ac:dyDescent="0.3">
      <c r="A3" s="2" t="s">
        <v>253</v>
      </c>
      <c r="B3">
        <v>100</v>
      </c>
      <c r="C3" t="s">
        <v>287</v>
      </c>
      <c r="D3" t="s">
        <v>288</v>
      </c>
      <c r="E3">
        <v>150</v>
      </c>
      <c r="F3" t="s">
        <v>287</v>
      </c>
    </row>
    <row r="4" spans="1:6" x14ac:dyDescent="0.3">
      <c r="A4" s="2">
        <v>1</v>
      </c>
      <c r="B4">
        <v>100</v>
      </c>
      <c r="C4" t="s">
        <v>287</v>
      </c>
      <c r="D4" t="s">
        <v>288</v>
      </c>
      <c r="E4">
        <v>150</v>
      </c>
      <c r="F4" t="s">
        <v>287</v>
      </c>
    </row>
    <row r="5" spans="1:6" x14ac:dyDescent="0.3">
      <c r="A5" s="2" t="s">
        <v>285</v>
      </c>
      <c r="B5">
        <v>100</v>
      </c>
      <c r="C5" t="s">
        <v>287</v>
      </c>
      <c r="D5" t="s">
        <v>288</v>
      </c>
      <c r="E5">
        <v>150</v>
      </c>
      <c r="F5" t="s">
        <v>287</v>
      </c>
    </row>
    <row r="6" spans="1:6" x14ac:dyDescent="0.3">
      <c r="A6">
        <v>2</v>
      </c>
      <c r="B6">
        <v>100</v>
      </c>
      <c r="C6" t="s">
        <v>287</v>
      </c>
      <c r="D6" t="s">
        <v>288</v>
      </c>
      <c r="E6">
        <v>150</v>
      </c>
      <c r="F6">
        <v>50</v>
      </c>
    </row>
    <row r="7" spans="1:6" x14ac:dyDescent="0.3">
      <c r="A7" s="2" t="s">
        <v>286</v>
      </c>
      <c r="B7">
        <v>100</v>
      </c>
      <c r="C7" t="s">
        <v>287</v>
      </c>
      <c r="D7" t="s">
        <v>288</v>
      </c>
      <c r="E7">
        <v>150</v>
      </c>
      <c r="F7">
        <v>50</v>
      </c>
    </row>
    <row r="8" spans="1:6" x14ac:dyDescent="0.3">
      <c r="A8">
        <v>3</v>
      </c>
      <c r="B8">
        <v>100</v>
      </c>
      <c r="C8" t="s">
        <v>287</v>
      </c>
      <c r="D8" t="s">
        <v>288</v>
      </c>
      <c r="E8">
        <v>250</v>
      </c>
      <c r="F8">
        <v>50</v>
      </c>
    </row>
    <row r="9" spans="1:6" x14ac:dyDescent="0.3">
      <c r="A9">
        <v>4</v>
      </c>
      <c r="B9">
        <v>100</v>
      </c>
      <c r="C9" t="s">
        <v>287</v>
      </c>
      <c r="D9" t="s">
        <v>288</v>
      </c>
      <c r="E9">
        <v>250</v>
      </c>
      <c r="F9">
        <v>50</v>
      </c>
    </row>
    <row r="10" spans="1:6" x14ac:dyDescent="0.3">
      <c r="A10">
        <v>5</v>
      </c>
      <c r="B10">
        <v>100</v>
      </c>
      <c r="C10" t="s">
        <v>287</v>
      </c>
      <c r="D10" t="s">
        <v>288</v>
      </c>
      <c r="E10">
        <v>250</v>
      </c>
      <c r="F10">
        <v>50</v>
      </c>
    </row>
    <row r="11" spans="1:6" x14ac:dyDescent="0.3">
      <c r="A11">
        <v>6</v>
      </c>
      <c r="B11">
        <v>100</v>
      </c>
      <c r="C11" t="s">
        <v>287</v>
      </c>
      <c r="D11" t="s">
        <v>288</v>
      </c>
      <c r="E11">
        <v>250</v>
      </c>
      <c r="F11">
        <v>50</v>
      </c>
    </row>
    <row r="12" spans="1:6" x14ac:dyDescent="0.3">
      <c r="A12">
        <v>8</v>
      </c>
      <c r="B12">
        <v>100</v>
      </c>
      <c r="C12" t="s">
        <v>287</v>
      </c>
      <c r="D12" t="s">
        <v>288</v>
      </c>
      <c r="E12">
        <v>250</v>
      </c>
      <c r="F12">
        <v>50</v>
      </c>
    </row>
    <row r="13" spans="1:6" x14ac:dyDescent="0.3">
      <c r="A13">
        <v>10</v>
      </c>
      <c r="B13">
        <v>130</v>
      </c>
      <c r="C13">
        <v>9</v>
      </c>
      <c r="D13" t="s">
        <v>289</v>
      </c>
      <c r="E13" t="s">
        <v>287</v>
      </c>
      <c r="F13">
        <v>50</v>
      </c>
    </row>
    <row r="14" spans="1:6" x14ac:dyDescent="0.3">
      <c r="A14">
        <v>12</v>
      </c>
      <c r="B14">
        <v>130</v>
      </c>
      <c r="C14">
        <v>9</v>
      </c>
      <c r="D14" t="s">
        <v>289</v>
      </c>
      <c r="E14" t="s">
        <v>287</v>
      </c>
      <c r="F14">
        <v>50</v>
      </c>
    </row>
    <row r="15" spans="1:6" x14ac:dyDescent="0.3">
      <c r="A15">
        <v>14</v>
      </c>
      <c r="B15">
        <v>130</v>
      </c>
      <c r="C15">
        <v>9</v>
      </c>
      <c r="D15" t="s">
        <v>289</v>
      </c>
      <c r="E15" t="s">
        <v>287</v>
      </c>
      <c r="F15">
        <v>50</v>
      </c>
    </row>
    <row r="16" spans="1:6" x14ac:dyDescent="0.3">
      <c r="A16">
        <v>16</v>
      </c>
      <c r="B16">
        <v>250</v>
      </c>
      <c r="C16">
        <v>12</v>
      </c>
      <c r="D16" t="s">
        <v>290</v>
      </c>
      <c r="E16" t="s">
        <v>287</v>
      </c>
      <c r="F16">
        <v>50</v>
      </c>
    </row>
    <row r="17" spans="1:6" x14ac:dyDescent="0.3">
      <c r="A17">
        <v>18</v>
      </c>
      <c r="B17">
        <v>250</v>
      </c>
      <c r="C17">
        <v>12</v>
      </c>
      <c r="D17" t="s">
        <v>290</v>
      </c>
      <c r="E17" t="s">
        <v>287</v>
      </c>
      <c r="F17">
        <v>50</v>
      </c>
    </row>
    <row r="18" spans="1:6" x14ac:dyDescent="0.3">
      <c r="A18">
        <v>20</v>
      </c>
      <c r="B18">
        <v>250</v>
      </c>
      <c r="C18">
        <v>12</v>
      </c>
      <c r="D18" t="s">
        <v>290</v>
      </c>
      <c r="E18" t="s">
        <v>287</v>
      </c>
      <c r="F18">
        <v>50</v>
      </c>
    </row>
    <row r="19" spans="1:6" x14ac:dyDescent="0.3">
      <c r="A19">
        <v>24</v>
      </c>
      <c r="B19">
        <v>300</v>
      </c>
      <c r="C19">
        <v>12</v>
      </c>
      <c r="D19" t="s">
        <v>290</v>
      </c>
      <c r="E19" t="s">
        <v>287</v>
      </c>
      <c r="F19">
        <v>50</v>
      </c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0435B-1982-4B17-91F6-4C8AE1C26CCA}">
  <sheetPr codeName="工作表42">
    <tabColor rgb="FFFFFF00"/>
  </sheetPr>
  <dimension ref="A1:L24"/>
  <sheetViews>
    <sheetView topLeftCell="A4" workbookViewId="0">
      <selection activeCell="K15" sqref="K15"/>
    </sheetView>
  </sheetViews>
  <sheetFormatPr defaultRowHeight="16.2" x14ac:dyDescent="0.3"/>
  <cols>
    <col min="7" max="7" width="12.6640625" bestFit="1" customWidth="1"/>
    <col min="12" max="12" width="12.33203125" bestFit="1" customWidth="1"/>
  </cols>
  <sheetData>
    <row r="1" spans="1:12" x14ac:dyDescent="0.3">
      <c r="A1" s="56" t="s">
        <v>250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</row>
    <row r="2" spans="1:12" x14ac:dyDescent="0.3">
      <c r="A2" s="46" t="s">
        <v>35</v>
      </c>
      <c r="B2" s="26" t="s">
        <v>40</v>
      </c>
      <c r="C2" s="26" t="s">
        <v>42</v>
      </c>
      <c r="D2" s="26" t="s">
        <v>45</v>
      </c>
      <c r="E2" s="26" t="s">
        <v>46</v>
      </c>
      <c r="F2" s="26" t="s">
        <v>52</v>
      </c>
      <c r="G2" s="26" t="s">
        <v>55</v>
      </c>
      <c r="H2" s="26" t="s">
        <v>57</v>
      </c>
      <c r="I2" s="26" t="s">
        <v>251</v>
      </c>
      <c r="J2" s="26" t="s">
        <v>51</v>
      </c>
      <c r="K2" s="26" t="s">
        <v>38</v>
      </c>
      <c r="L2" s="26" t="s">
        <v>56</v>
      </c>
    </row>
    <row r="3" spans="1:12" x14ac:dyDescent="0.3">
      <c r="A3" s="51" t="s">
        <v>268</v>
      </c>
      <c r="B3" s="26">
        <v>190</v>
      </c>
      <c r="C3" s="26">
        <v>110</v>
      </c>
      <c r="D3" s="26">
        <v>19</v>
      </c>
      <c r="E3" s="26">
        <v>9</v>
      </c>
      <c r="F3" s="26">
        <v>70</v>
      </c>
      <c r="G3" s="26">
        <v>160</v>
      </c>
      <c r="H3" s="26">
        <v>65</v>
      </c>
      <c r="I3" s="26">
        <v>150</v>
      </c>
      <c r="J3" s="47" t="s">
        <v>252</v>
      </c>
      <c r="K3" s="26">
        <v>80</v>
      </c>
      <c r="L3" s="26" t="s">
        <v>266</v>
      </c>
    </row>
    <row r="4" spans="1:12" x14ac:dyDescent="0.3">
      <c r="A4" s="51" t="s">
        <v>269</v>
      </c>
      <c r="B4" s="26">
        <v>260</v>
      </c>
      <c r="C4" s="26">
        <v>190</v>
      </c>
      <c r="D4" s="26">
        <v>19</v>
      </c>
      <c r="E4" s="26">
        <v>12</v>
      </c>
      <c r="F4" s="26">
        <v>70</v>
      </c>
      <c r="G4" s="26">
        <v>160</v>
      </c>
      <c r="H4" s="26">
        <v>85</v>
      </c>
      <c r="I4" s="26">
        <v>160</v>
      </c>
      <c r="J4" s="48" t="s">
        <v>252</v>
      </c>
      <c r="K4" s="26">
        <v>110</v>
      </c>
      <c r="L4" s="26" t="s">
        <v>266</v>
      </c>
    </row>
    <row r="5" spans="1:12" x14ac:dyDescent="0.3">
      <c r="A5" s="51" t="s">
        <v>270</v>
      </c>
      <c r="B5" s="26">
        <v>260</v>
      </c>
      <c r="C5" s="26">
        <v>190</v>
      </c>
      <c r="D5" s="26">
        <v>19</v>
      </c>
      <c r="E5" s="26">
        <v>12</v>
      </c>
      <c r="F5" s="26">
        <v>85</v>
      </c>
      <c r="G5" s="26">
        <v>185</v>
      </c>
      <c r="H5" s="26">
        <v>73</v>
      </c>
      <c r="I5" s="26">
        <v>170</v>
      </c>
      <c r="J5" s="48" t="s">
        <v>252</v>
      </c>
      <c r="K5" s="26">
        <v>135</v>
      </c>
      <c r="L5" s="26" t="s">
        <v>245</v>
      </c>
    </row>
    <row r="6" spans="1:12" x14ac:dyDescent="0.3">
      <c r="A6" s="51" t="s">
        <v>271</v>
      </c>
      <c r="B6" s="26">
        <v>380</v>
      </c>
      <c r="C6" s="26">
        <v>300</v>
      </c>
      <c r="D6" s="26">
        <v>22</v>
      </c>
      <c r="E6" s="26">
        <v>16</v>
      </c>
      <c r="F6" s="26">
        <v>95</v>
      </c>
      <c r="G6" s="26">
        <v>210</v>
      </c>
      <c r="H6" s="26">
        <v>105</v>
      </c>
      <c r="I6" s="26">
        <v>190</v>
      </c>
      <c r="J6" s="48" t="s">
        <v>253</v>
      </c>
      <c r="K6" s="26">
        <v>190</v>
      </c>
      <c r="L6" s="26" t="s">
        <v>246</v>
      </c>
    </row>
    <row r="7" spans="1:12" x14ac:dyDescent="0.3">
      <c r="A7" s="51" t="s">
        <v>272</v>
      </c>
      <c r="B7" s="26">
        <v>380</v>
      </c>
      <c r="C7" s="26">
        <v>300</v>
      </c>
      <c r="D7" s="26">
        <v>22</v>
      </c>
      <c r="E7" s="26">
        <v>16</v>
      </c>
      <c r="F7" s="26">
        <v>110</v>
      </c>
      <c r="G7" s="26">
        <v>260</v>
      </c>
      <c r="H7" s="26">
        <v>80</v>
      </c>
      <c r="I7" s="26">
        <v>210</v>
      </c>
      <c r="J7" s="48" t="s">
        <v>253</v>
      </c>
      <c r="K7" s="26">
        <v>240</v>
      </c>
      <c r="L7" s="26" t="s">
        <v>267</v>
      </c>
    </row>
    <row r="8" spans="1:12" x14ac:dyDescent="0.3">
      <c r="A8" s="51" t="s">
        <v>273</v>
      </c>
      <c r="B8" s="26">
        <v>450</v>
      </c>
      <c r="C8" s="26">
        <v>360</v>
      </c>
      <c r="D8" s="26">
        <v>28</v>
      </c>
      <c r="E8" s="26">
        <v>16</v>
      </c>
      <c r="F8" s="26">
        <v>250</v>
      </c>
      <c r="G8" s="26">
        <v>260</v>
      </c>
      <c r="H8" s="26">
        <v>88</v>
      </c>
      <c r="I8" s="26">
        <v>220</v>
      </c>
      <c r="J8" s="48" t="s">
        <v>12</v>
      </c>
      <c r="K8" s="26">
        <v>295</v>
      </c>
      <c r="L8" s="26" t="s">
        <v>267</v>
      </c>
    </row>
    <row r="9" spans="1:12" x14ac:dyDescent="0.3">
      <c r="A9" s="51" t="s">
        <v>274</v>
      </c>
      <c r="B9" s="26">
        <v>500</v>
      </c>
      <c r="C9" s="26">
        <v>410</v>
      </c>
      <c r="D9" s="26">
        <v>28</v>
      </c>
      <c r="E9" s="26">
        <v>19</v>
      </c>
      <c r="F9" s="26">
        <v>250</v>
      </c>
      <c r="G9" s="26">
        <v>260</v>
      </c>
      <c r="H9" s="26">
        <v>88</v>
      </c>
      <c r="I9" s="26">
        <v>240</v>
      </c>
      <c r="J9" s="48" t="s">
        <v>12</v>
      </c>
      <c r="K9" s="26">
        <v>345</v>
      </c>
      <c r="L9" s="26" t="s">
        <v>267</v>
      </c>
    </row>
    <row r="12" spans="1:12" x14ac:dyDescent="0.3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12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12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12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12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L1"/>
  </mergeCells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70E90-07F4-4A46-A838-E84DF526ABFB}">
  <sheetPr codeName="工作表44">
    <tabColor rgb="FFFFFF00"/>
  </sheetPr>
  <dimension ref="A1:I24"/>
  <sheetViews>
    <sheetView workbookViewId="0">
      <selection activeCell="A7" sqref="A7"/>
    </sheetView>
  </sheetViews>
  <sheetFormatPr defaultRowHeight="16.2" x14ac:dyDescent="0.3"/>
  <cols>
    <col min="7" max="7" width="12.6640625" bestFit="1" customWidth="1"/>
    <col min="9" max="9" width="12.109375" bestFit="1" customWidth="1"/>
  </cols>
  <sheetData>
    <row r="1" spans="1:9" x14ac:dyDescent="0.3">
      <c r="A1" s="56" t="s">
        <v>250</v>
      </c>
      <c r="B1" s="56"/>
      <c r="C1" s="56"/>
      <c r="D1" s="56"/>
      <c r="E1" s="56"/>
      <c r="F1" s="56"/>
      <c r="G1" s="56"/>
      <c r="H1" s="56"/>
      <c r="I1" s="56"/>
    </row>
    <row r="2" spans="1:9" x14ac:dyDescent="0.3">
      <c r="A2" s="46" t="s">
        <v>35</v>
      </c>
      <c r="B2" s="26" t="s">
        <v>42</v>
      </c>
      <c r="C2" s="26" t="s">
        <v>46</v>
      </c>
      <c r="D2" s="26" t="s">
        <v>52</v>
      </c>
      <c r="E2" s="26" t="s">
        <v>55</v>
      </c>
      <c r="F2" s="26" t="s">
        <v>57</v>
      </c>
      <c r="G2" s="26" t="s">
        <v>251</v>
      </c>
      <c r="H2" s="26" t="s">
        <v>38</v>
      </c>
      <c r="I2" s="26" t="s">
        <v>56</v>
      </c>
    </row>
    <row r="3" spans="1:9" x14ac:dyDescent="0.3">
      <c r="A3" s="51" t="s">
        <v>268</v>
      </c>
      <c r="B3" s="26">
        <v>190</v>
      </c>
      <c r="C3" s="26">
        <v>9</v>
      </c>
      <c r="D3" s="26">
        <v>70</v>
      </c>
      <c r="E3" s="26">
        <v>160</v>
      </c>
      <c r="F3" s="26">
        <v>95</v>
      </c>
      <c r="G3" s="26">
        <v>150</v>
      </c>
      <c r="H3" s="26">
        <v>80</v>
      </c>
      <c r="I3" s="26" t="s">
        <v>266</v>
      </c>
    </row>
    <row r="4" spans="1:9" x14ac:dyDescent="0.3">
      <c r="A4" s="51" t="s">
        <v>269</v>
      </c>
      <c r="B4" s="26">
        <v>260</v>
      </c>
      <c r="C4" s="26">
        <v>12</v>
      </c>
      <c r="D4" s="26">
        <v>70</v>
      </c>
      <c r="E4" s="26">
        <v>160</v>
      </c>
      <c r="F4" s="26">
        <v>130</v>
      </c>
      <c r="G4" s="26">
        <v>160</v>
      </c>
      <c r="H4" s="26">
        <v>110</v>
      </c>
      <c r="I4" s="26" t="s">
        <v>266</v>
      </c>
    </row>
    <row r="5" spans="1:9" x14ac:dyDescent="0.3">
      <c r="A5" s="51" t="s">
        <v>270</v>
      </c>
      <c r="B5" s="26">
        <v>260</v>
      </c>
      <c r="C5" s="26">
        <v>12</v>
      </c>
      <c r="D5" s="26">
        <v>85</v>
      </c>
      <c r="E5" s="26">
        <v>185</v>
      </c>
      <c r="F5" s="26">
        <v>120</v>
      </c>
      <c r="G5" s="26">
        <v>170</v>
      </c>
      <c r="H5" s="26">
        <v>135</v>
      </c>
      <c r="I5" s="26" t="s">
        <v>245</v>
      </c>
    </row>
    <row r="6" spans="1:9" x14ac:dyDescent="0.3">
      <c r="A6" s="51" t="s">
        <v>271</v>
      </c>
      <c r="B6" s="26">
        <v>380</v>
      </c>
      <c r="C6" s="26">
        <v>16</v>
      </c>
      <c r="D6" s="26">
        <v>95</v>
      </c>
      <c r="E6" s="26">
        <v>210</v>
      </c>
      <c r="F6" s="26">
        <v>180</v>
      </c>
      <c r="G6" s="26">
        <v>190</v>
      </c>
      <c r="H6" s="26">
        <v>190</v>
      </c>
      <c r="I6" s="26" t="s">
        <v>246</v>
      </c>
    </row>
    <row r="7" spans="1:9" x14ac:dyDescent="0.3">
      <c r="A7" s="51" t="s">
        <v>272</v>
      </c>
      <c r="B7" s="26">
        <v>380</v>
      </c>
      <c r="C7" s="26">
        <v>16</v>
      </c>
      <c r="D7" s="26">
        <v>110</v>
      </c>
      <c r="E7" s="26">
        <v>260</v>
      </c>
      <c r="F7" s="26">
        <v>150</v>
      </c>
      <c r="G7" s="26">
        <v>210</v>
      </c>
      <c r="H7" s="26">
        <v>240</v>
      </c>
      <c r="I7" s="26" t="s">
        <v>267</v>
      </c>
    </row>
    <row r="8" spans="1:9" x14ac:dyDescent="0.3">
      <c r="A8" s="51" t="s">
        <v>273</v>
      </c>
      <c r="B8" s="26">
        <v>450</v>
      </c>
      <c r="C8" s="26">
        <v>16</v>
      </c>
      <c r="D8" s="26">
        <v>250</v>
      </c>
      <c r="E8" s="26">
        <v>260</v>
      </c>
      <c r="F8" s="26">
        <v>180</v>
      </c>
      <c r="G8" s="26">
        <v>220</v>
      </c>
      <c r="H8" s="26">
        <v>295</v>
      </c>
      <c r="I8" s="26" t="s">
        <v>267</v>
      </c>
    </row>
    <row r="9" spans="1:9" x14ac:dyDescent="0.3">
      <c r="A9" s="51" t="s">
        <v>274</v>
      </c>
      <c r="B9" s="26">
        <v>500</v>
      </c>
      <c r="C9" s="26">
        <v>19</v>
      </c>
      <c r="D9" s="26">
        <v>250</v>
      </c>
      <c r="E9" s="26">
        <v>260</v>
      </c>
      <c r="F9" s="26">
        <v>190</v>
      </c>
      <c r="G9" s="26">
        <v>240</v>
      </c>
      <c r="H9" s="26">
        <v>345</v>
      </c>
      <c r="I9" s="26" t="s">
        <v>267</v>
      </c>
    </row>
    <row r="12" spans="1:9" x14ac:dyDescent="0.3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9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9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9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9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I1"/>
  </mergeCells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AD362-48E6-4A0F-813E-71F7E6D1E5CB}">
  <sheetPr codeName="工作表43">
    <tabColor rgb="FFFFFF00"/>
  </sheetPr>
  <dimension ref="A1:G5"/>
  <sheetViews>
    <sheetView workbookViewId="0">
      <selection activeCell="I18" sqref="I18"/>
    </sheetView>
  </sheetViews>
  <sheetFormatPr defaultRowHeight="16.2" x14ac:dyDescent="0.3"/>
  <cols>
    <col min="7" max="7" width="12.33203125" bestFit="1" customWidth="1"/>
  </cols>
  <sheetData>
    <row r="1" spans="1:7" x14ac:dyDescent="0.3">
      <c r="A1" s="56" t="s">
        <v>250</v>
      </c>
      <c r="B1" s="56"/>
      <c r="C1" s="56"/>
      <c r="D1" s="56"/>
      <c r="E1" s="56"/>
      <c r="F1" s="56"/>
      <c r="G1" s="56"/>
    </row>
    <row r="2" spans="1:7" x14ac:dyDescent="0.3">
      <c r="A2" s="46" t="s">
        <v>35</v>
      </c>
      <c r="B2" s="26" t="s">
        <v>53</v>
      </c>
      <c r="C2" s="26" t="s">
        <v>49</v>
      </c>
      <c r="D2" s="26" t="s">
        <v>52</v>
      </c>
      <c r="E2" s="26" t="s">
        <v>55</v>
      </c>
      <c r="F2" s="26" t="s">
        <v>38</v>
      </c>
      <c r="G2" s="26" t="s">
        <v>56</v>
      </c>
    </row>
    <row r="3" spans="1:7" x14ac:dyDescent="0.3">
      <c r="A3" s="51" t="s">
        <v>268</v>
      </c>
      <c r="B3" s="26">
        <v>1000</v>
      </c>
      <c r="C3" s="26">
        <v>1500</v>
      </c>
      <c r="D3" s="26">
        <v>70</v>
      </c>
      <c r="E3" s="26">
        <v>160</v>
      </c>
      <c r="F3" s="26">
        <v>80</v>
      </c>
      <c r="G3" s="26" t="s">
        <v>266</v>
      </c>
    </row>
    <row r="4" spans="1:7" x14ac:dyDescent="0.3">
      <c r="A4" s="51" t="s">
        <v>269</v>
      </c>
      <c r="B4" s="26">
        <v>1000</v>
      </c>
      <c r="C4" s="26">
        <v>1500</v>
      </c>
      <c r="D4" s="26">
        <v>70</v>
      </c>
      <c r="E4" s="26">
        <v>160</v>
      </c>
      <c r="F4" s="26">
        <v>110</v>
      </c>
      <c r="G4" s="26" t="s">
        <v>266</v>
      </c>
    </row>
    <row r="5" spans="1:7" x14ac:dyDescent="0.3">
      <c r="A5" s="51" t="s">
        <v>270</v>
      </c>
      <c r="B5" s="26">
        <v>1000</v>
      </c>
      <c r="C5" s="26">
        <v>1500</v>
      </c>
      <c r="D5" s="26">
        <v>85</v>
      </c>
      <c r="E5" s="26">
        <v>185</v>
      </c>
      <c r="F5" s="26">
        <v>135</v>
      </c>
      <c r="G5" s="26" t="s">
        <v>245</v>
      </c>
    </row>
  </sheetData>
  <mergeCells count="1">
    <mergeCell ref="A1:G1"/>
  </mergeCells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C6AD7-3D25-4AD8-8A0E-D797F5504D76}">
  <sheetPr codeName="工作表45">
    <tabColor rgb="FFFFFF00"/>
  </sheetPr>
  <dimension ref="A1:J6"/>
  <sheetViews>
    <sheetView workbookViewId="0">
      <selection activeCell="K20" sqref="K20"/>
    </sheetView>
  </sheetViews>
  <sheetFormatPr defaultRowHeight="16.2" x14ac:dyDescent="0.3"/>
  <cols>
    <col min="1" max="1" width="11.109375" bestFit="1" customWidth="1"/>
    <col min="10" max="10" width="12.33203125" bestFit="1" customWidth="1"/>
  </cols>
  <sheetData>
    <row r="1" spans="1:10" x14ac:dyDescent="0.3">
      <c r="A1" s="56" t="s">
        <v>250</v>
      </c>
      <c r="B1" s="56"/>
      <c r="C1" s="56"/>
      <c r="D1" s="56"/>
      <c r="E1" s="56"/>
      <c r="F1" s="56"/>
      <c r="G1" s="56"/>
      <c r="H1" s="56"/>
      <c r="I1" s="56"/>
      <c r="J1" s="56"/>
    </row>
    <row r="2" spans="1:10" x14ac:dyDescent="0.3">
      <c r="A2" s="25" t="s">
        <v>316</v>
      </c>
      <c r="B2" s="25" t="s">
        <v>35</v>
      </c>
      <c r="C2" s="25" t="s">
        <v>40</v>
      </c>
      <c r="D2" s="25" t="s">
        <v>42</v>
      </c>
      <c r="E2" s="25" t="s">
        <v>45</v>
      </c>
      <c r="F2" s="25" t="s">
        <v>46</v>
      </c>
      <c r="G2" s="25" t="s">
        <v>47</v>
      </c>
      <c r="H2" s="25" t="s">
        <v>56</v>
      </c>
      <c r="I2" s="25" t="s">
        <v>51</v>
      </c>
      <c r="J2" s="25" t="s">
        <v>52</v>
      </c>
    </row>
    <row r="3" spans="1:10" x14ac:dyDescent="0.3">
      <c r="A3" s="46" t="s">
        <v>312</v>
      </c>
      <c r="B3" s="26">
        <v>150</v>
      </c>
      <c r="C3" s="26">
        <v>50</v>
      </c>
      <c r="D3" s="26">
        <v>30</v>
      </c>
      <c r="E3" s="26">
        <v>30</v>
      </c>
      <c r="F3" s="26">
        <v>60</v>
      </c>
      <c r="G3" s="26" t="s">
        <v>287</v>
      </c>
      <c r="H3" s="26" t="s">
        <v>287</v>
      </c>
      <c r="I3" s="26">
        <v>19</v>
      </c>
      <c r="J3" s="26" t="s">
        <v>324</v>
      </c>
    </row>
    <row r="4" spans="1:10" x14ac:dyDescent="0.3">
      <c r="A4" s="51" t="s">
        <v>313</v>
      </c>
      <c r="B4" s="26">
        <v>160</v>
      </c>
      <c r="C4" s="26">
        <v>65</v>
      </c>
      <c r="D4" s="26">
        <v>35</v>
      </c>
      <c r="E4" s="26">
        <v>30</v>
      </c>
      <c r="F4" s="26">
        <v>70</v>
      </c>
      <c r="G4" s="26" t="s">
        <v>287</v>
      </c>
      <c r="H4" s="26" t="s">
        <v>287</v>
      </c>
      <c r="I4" s="26">
        <v>22</v>
      </c>
      <c r="J4" s="26" t="s">
        <v>325</v>
      </c>
    </row>
    <row r="5" spans="1:10" x14ac:dyDescent="0.3">
      <c r="A5" s="51" t="s">
        <v>314</v>
      </c>
      <c r="B5" s="26">
        <v>160</v>
      </c>
      <c r="C5" s="26">
        <v>75</v>
      </c>
      <c r="D5" s="26">
        <v>40</v>
      </c>
      <c r="E5" s="26">
        <v>30</v>
      </c>
      <c r="F5" s="26">
        <v>70</v>
      </c>
      <c r="G5" s="26" t="s">
        <v>287</v>
      </c>
      <c r="H5" s="26" t="s">
        <v>287</v>
      </c>
      <c r="I5" s="26">
        <v>22</v>
      </c>
      <c r="J5" s="26" t="s">
        <v>325</v>
      </c>
    </row>
    <row r="6" spans="1:10" x14ac:dyDescent="0.3">
      <c r="A6" s="51" t="s">
        <v>315</v>
      </c>
      <c r="B6" s="26">
        <v>170</v>
      </c>
      <c r="C6" s="26">
        <v>125</v>
      </c>
      <c r="D6" s="26" t="s">
        <v>287</v>
      </c>
      <c r="E6" s="26">
        <v>30</v>
      </c>
      <c r="F6" s="26">
        <v>80</v>
      </c>
      <c r="G6" s="26">
        <v>35</v>
      </c>
      <c r="H6" s="26">
        <v>55</v>
      </c>
      <c r="I6" s="26">
        <v>22</v>
      </c>
      <c r="J6" s="26" t="s">
        <v>325</v>
      </c>
    </row>
  </sheetData>
  <mergeCells count="1">
    <mergeCell ref="A1:J1"/>
  </mergeCells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91B50-FEEE-46E5-AEF0-671AAC28A4AF}">
  <sheetPr codeName="工作表46">
    <tabColor rgb="FFFFFF00"/>
  </sheetPr>
  <dimension ref="A1:M11"/>
  <sheetViews>
    <sheetView workbookViewId="0">
      <selection activeCell="Q7" sqref="Q7"/>
    </sheetView>
  </sheetViews>
  <sheetFormatPr defaultRowHeight="16.2" x14ac:dyDescent="0.3"/>
  <cols>
    <col min="1" max="1" width="11.109375" bestFit="1" customWidth="1"/>
    <col min="2" max="2" width="13.88671875" customWidth="1"/>
    <col min="10" max="10" width="12.33203125" bestFit="1" customWidth="1"/>
  </cols>
  <sheetData>
    <row r="1" spans="1:13" ht="21.6" customHeight="1" x14ac:dyDescent="0.3">
      <c r="A1" s="53" t="s">
        <v>326</v>
      </c>
      <c r="B1" s="53" t="s">
        <v>327</v>
      </c>
      <c r="C1" s="53" t="s">
        <v>317</v>
      </c>
      <c r="D1" s="53" t="s">
        <v>328</v>
      </c>
      <c r="E1" s="53" t="s">
        <v>318</v>
      </c>
      <c r="F1" s="53" t="s">
        <v>319</v>
      </c>
      <c r="G1" s="53" t="s">
        <v>320</v>
      </c>
      <c r="H1" s="53" t="s">
        <v>321</v>
      </c>
      <c r="I1" s="53" t="s">
        <v>322</v>
      </c>
      <c r="J1" s="53" t="s">
        <v>0</v>
      </c>
      <c r="K1" s="53" t="s">
        <v>329</v>
      </c>
      <c r="L1" s="53" t="s">
        <v>323</v>
      </c>
      <c r="M1" s="53" t="s">
        <v>330</v>
      </c>
    </row>
    <row r="2" spans="1:13" x14ac:dyDescent="0.3">
      <c r="A2" s="54" t="s">
        <v>331</v>
      </c>
      <c r="B2" s="54" t="s">
        <v>332</v>
      </c>
      <c r="C2" s="54" t="s">
        <v>333</v>
      </c>
      <c r="D2" s="54" t="s">
        <v>334</v>
      </c>
      <c r="E2" s="54" t="s">
        <v>335</v>
      </c>
      <c r="F2" s="54" t="s">
        <v>276</v>
      </c>
      <c r="G2" s="54" t="s">
        <v>276</v>
      </c>
      <c r="H2" s="54" t="s">
        <v>336</v>
      </c>
      <c r="I2" s="54" t="s">
        <v>65</v>
      </c>
      <c r="J2" s="54" t="s">
        <v>65</v>
      </c>
      <c r="K2" s="54" t="s">
        <v>337</v>
      </c>
      <c r="L2" s="54" t="s">
        <v>295</v>
      </c>
      <c r="M2" s="54" t="s">
        <v>338</v>
      </c>
    </row>
    <row r="3" spans="1:13" x14ac:dyDescent="0.3">
      <c r="A3" s="54" t="s">
        <v>339</v>
      </c>
      <c r="B3" s="54" t="s">
        <v>340</v>
      </c>
      <c r="C3" s="54" t="s">
        <v>341</v>
      </c>
      <c r="D3" s="54" t="s">
        <v>342</v>
      </c>
      <c r="E3" s="54" t="s">
        <v>278</v>
      </c>
      <c r="F3" s="54" t="s">
        <v>277</v>
      </c>
      <c r="G3" s="54" t="s">
        <v>276</v>
      </c>
      <c r="H3" s="54" t="s">
        <v>343</v>
      </c>
      <c r="I3" s="54" t="s">
        <v>65</v>
      </c>
      <c r="J3" s="54" t="s">
        <v>65</v>
      </c>
      <c r="K3" s="54" t="s">
        <v>275</v>
      </c>
      <c r="L3" s="54" t="s">
        <v>344</v>
      </c>
      <c r="M3" s="54" t="s">
        <v>338</v>
      </c>
    </row>
    <row r="4" spans="1:13" x14ac:dyDescent="0.3">
      <c r="A4" s="54" t="s">
        <v>345</v>
      </c>
      <c r="B4" s="54" t="s">
        <v>346</v>
      </c>
      <c r="C4" s="54" t="s">
        <v>341</v>
      </c>
      <c r="D4" s="54" t="s">
        <v>347</v>
      </c>
      <c r="E4" s="54" t="s">
        <v>348</v>
      </c>
      <c r="F4" s="54" t="s">
        <v>349</v>
      </c>
      <c r="G4" s="54" t="s">
        <v>276</v>
      </c>
      <c r="H4" s="54" t="s">
        <v>343</v>
      </c>
      <c r="I4" s="54" t="s">
        <v>65</v>
      </c>
      <c r="J4" s="54" t="s">
        <v>65</v>
      </c>
      <c r="K4" s="54" t="s">
        <v>275</v>
      </c>
      <c r="L4" s="54" t="s">
        <v>344</v>
      </c>
      <c r="M4" s="54" t="s">
        <v>338</v>
      </c>
    </row>
    <row r="5" spans="1:13" x14ac:dyDescent="0.3">
      <c r="A5" s="54" t="s">
        <v>350</v>
      </c>
      <c r="B5" s="54" t="s">
        <v>351</v>
      </c>
      <c r="C5" s="54" t="s">
        <v>352</v>
      </c>
      <c r="D5" s="54" t="s">
        <v>341</v>
      </c>
      <c r="E5" s="54" t="s">
        <v>334</v>
      </c>
      <c r="F5" s="54" t="s">
        <v>335</v>
      </c>
      <c r="G5" s="54" t="s">
        <v>276</v>
      </c>
      <c r="H5" s="54" t="s">
        <v>353</v>
      </c>
      <c r="I5" s="54" t="s">
        <v>65</v>
      </c>
      <c r="J5" s="54" t="s">
        <v>65</v>
      </c>
      <c r="K5" s="54" t="s">
        <v>275</v>
      </c>
      <c r="L5" s="54" t="s">
        <v>344</v>
      </c>
      <c r="M5" s="54" t="s">
        <v>10</v>
      </c>
    </row>
    <row r="6" spans="1:13" x14ac:dyDescent="0.3">
      <c r="A6" s="54" t="s">
        <v>354</v>
      </c>
      <c r="B6" s="54" t="s">
        <v>351</v>
      </c>
      <c r="C6" s="54" t="s">
        <v>352</v>
      </c>
      <c r="D6" s="54" t="s">
        <v>341</v>
      </c>
      <c r="E6" s="54" t="s">
        <v>334</v>
      </c>
      <c r="F6" s="54" t="s">
        <v>65</v>
      </c>
      <c r="G6" s="54" t="s">
        <v>276</v>
      </c>
      <c r="H6" s="54" t="s">
        <v>353</v>
      </c>
      <c r="I6" s="54" t="s">
        <v>311</v>
      </c>
      <c r="J6" s="54" t="s">
        <v>335</v>
      </c>
      <c r="K6" s="54" t="s">
        <v>337</v>
      </c>
      <c r="L6" s="54" t="s">
        <v>295</v>
      </c>
      <c r="M6" s="54" t="s">
        <v>10</v>
      </c>
    </row>
    <row r="7" spans="1:13" x14ac:dyDescent="0.3">
      <c r="A7" s="54" t="s">
        <v>355</v>
      </c>
      <c r="B7" s="54" t="s">
        <v>356</v>
      </c>
      <c r="C7" s="54" t="s">
        <v>352</v>
      </c>
      <c r="D7" s="54" t="s">
        <v>357</v>
      </c>
      <c r="E7" s="54" t="s">
        <v>358</v>
      </c>
      <c r="F7" s="54" t="s">
        <v>65</v>
      </c>
      <c r="G7" s="54" t="s">
        <v>276</v>
      </c>
      <c r="H7" s="54" t="s">
        <v>353</v>
      </c>
      <c r="I7" s="54" t="s">
        <v>277</v>
      </c>
      <c r="J7" s="54" t="s">
        <v>359</v>
      </c>
      <c r="K7" s="54" t="s">
        <v>275</v>
      </c>
      <c r="L7" s="54" t="s">
        <v>344</v>
      </c>
      <c r="M7" s="54" t="s">
        <v>10</v>
      </c>
    </row>
    <row r="8" spans="1:13" x14ac:dyDescent="0.3">
      <c r="A8" s="54" t="s">
        <v>360</v>
      </c>
      <c r="B8" s="54" t="s">
        <v>361</v>
      </c>
      <c r="C8" s="54" t="s">
        <v>362</v>
      </c>
      <c r="D8" s="54" t="s">
        <v>363</v>
      </c>
      <c r="E8" s="54" t="s">
        <v>333</v>
      </c>
      <c r="F8" s="54" t="s">
        <v>65</v>
      </c>
      <c r="G8" s="54" t="s">
        <v>276</v>
      </c>
      <c r="H8" s="54" t="s">
        <v>334</v>
      </c>
      <c r="I8" s="54" t="s">
        <v>349</v>
      </c>
      <c r="J8" s="54" t="s">
        <v>343</v>
      </c>
      <c r="K8" s="54" t="s">
        <v>275</v>
      </c>
      <c r="L8" s="54" t="s">
        <v>344</v>
      </c>
      <c r="M8" s="54" t="s">
        <v>11</v>
      </c>
    </row>
    <row r="9" spans="1:13" x14ac:dyDescent="0.3">
      <c r="A9" s="54" t="s">
        <v>364</v>
      </c>
      <c r="B9" s="54" t="s">
        <v>365</v>
      </c>
      <c r="C9" s="54" t="s">
        <v>366</v>
      </c>
      <c r="D9" s="54" t="s">
        <v>367</v>
      </c>
      <c r="E9" s="54" t="s">
        <v>357</v>
      </c>
      <c r="F9" s="54" t="s">
        <v>65</v>
      </c>
      <c r="G9" s="54" t="s">
        <v>277</v>
      </c>
      <c r="H9" s="54" t="s">
        <v>368</v>
      </c>
      <c r="I9" s="54" t="s">
        <v>369</v>
      </c>
      <c r="J9" s="54" t="s">
        <v>370</v>
      </c>
      <c r="K9" s="54" t="s">
        <v>275</v>
      </c>
      <c r="L9" s="54" t="s">
        <v>344</v>
      </c>
      <c r="M9" s="54" t="s">
        <v>11</v>
      </c>
    </row>
    <row r="10" spans="1:13" x14ac:dyDescent="0.3">
      <c r="A10" s="54" t="s">
        <v>371</v>
      </c>
      <c r="B10" s="54" t="s">
        <v>372</v>
      </c>
      <c r="C10" s="54" t="s">
        <v>363</v>
      </c>
      <c r="D10" s="54" t="s">
        <v>373</v>
      </c>
      <c r="E10" s="54" t="s">
        <v>374</v>
      </c>
      <c r="F10" s="54" t="s">
        <v>65</v>
      </c>
      <c r="G10" s="54" t="s">
        <v>277</v>
      </c>
      <c r="H10" s="54" t="s">
        <v>375</v>
      </c>
      <c r="I10" s="54" t="s">
        <v>335</v>
      </c>
      <c r="J10" s="54" t="s">
        <v>334</v>
      </c>
      <c r="K10" s="54" t="s">
        <v>275</v>
      </c>
      <c r="L10" s="54" t="s">
        <v>344</v>
      </c>
      <c r="M10" s="54" t="s">
        <v>11</v>
      </c>
    </row>
    <row r="11" spans="1:13" x14ac:dyDescent="0.3">
      <c r="A11" s="54" t="s">
        <v>376</v>
      </c>
      <c r="B11" s="54" t="s">
        <v>377</v>
      </c>
      <c r="C11" s="54" t="s">
        <v>378</v>
      </c>
      <c r="D11" s="54" t="s">
        <v>379</v>
      </c>
      <c r="E11" s="54" t="s">
        <v>378</v>
      </c>
      <c r="F11" s="54" t="s">
        <v>65</v>
      </c>
      <c r="G11" s="54" t="s">
        <v>349</v>
      </c>
      <c r="H11" s="54" t="s">
        <v>347</v>
      </c>
      <c r="I11" s="54" t="s">
        <v>336</v>
      </c>
      <c r="J11" s="54" t="s">
        <v>342</v>
      </c>
      <c r="K11" s="54" t="s">
        <v>311</v>
      </c>
      <c r="L11" s="54" t="s">
        <v>296</v>
      </c>
      <c r="M11" s="54" t="s">
        <v>310</v>
      </c>
    </row>
  </sheetData>
  <phoneticPr fontId="1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8ED5-97D4-47E1-93CD-5BE458CAA7CF}">
  <sheetPr codeName="工作表6"/>
  <dimension ref="A1:J89"/>
  <sheetViews>
    <sheetView topLeftCell="A12" workbookViewId="0">
      <selection activeCell="J22" sqref="J22"/>
    </sheetView>
  </sheetViews>
  <sheetFormatPr defaultRowHeight="16.2" x14ac:dyDescent="0.3"/>
  <cols>
    <col min="5" max="5" width="11.33203125" bestFit="1" customWidth="1"/>
    <col min="10" max="10" width="18.44140625" bestFit="1" customWidth="1"/>
  </cols>
  <sheetData>
    <row r="1" spans="1:10" ht="20.399999999999999" x14ac:dyDescent="0.3">
      <c r="A1" s="38" t="s">
        <v>141</v>
      </c>
      <c r="B1" s="38" t="s">
        <v>143</v>
      </c>
      <c r="C1" s="38" t="s">
        <v>108</v>
      </c>
      <c r="D1" s="38" t="s">
        <v>110</v>
      </c>
      <c r="E1" s="42" t="s">
        <v>240</v>
      </c>
      <c r="F1" s="38" t="s">
        <v>144</v>
      </c>
      <c r="G1" s="38" t="s">
        <v>113</v>
      </c>
      <c r="H1" s="38" t="s">
        <v>115</v>
      </c>
      <c r="I1" s="57" t="s">
        <v>117</v>
      </c>
    </row>
    <row r="2" spans="1:10" ht="16.8" thickBot="1" x14ac:dyDescent="0.35">
      <c r="A2" s="39" t="s">
        <v>142</v>
      </c>
      <c r="B2" s="39" t="s">
        <v>107</v>
      </c>
      <c r="C2" s="39" t="s">
        <v>109</v>
      </c>
      <c r="D2" s="39" t="s">
        <v>109</v>
      </c>
      <c r="E2" s="43"/>
      <c r="F2" s="39" t="s">
        <v>109</v>
      </c>
      <c r="G2" s="39" t="s">
        <v>114</v>
      </c>
      <c r="H2" s="39" t="s">
        <v>116</v>
      </c>
      <c r="I2" s="58"/>
    </row>
    <row r="3" spans="1:10" ht="16.8" thickBot="1" x14ac:dyDescent="0.35">
      <c r="A3" s="40" t="s">
        <v>121</v>
      </c>
      <c r="B3" s="40" t="s">
        <v>121</v>
      </c>
      <c r="C3" s="40">
        <v>5</v>
      </c>
      <c r="D3" s="40">
        <v>7</v>
      </c>
      <c r="E3" s="40" t="str">
        <f>SUBSTITUTE(_xlfn.TEXTJOIN("*",TRUE,B3,C3)," x ","*")</f>
        <v>100*50*5</v>
      </c>
      <c r="F3" s="40">
        <v>8</v>
      </c>
      <c r="G3" s="40">
        <v>11.85</v>
      </c>
      <c r="H3" s="40">
        <v>9.3000000000000007</v>
      </c>
      <c r="I3" s="40"/>
    </row>
    <row r="4" spans="1:10" ht="16.8" thickBot="1" x14ac:dyDescent="0.35">
      <c r="A4" s="40" t="s">
        <v>145</v>
      </c>
      <c r="B4" s="40" t="s">
        <v>145</v>
      </c>
      <c r="C4" s="40">
        <v>6</v>
      </c>
      <c r="D4" s="40">
        <v>8</v>
      </c>
      <c r="E4" s="40" t="str">
        <f t="shared" ref="E4:E67" si="0">SUBSTITUTE(_xlfn.TEXTJOIN("*",TRUE,B4,C4)," x ","*")</f>
        <v>100*100*6</v>
      </c>
      <c r="F4" s="40">
        <v>8</v>
      </c>
      <c r="G4" s="40">
        <v>21.59</v>
      </c>
      <c r="H4" s="40">
        <v>16.899999999999999</v>
      </c>
      <c r="I4" s="40" t="s">
        <v>120</v>
      </c>
    </row>
    <row r="5" spans="1:10" ht="16.8" thickBot="1" x14ac:dyDescent="0.35">
      <c r="A5" s="40" t="s">
        <v>146</v>
      </c>
      <c r="B5" s="40" t="s">
        <v>146</v>
      </c>
      <c r="C5" s="40">
        <v>6</v>
      </c>
      <c r="D5" s="40">
        <v>8</v>
      </c>
      <c r="E5" s="40" t="str">
        <f t="shared" si="0"/>
        <v>125*60*6</v>
      </c>
      <c r="F5" s="40">
        <v>8</v>
      </c>
      <c r="G5" s="40">
        <v>16.690000000000001</v>
      </c>
      <c r="H5" s="40">
        <v>13.1</v>
      </c>
      <c r="I5" s="40"/>
    </row>
    <row r="6" spans="1:10" ht="16.8" thickBot="1" x14ac:dyDescent="0.35">
      <c r="A6" s="40" t="s">
        <v>147</v>
      </c>
      <c r="B6" s="40" t="s">
        <v>147</v>
      </c>
      <c r="C6" s="40">
        <v>6.5</v>
      </c>
      <c r="D6" s="40">
        <v>9</v>
      </c>
      <c r="E6" s="40" t="str">
        <f t="shared" si="0"/>
        <v>125*125*6.5</v>
      </c>
      <c r="F6" s="40">
        <v>8</v>
      </c>
      <c r="G6" s="40">
        <v>30</v>
      </c>
      <c r="H6" s="40">
        <v>23.6</v>
      </c>
      <c r="I6" s="40" t="s">
        <v>120</v>
      </c>
    </row>
    <row r="7" spans="1:10" ht="16.8" thickBot="1" x14ac:dyDescent="0.35">
      <c r="A7" s="40" t="s">
        <v>124</v>
      </c>
      <c r="B7" s="40" t="s">
        <v>124</v>
      </c>
      <c r="C7" s="40">
        <v>5</v>
      </c>
      <c r="D7" s="40">
        <v>7</v>
      </c>
      <c r="E7" s="40" t="str">
        <f t="shared" si="0"/>
        <v>150*75*5</v>
      </c>
      <c r="F7" s="40">
        <v>8</v>
      </c>
      <c r="G7" s="40">
        <v>17.850000000000001</v>
      </c>
      <c r="H7" s="40">
        <v>14</v>
      </c>
      <c r="I7" s="40" t="s">
        <v>120</v>
      </c>
    </row>
    <row r="8" spans="1:10" ht="16.8" thickBot="1" x14ac:dyDescent="0.35">
      <c r="A8" s="40" t="s">
        <v>148</v>
      </c>
      <c r="B8" s="40" t="s">
        <v>149</v>
      </c>
      <c r="C8" s="40">
        <v>6</v>
      </c>
      <c r="D8" s="40">
        <v>9</v>
      </c>
      <c r="E8" s="40" t="str">
        <f t="shared" si="0"/>
        <v>148*100*6</v>
      </c>
      <c r="F8" s="40">
        <v>8</v>
      </c>
      <c r="G8" s="40">
        <v>26.35</v>
      </c>
      <c r="H8" s="40">
        <v>20.7</v>
      </c>
      <c r="I8" s="40" t="s">
        <v>120</v>
      </c>
    </row>
    <row r="9" spans="1:10" ht="16.8" thickBot="1" x14ac:dyDescent="0.35">
      <c r="A9" s="40" t="s">
        <v>150</v>
      </c>
      <c r="B9" s="40" t="s">
        <v>150</v>
      </c>
      <c r="C9" s="40">
        <v>7</v>
      </c>
      <c r="D9" s="40">
        <v>10</v>
      </c>
      <c r="E9" s="40" t="str">
        <f>SUBSTITUTE(_xlfn.TEXTJOIN("*",TRUE,B9,D9)," x ","*")</f>
        <v>150*150*10</v>
      </c>
      <c r="F9" s="40">
        <v>8</v>
      </c>
      <c r="G9" s="40">
        <v>39.65</v>
      </c>
      <c r="H9" s="40">
        <v>31.1</v>
      </c>
      <c r="I9" s="40" t="s">
        <v>120</v>
      </c>
      <c r="J9" t="s">
        <v>281</v>
      </c>
    </row>
    <row r="10" spans="1:10" ht="16.8" thickBot="1" x14ac:dyDescent="0.35">
      <c r="A10" s="40" t="s">
        <v>151</v>
      </c>
      <c r="B10" s="40" t="s">
        <v>151</v>
      </c>
      <c r="C10" s="40">
        <v>5</v>
      </c>
      <c r="D10" s="40">
        <v>8</v>
      </c>
      <c r="E10" s="40" t="str">
        <f t="shared" si="0"/>
        <v>175*90*5</v>
      </c>
      <c r="F10" s="40">
        <v>8</v>
      </c>
      <c r="G10" s="40">
        <v>22.9</v>
      </c>
      <c r="H10" s="40">
        <v>18</v>
      </c>
      <c r="I10" s="40" t="s">
        <v>120</v>
      </c>
    </row>
    <row r="11" spans="1:10" ht="16.8" thickBot="1" x14ac:dyDescent="0.35">
      <c r="A11" s="40" t="s">
        <v>152</v>
      </c>
      <c r="B11" s="40" t="s">
        <v>153</v>
      </c>
      <c r="C11" s="40">
        <v>5.5</v>
      </c>
      <c r="D11" s="40">
        <v>8</v>
      </c>
      <c r="E11" s="40" t="str">
        <f t="shared" si="0"/>
        <v>169*125*5.5</v>
      </c>
      <c r="F11" s="40">
        <v>12</v>
      </c>
      <c r="G11" s="40">
        <v>29.65</v>
      </c>
      <c r="H11" s="40">
        <v>23.3</v>
      </c>
      <c r="I11" s="40"/>
    </row>
    <row r="12" spans="1:10" ht="16.8" thickBot="1" x14ac:dyDescent="0.35">
      <c r="A12" s="40" t="s">
        <v>154</v>
      </c>
      <c r="B12" s="40" t="s">
        <v>154</v>
      </c>
      <c r="C12" s="40">
        <v>7.5</v>
      </c>
      <c r="D12" s="40">
        <v>11</v>
      </c>
      <c r="E12" s="40" t="str">
        <f t="shared" si="0"/>
        <v>175*175*7.5</v>
      </c>
      <c r="F12" s="40">
        <v>13</v>
      </c>
      <c r="G12" s="40">
        <v>51.42</v>
      </c>
      <c r="H12" s="40">
        <v>40.4</v>
      </c>
      <c r="I12" s="40" t="s">
        <v>120</v>
      </c>
    </row>
    <row r="13" spans="1:10" ht="16.8" thickBot="1" x14ac:dyDescent="0.35">
      <c r="A13" s="40" t="s">
        <v>155</v>
      </c>
      <c r="B13" s="40" t="s">
        <v>156</v>
      </c>
      <c r="C13" s="40">
        <v>4.5</v>
      </c>
      <c r="D13" s="40">
        <v>7</v>
      </c>
      <c r="E13" s="40" t="str">
        <f t="shared" si="0"/>
        <v>198*99*4.5</v>
      </c>
      <c r="F13" s="40">
        <v>8</v>
      </c>
      <c r="G13" s="40">
        <v>22.69</v>
      </c>
      <c r="H13" s="40">
        <v>17.8</v>
      </c>
      <c r="I13" s="40"/>
    </row>
    <row r="14" spans="1:10" ht="16.8" thickBot="1" x14ac:dyDescent="0.35">
      <c r="A14" s="40"/>
      <c r="B14" s="40" t="s">
        <v>155</v>
      </c>
      <c r="C14" s="40">
        <v>5.5</v>
      </c>
      <c r="D14" s="40">
        <v>8</v>
      </c>
      <c r="E14" s="40" t="str">
        <f t="shared" si="0"/>
        <v>200*100*5.5</v>
      </c>
      <c r="F14" s="40">
        <v>8</v>
      </c>
      <c r="G14" s="40">
        <v>26.67</v>
      </c>
      <c r="H14" s="40">
        <v>20.9</v>
      </c>
      <c r="I14" s="40" t="s">
        <v>120</v>
      </c>
    </row>
    <row r="15" spans="1:10" ht="16.8" thickBot="1" x14ac:dyDescent="0.35">
      <c r="A15" s="40" t="s">
        <v>157</v>
      </c>
      <c r="B15" s="40" t="s">
        <v>158</v>
      </c>
      <c r="C15" s="40">
        <v>6</v>
      </c>
      <c r="D15" s="40">
        <v>9</v>
      </c>
      <c r="E15" s="40" t="str">
        <f t="shared" si="0"/>
        <v>194*150*6</v>
      </c>
      <c r="F15" s="40">
        <v>8</v>
      </c>
      <c r="G15" s="40">
        <v>38.11</v>
      </c>
      <c r="H15" s="40">
        <v>29.9</v>
      </c>
      <c r="I15" s="40" t="s">
        <v>120</v>
      </c>
    </row>
    <row r="16" spans="1:10" ht="16.8" thickBot="1" x14ac:dyDescent="0.35">
      <c r="A16" s="40" t="s">
        <v>159</v>
      </c>
      <c r="B16" s="40" t="s">
        <v>159</v>
      </c>
      <c r="C16" s="40">
        <v>8</v>
      </c>
      <c r="D16" s="40">
        <v>12</v>
      </c>
      <c r="E16" s="40" t="str">
        <f t="shared" si="0"/>
        <v>200*200*8</v>
      </c>
      <c r="F16" s="40">
        <v>13</v>
      </c>
      <c r="G16" s="40">
        <v>63.53</v>
      </c>
      <c r="H16" s="40">
        <v>49.9</v>
      </c>
      <c r="I16" s="40" t="s">
        <v>120</v>
      </c>
    </row>
    <row r="17" spans="1:9" ht="16.8" thickBot="1" x14ac:dyDescent="0.35">
      <c r="A17" s="40"/>
      <c r="B17" s="40" t="s">
        <v>160</v>
      </c>
      <c r="C17" s="40">
        <v>10</v>
      </c>
      <c r="D17" s="40">
        <v>16</v>
      </c>
      <c r="E17" s="40" t="str">
        <f t="shared" si="0"/>
        <v>208*208*10</v>
      </c>
      <c r="F17" s="40">
        <v>13</v>
      </c>
      <c r="G17" s="40">
        <v>83.69</v>
      </c>
      <c r="H17" s="40">
        <v>65.7</v>
      </c>
      <c r="I17" s="40"/>
    </row>
    <row r="18" spans="1:9" ht="16.8" thickBot="1" x14ac:dyDescent="0.35">
      <c r="A18" s="40"/>
      <c r="B18" s="40" t="s">
        <v>161</v>
      </c>
      <c r="C18" s="40">
        <v>12</v>
      </c>
      <c r="D18" s="40">
        <v>12</v>
      </c>
      <c r="E18" s="40" t="str">
        <f t="shared" si="0"/>
        <v>200*204*12</v>
      </c>
      <c r="F18" s="40">
        <v>13</v>
      </c>
      <c r="G18" s="40">
        <v>71.53</v>
      </c>
      <c r="H18" s="40">
        <v>56.2</v>
      </c>
      <c r="I18" s="40"/>
    </row>
    <row r="19" spans="1:9" ht="16.8" thickBot="1" x14ac:dyDescent="0.35">
      <c r="A19" s="40" t="s">
        <v>162</v>
      </c>
      <c r="B19" s="40" t="s">
        <v>162</v>
      </c>
      <c r="C19" s="40">
        <v>6</v>
      </c>
      <c r="D19" s="40">
        <v>9</v>
      </c>
      <c r="E19" s="40" t="str">
        <f t="shared" si="0"/>
        <v>250*125*6</v>
      </c>
      <c r="F19" s="40">
        <v>8</v>
      </c>
      <c r="G19" s="40">
        <v>36.97</v>
      </c>
      <c r="H19" s="40">
        <v>29</v>
      </c>
      <c r="I19" s="40" t="s">
        <v>120</v>
      </c>
    </row>
    <row r="20" spans="1:9" ht="16.8" thickBot="1" x14ac:dyDescent="0.35">
      <c r="A20" s="40" t="s">
        <v>163</v>
      </c>
      <c r="B20" s="40" t="s">
        <v>164</v>
      </c>
      <c r="C20" s="40">
        <v>7</v>
      </c>
      <c r="D20" s="40">
        <v>11</v>
      </c>
      <c r="E20" s="40" t="str">
        <f t="shared" si="0"/>
        <v>244*175*7</v>
      </c>
      <c r="F20" s="40">
        <v>13</v>
      </c>
      <c r="G20" s="40">
        <v>55.49</v>
      </c>
      <c r="H20" s="40">
        <v>43.6</v>
      </c>
      <c r="I20" s="40" t="s">
        <v>120</v>
      </c>
    </row>
    <row r="21" spans="1:9" ht="16.8" thickBot="1" x14ac:dyDescent="0.35">
      <c r="A21" s="40" t="s">
        <v>165</v>
      </c>
      <c r="B21" s="40" t="s">
        <v>166</v>
      </c>
      <c r="C21" s="40">
        <v>8</v>
      </c>
      <c r="D21" s="40">
        <v>13</v>
      </c>
      <c r="E21" s="40" t="str">
        <f t="shared" si="0"/>
        <v>248*249*8</v>
      </c>
      <c r="F21" s="40">
        <v>13</v>
      </c>
      <c r="G21" s="40">
        <v>83.95</v>
      </c>
      <c r="H21" s="40">
        <v>65.900000000000006</v>
      </c>
      <c r="I21" s="40"/>
    </row>
    <row r="22" spans="1:9" ht="16.8" thickBot="1" x14ac:dyDescent="0.35">
      <c r="A22" s="40"/>
      <c r="B22" s="40" t="s">
        <v>165</v>
      </c>
      <c r="C22" s="40">
        <v>9</v>
      </c>
      <c r="D22" s="40">
        <v>14</v>
      </c>
      <c r="E22" s="40" t="str">
        <f t="shared" si="0"/>
        <v>250*250*9</v>
      </c>
      <c r="F22" s="40">
        <v>13</v>
      </c>
      <c r="G22" s="40">
        <v>91.43</v>
      </c>
      <c r="H22" s="40">
        <v>71.8</v>
      </c>
      <c r="I22" s="40" t="s">
        <v>120</v>
      </c>
    </row>
    <row r="23" spans="1:9" ht="16.8" thickBot="1" x14ac:dyDescent="0.35">
      <c r="A23" s="40"/>
      <c r="B23" s="40" t="s">
        <v>167</v>
      </c>
      <c r="C23" s="40">
        <v>11</v>
      </c>
      <c r="D23" s="40">
        <v>11</v>
      </c>
      <c r="E23" s="40" t="str">
        <f t="shared" si="0"/>
        <v>244*252*11</v>
      </c>
      <c r="F23" s="40">
        <v>13</v>
      </c>
      <c r="G23" s="40">
        <v>81.31</v>
      </c>
      <c r="H23" s="40">
        <v>63.8</v>
      </c>
      <c r="I23" s="40"/>
    </row>
    <row r="24" spans="1:9" ht="16.8" thickBot="1" x14ac:dyDescent="0.35">
      <c r="A24" s="40"/>
      <c r="B24" s="40" t="s">
        <v>168</v>
      </c>
      <c r="C24" s="40">
        <v>14</v>
      </c>
      <c r="D24" s="40">
        <v>14</v>
      </c>
      <c r="E24" s="40" t="str">
        <f t="shared" si="0"/>
        <v>250*255*14</v>
      </c>
      <c r="F24" s="40">
        <v>13</v>
      </c>
      <c r="G24" s="40">
        <v>103.9</v>
      </c>
      <c r="H24" s="40">
        <v>81.599999999999994</v>
      </c>
      <c r="I24" s="40"/>
    </row>
    <row r="25" spans="1:9" ht="16.8" thickBot="1" x14ac:dyDescent="0.35">
      <c r="A25" s="40" t="s">
        <v>169</v>
      </c>
      <c r="B25" s="40" t="s">
        <v>170</v>
      </c>
      <c r="C25" s="40">
        <v>5.5</v>
      </c>
      <c r="D25" s="40">
        <v>8</v>
      </c>
      <c r="E25" s="40" t="str">
        <f t="shared" si="0"/>
        <v>298*149*5.5</v>
      </c>
      <c r="F25" s="40">
        <v>13</v>
      </c>
      <c r="G25" s="40">
        <v>40.799999999999997</v>
      </c>
      <c r="H25" s="40">
        <v>32</v>
      </c>
      <c r="I25" s="40"/>
    </row>
    <row r="26" spans="1:9" ht="16.8" thickBot="1" x14ac:dyDescent="0.35">
      <c r="A26" s="40"/>
      <c r="B26" s="40" t="s">
        <v>169</v>
      </c>
      <c r="C26" s="40">
        <v>6.5</v>
      </c>
      <c r="D26" s="40">
        <v>9</v>
      </c>
      <c r="E26" s="40" t="str">
        <f t="shared" si="0"/>
        <v>300*150*6.5</v>
      </c>
      <c r="F26" s="40">
        <v>13</v>
      </c>
      <c r="G26" s="40">
        <v>46.78</v>
      </c>
      <c r="H26" s="40">
        <v>36.700000000000003</v>
      </c>
      <c r="I26" s="40" t="s">
        <v>120</v>
      </c>
    </row>
    <row r="27" spans="1:9" ht="16.8" thickBot="1" x14ac:dyDescent="0.35">
      <c r="A27" s="40" t="s">
        <v>171</v>
      </c>
      <c r="B27" s="40" t="s">
        <v>172</v>
      </c>
      <c r="C27" s="40">
        <v>9</v>
      </c>
      <c r="D27" s="40">
        <v>14</v>
      </c>
      <c r="E27" s="40" t="str">
        <f t="shared" si="0"/>
        <v>298*299*9</v>
      </c>
      <c r="F27" s="40">
        <v>13</v>
      </c>
      <c r="G27" s="40">
        <v>83.95</v>
      </c>
      <c r="H27" s="40">
        <v>65.900000000000006</v>
      </c>
      <c r="I27" s="40"/>
    </row>
    <row r="28" spans="1:9" ht="16.8" thickBot="1" x14ac:dyDescent="0.35">
      <c r="A28" s="40"/>
      <c r="B28" s="40" t="s">
        <v>171</v>
      </c>
      <c r="C28" s="40">
        <v>10</v>
      </c>
      <c r="D28" s="40">
        <v>15</v>
      </c>
      <c r="E28" s="40" t="str">
        <f t="shared" si="0"/>
        <v>300*300*10</v>
      </c>
      <c r="F28" s="40">
        <v>13</v>
      </c>
      <c r="G28" s="40">
        <v>118.4</v>
      </c>
      <c r="H28" s="40">
        <v>93</v>
      </c>
      <c r="I28" s="40" t="s">
        <v>120</v>
      </c>
    </row>
    <row r="29" spans="1:9" ht="16.8" thickBot="1" x14ac:dyDescent="0.35">
      <c r="A29" s="40"/>
      <c r="B29" s="40" t="s">
        <v>171</v>
      </c>
      <c r="C29" s="40">
        <v>11</v>
      </c>
      <c r="D29" s="40">
        <v>12</v>
      </c>
      <c r="E29" s="40" t="str">
        <f t="shared" si="0"/>
        <v>300*300*11</v>
      </c>
      <c r="F29" s="40">
        <v>18</v>
      </c>
      <c r="G29" s="40">
        <v>105.1</v>
      </c>
      <c r="H29" s="40">
        <v>82.5</v>
      </c>
      <c r="I29" s="40"/>
    </row>
    <row r="30" spans="1:9" ht="16.8" thickBot="1" x14ac:dyDescent="0.35">
      <c r="A30" s="40"/>
      <c r="B30" s="40" t="s">
        <v>173</v>
      </c>
      <c r="C30" s="40">
        <v>11</v>
      </c>
      <c r="D30" s="40">
        <v>17</v>
      </c>
      <c r="E30" s="40" t="str">
        <f t="shared" si="0"/>
        <v>304*301*11</v>
      </c>
      <c r="F30" s="40">
        <v>13</v>
      </c>
      <c r="G30" s="40">
        <v>133.5</v>
      </c>
      <c r="H30" s="40">
        <v>105</v>
      </c>
      <c r="I30" s="40"/>
    </row>
    <row r="31" spans="1:9" ht="16.8" thickBot="1" x14ac:dyDescent="0.35">
      <c r="A31" s="40"/>
      <c r="B31" s="40" t="s">
        <v>174</v>
      </c>
      <c r="C31" s="40">
        <v>12</v>
      </c>
      <c r="D31" s="40">
        <v>12</v>
      </c>
      <c r="E31" s="40" t="str">
        <f t="shared" si="0"/>
        <v>294*302*12</v>
      </c>
      <c r="F31" s="40">
        <v>13</v>
      </c>
      <c r="G31" s="40">
        <v>106.3</v>
      </c>
      <c r="H31" s="40">
        <v>83.4</v>
      </c>
      <c r="I31" s="40"/>
    </row>
    <row r="32" spans="1:9" ht="16.8" thickBot="1" x14ac:dyDescent="0.35">
      <c r="A32" s="40" t="s">
        <v>175</v>
      </c>
      <c r="B32" s="40" t="s">
        <v>176</v>
      </c>
      <c r="C32" s="40">
        <v>8</v>
      </c>
      <c r="D32" s="40">
        <v>12</v>
      </c>
      <c r="E32" s="40" t="str">
        <f t="shared" si="0"/>
        <v>294*200*8</v>
      </c>
      <c r="F32" s="40">
        <v>13</v>
      </c>
      <c r="G32" s="40">
        <v>71.05</v>
      </c>
      <c r="H32" s="40">
        <v>55.8</v>
      </c>
      <c r="I32" s="40" t="s">
        <v>120</v>
      </c>
    </row>
    <row r="33" spans="1:9" ht="16.8" thickBot="1" x14ac:dyDescent="0.35">
      <c r="A33" s="40"/>
      <c r="B33" s="40" t="s">
        <v>177</v>
      </c>
      <c r="C33" s="40">
        <v>9</v>
      </c>
      <c r="D33" s="40">
        <v>14</v>
      </c>
      <c r="E33" s="40" t="str">
        <f t="shared" si="0"/>
        <v>298*201*9</v>
      </c>
      <c r="F33" s="40">
        <v>13</v>
      </c>
      <c r="G33" s="40">
        <v>99.53</v>
      </c>
      <c r="H33" s="40">
        <v>64.400000000000006</v>
      </c>
      <c r="I33" s="40"/>
    </row>
    <row r="34" spans="1:9" ht="16.8" thickBot="1" x14ac:dyDescent="0.35">
      <c r="A34" s="40"/>
      <c r="B34" s="40" t="s">
        <v>178</v>
      </c>
      <c r="C34" s="40">
        <v>15</v>
      </c>
      <c r="D34" s="40">
        <v>15</v>
      </c>
      <c r="E34" s="40" t="str">
        <f t="shared" si="0"/>
        <v>300*305*15</v>
      </c>
      <c r="F34" s="40">
        <v>13</v>
      </c>
      <c r="G34" s="40">
        <v>133.4</v>
      </c>
      <c r="H34" s="40">
        <v>105</v>
      </c>
      <c r="I34" s="40"/>
    </row>
    <row r="35" spans="1:9" ht="16.8" thickBot="1" x14ac:dyDescent="0.35">
      <c r="A35" s="40" t="s">
        <v>179</v>
      </c>
      <c r="B35" s="40" t="s">
        <v>180</v>
      </c>
      <c r="C35" s="40">
        <v>6</v>
      </c>
      <c r="D35" s="40">
        <v>9</v>
      </c>
      <c r="E35" s="40" t="str">
        <f t="shared" si="0"/>
        <v>346*174*6</v>
      </c>
      <c r="F35" s="40">
        <v>13</v>
      </c>
      <c r="G35" s="40">
        <v>52.45</v>
      </c>
      <c r="H35" s="40">
        <v>41.2</v>
      </c>
      <c r="I35" s="40"/>
    </row>
    <row r="36" spans="1:9" ht="16.8" thickBot="1" x14ac:dyDescent="0.35">
      <c r="A36" s="40"/>
      <c r="B36" s="40" t="s">
        <v>179</v>
      </c>
      <c r="C36" s="40">
        <v>7</v>
      </c>
      <c r="D36" s="40">
        <v>11</v>
      </c>
      <c r="E36" s="40" t="str">
        <f t="shared" si="0"/>
        <v>350*175*7</v>
      </c>
      <c r="F36" s="40">
        <v>13</v>
      </c>
      <c r="G36" s="40">
        <v>62.91</v>
      </c>
      <c r="H36" s="40">
        <v>49.4</v>
      </c>
      <c r="I36" s="40" t="s">
        <v>120</v>
      </c>
    </row>
    <row r="37" spans="1:9" ht="16.8" thickBot="1" x14ac:dyDescent="0.35">
      <c r="A37" s="40" t="s">
        <v>181</v>
      </c>
      <c r="B37" s="40" t="s">
        <v>182</v>
      </c>
      <c r="C37" s="40">
        <v>8</v>
      </c>
      <c r="D37" s="40">
        <v>12</v>
      </c>
      <c r="E37" s="40" t="str">
        <f t="shared" si="0"/>
        <v>336*249*8</v>
      </c>
      <c r="F37" s="40">
        <v>13</v>
      </c>
      <c r="G37" s="40">
        <v>86.17</v>
      </c>
      <c r="H37" s="40">
        <v>67.599999999999994</v>
      </c>
      <c r="I37" s="40"/>
    </row>
    <row r="38" spans="1:9" ht="16.8" thickBot="1" x14ac:dyDescent="0.35">
      <c r="A38" s="40"/>
      <c r="B38" s="40" t="s">
        <v>183</v>
      </c>
      <c r="C38" s="40">
        <v>9</v>
      </c>
      <c r="D38" s="40">
        <v>14</v>
      </c>
      <c r="E38" s="40" t="str">
        <f t="shared" si="0"/>
        <v>340*250*9</v>
      </c>
      <c r="F38" s="40">
        <v>13</v>
      </c>
      <c r="G38" s="40">
        <v>99.53</v>
      </c>
      <c r="H38" s="40">
        <v>78.099999999999994</v>
      </c>
      <c r="I38" s="40" t="s">
        <v>120</v>
      </c>
    </row>
    <row r="39" spans="1:9" ht="16.8" thickBot="1" x14ac:dyDescent="0.35">
      <c r="A39" s="40" t="s">
        <v>184</v>
      </c>
      <c r="B39" s="40" t="s">
        <v>185</v>
      </c>
      <c r="C39" s="40">
        <v>10</v>
      </c>
      <c r="D39" s="40">
        <v>16</v>
      </c>
      <c r="E39" s="40" t="str">
        <f t="shared" si="0"/>
        <v>344*348*10</v>
      </c>
      <c r="F39" s="40">
        <v>13</v>
      </c>
      <c r="G39" s="40">
        <v>144</v>
      </c>
      <c r="H39" s="40">
        <v>113</v>
      </c>
      <c r="I39" s="40"/>
    </row>
    <row r="40" spans="1:9" ht="16.8" thickBot="1" x14ac:dyDescent="0.35">
      <c r="A40" s="40"/>
      <c r="B40" s="40" t="s">
        <v>184</v>
      </c>
      <c r="C40" s="40">
        <v>12</v>
      </c>
      <c r="D40" s="40">
        <v>19</v>
      </c>
      <c r="E40" s="40" t="str">
        <f t="shared" si="0"/>
        <v>350*350*12</v>
      </c>
      <c r="F40" s="40">
        <v>13</v>
      </c>
      <c r="G40" s="40">
        <v>171.9</v>
      </c>
      <c r="H40" s="40">
        <v>135</v>
      </c>
      <c r="I40" s="40" t="s">
        <v>120</v>
      </c>
    </row>
    <row r="41" spans="1:9" ht="16.8" thickBot="1" x14ac:dyDescent="0.35">
      <c r="A41" s="40"/>
      <c r="B41" s="40" t="s">
        <v>186</v>
      </c>
      <c r="C41" s="40">
        <v>13</v>
      </c>
      <c r="D41" s="40">
        <v>13</v>
      </c>
      <c r="E41" s="40" t="str">
        <f t="shared" si="0"/>
        <v>338*351*13</v>
      </c>
      <c r="F41" s="40">
        <v>13</v>
      </c>
      <c r="G41" s="40">
        <v>133.30000000000001</v>
      </c>
      <c r="H41" s="40">
        <v>105</v>
      </c>
      <c r="I41" s="40"/>
    </row>
    <row r="42" spans="1:9" ht="16.8" thickBot="1" x14ac:dyDescent="0.35">
      <c r="A42" s="40"/>
      <c r="B42" s="40" t="s">
        <v>187</v>
      </c>
      <c r="C42" s="40">
        <v>14</v>
      </c>
      <c r="D42" s="40">
        <v>22</v>
      </c>
      <c r="E42" s="40" t="str">
        <f t="shared" si="0"/>
        <v>356*352*14</v>
      </c>
      <c r="F42" s="40">
        <v>13</v>
      </c>
      <c r="G42" s="40">
        <v>200</v>
      </c>
      <c r="H42" s="40">
        <v>157</v>
      </c>
      <c r="I42" s="40"/>
    </row>
    <row r="43" spans="1:9" ht="16.8" thickBot="1" x14ac:dyDescent="0.35">
      <c r="A43" s="40"/>
      <c r="B43" s="40" t="s">
        <v>188</v>
      </c>
      <c r="C43" s="40">
        <v>16</v>
      </c>
      <c r="D43" s="40">
        <v>16</v>
      </c>
      <c r="E43" s="40" t="str">
        <f t="shared" si="0"/>
        <v>344*354*16</v>
      </c>
      <c r="F43" s="40">
        <v>13</v>
      </c>
      <c r="G43" s="40">
        <v>164.6</v>
      </c>
      <c r="H43" s="40">
        <v>129</v>
      </c>
      <c r="I43" s="40"/>
    </row>
    <row r="44" spans="1:9" ht="16.8" thickBot="1" x14ac:dyDescent="0.35">
      <c r="A44" s="40"/>
      <c r="B44" s="40" t="s">
        <v>189</v>
      </c>
      <c r="C44" s="40">
        <v>19</v>
      </c>
      <c r="D44" s="40">
        <v>19</v>
      </c>
      <c r="E44" s="40" t="str">
        <f t="shared" si="0"/>
        <v>350*357*19</v>
      </c>
      <c r="F44" s="40">
        <v>13</v>
      </c>
      <c r="G44" s="40">
        <v>196.4</v>
      </c>
      <c r="H44" s="40">
        <v>154</v>
      </c>
      <c r="I44" s="40"/>
    </row>
    <row r="45" spans="1:9" ht="16.8" thickBot="1" x14ac:dyDescent="0.35">
      <c r="A45" s="40" t="s">
        <v>190</v>
      </c>
      <c r="B45" s="40" t="s">
        <v>191</v>
      </c>
      <c r="C45" s="40">
        <v>7</v>
      </c>
      <c r="D45" s="40">
        <v>11</v>
      </c>
      <c r="E45" s="40" t="str">
        <f t="shared" si="0"/>
        <v>369*199*7</v>
      </c>
      <c r="F45" s="40">
        <v>13</v>
      </c>
      <c r="G45" s="40">
        <v>71.41</v>
      </c>
      <c r="H45" s="40">
        <v>56.1</v>
      </c>
      <c r="I45" s="40"/>
    </row>
    <row r="46" spans="1:9" ht="16.8" thickBot="1" x14ac:dyDescent="0.35">
      <c r="A46" s="40"/>
      <c r="B46" s="40" t="s">
        <v>190</v>
      </c>
      <c r="C46" s="40">
        <v>8</v>
      </c>
      <c r="D46" s="40">
        <v>13</v>
      </c>
      <c r="E46" s="40" t="str">
        <f t="shared" si="0"/>
        <v>400*200*8</v>
      </c>
      <c r="F46" s="40">
        <v>13</v>
      </c>
      <c r="G46" s="40">
        <v>83.37</v>
      </c>
      <c r="H46" s="40">
        <v>65.400000000000006</v>
      </c>
      <c r="I46" s="40" t="s">
        <v>120</v>
      </c>
    </row>
    <row r="47" spans="1:9" ht="16.8" thickBot="1" x14ac:dyDescent="0.35">
      <c r="A47" s="40" t="s">
        <v>192</v>
      </c>
      <c r="B47" s="40" t="s">
        <v>193</v>
      </c>
      <c r="C47" s="40">
        <v>9</v>
      </c>
      <c r="D47" s="40">
        <v>14</v>
      </c>
      <c r="E47" s="40" t="str">
        <f t="shared" si="0"/>
        <v>386*299*9</v>
      </c>
      <c r="F47" s="40">
        <v>13</v>
      </c>
      <c r="G47" s="40">
        <v>117.4</v>
      </c>
      <c r="H47" s="40">
        <v>92.2</v>
      </c>
      <c r="I47" s="40"/>
    </row>
    <row r="48" spans="1:9" ht="16.8" thickBot="1" x14ac:dyDescent="0.35">
      <c r="A48" s="40"/>
      <c r="B48" s="40" t="s">
        <v>194</v>
      </c>
      <c r="C48" s="40">
        <v>10</v>
      </c>
      <c r="D48" s="40">
        <v>16</v>
      </c>
      <c r="E48" s="40" t="str">
        <f t="shared" si="0"/>
        <v>390*300*10</v>
      </c>
      <c r="F48" s="40">
        <v>13</v>
      </c>
      <c r="G48" s="40">
        <v>133.19999999999999</v>
      </c>
      <c r="H48" s="40">
        <v>105</v>
      </c>
      <c r="I48" s="40" t="s">
        <v>120</v>
      </c>
    </row>
    <row r="49" spans="1:9" ht="16.8" thickBot="1" x14ac:dyDescent="0.35">
      <c r="A49" s="40" t="s">
        <v>195</v>
      </c>
      <c r="B49" s="40" t="s">
        <v>196</v>
      </c>
      <c r="C49" s="40">
        <v>11</v>
      </c>
      <c r="D49" s="40">
        <v>18</v>
      </c>
      <c r="E49" s="40" t="str">
        <f t="shared" si="0"/>
        <v>394*398*11</v>
      </c>
      <c r="F49" s="40">
        <v>22</v>
      </c>
      <c r="G49" s="40">
        <v>186.8</v>
      </c>
      <c r="H49" s="40">
        <v>147</v>
      </c>
      <c r="I49" s="40"/>
    </row>
    <row r="50" spans="1:9" ht="16.8" thickBot="1" x14ac:dyDescent="0.35">
      <c r="A50" s="40"/>
      <c r="B50" s="40" t="s">
        <v>195</v>
      </c>
      <c r="C50" s="40">
        <v>13</v>
      </c>
      <c r="D50" s="40">
        <v>21</v>
      </c>
      <c r="E50" s="40" t="str">
        <f t="shared" si="0"/>
        <v>400*400*13</v>
      </c>
      <c r="F50" s="40">
        <v>22</v>
      </c>
      <c r="G50" s="40">
        <v>218.7</v>
      </c>
      <c r="H50" s="40">
        <v>172</v>
      </c>
      <c r="I50" s="40" t="s">
        <v>120</v>
      </c>
    </row>
    <row r="51" spans="1:9" ht="16.8" thickBot="1" x14ac:dyDescent="0.35">
      <c r="A51" s="40"/>
      <c r="B51" s="40" t="s">
        <v>197</v>
      </c>
      <c r="C51" s="40">
        <v>15</v>
      </c>
      <c r="D51" s="40">
        <v>15</v>
      </c>
      <c r="E51" s="40" t="str">
        <f t="shared" si="0"/>
        <v>388*402*15</v>
      </c>
      <c r="F51" s="40">
        <v>22</v>
      </c>
      <c r="G51" s="40">
        <v>178.5</v>
      </c>
      <c r="H51" s="40">
        <v>140</v>
      </c>
      <c r="I51" s="40"/>
    </row>
    <row r="52" spans="1:9" ht="16.8" thickBot="1" x14ac:dyDescent="0.35">
      <c r="A52" s="40"/>
      <c r="B52" s="40" t="s">
        <v>198</v>
      </c>
      <c r="C52" s="40">
        <v>16</v>
      </c>
      <c r="D52" s="40">
        <v>24</v>
      </c>
      <c r="E52" s="40" t="str">
        <f t="shared" si="0"/>
        <v>406*403*16</v>
      </c>
      <c r="F52" s="40">
        <v>22</v>
      </c>
      <c r="G52" s="40">
        <v>254.9</v>
      </c>
      <c r="H52" s="40">
        <v>200</v>
      </c>
      <c r="I52" s="40"/>
    </row>
    <row r="53" spans="1:9" ht="16.8" thickBot="1" x14ac:dyDescent="0.35">
      <c r="A53" s="40"/>
      <c r="B53" s="40" t="s">
        <v>199</v>
      </c>
      <c r="C53" s="40">
        <v>18</v>
      </c>
      <c r="D53" s="40">
        <v>18</v>
      </c>
      <c r="E53" s="40" t="str">
        <f t="shared" si="0"/>
        <v>394*405*18</v>
      </c>
      <c r="F53" s="40">
        <v>22</v>
      </c>
      <c r="G53" s="40">
        <v>214.4</v>
      </c>
      <c r="H53" s="40">
        <v>168</v>
      </c>
      <c r="I53" s="40"/>
    </row>
    <row r="54" spans="1:9" ht="16.8" thickBot="1" x14ac:dyDescent="0.35">
      <c r="A54" s="40"/>
      <c r="B54" s="40" t="s">
        <v>200</v>
      </c>
      <c r="C54" s="40">
        <v>18</v>
      </c>
      <c r="D54" s="40">
        <v>28</v>
      </c>
      <c r="E54" s="40" t="str">
        <f t="shared" si="0"/>
        <v>414*405*18</v>
      </c>
      <c r="F54" s="40">
        <v>22</v>
      </c>
      <c r="G54" s="40">
        <v>295.39999999999998</v>
      </c>
      <c r="H54" s="40">
        <v>232</v>
      </c>
      <c r="I54" s="40"/>
    </row>
    <row r="55" spans="1:9" ht="16.8" thickBot="1" x14ac:dyDescent="0.35">
      <c r="A55" s="40"/>
      <c r="B55" s="40" t="s">
        <v>201</v>
      </c>
      <c r="C55" s="40">
        <v>20</v>
      </c>
      <c r="D55" s="40">
        <v>35</v>
      </c>
      <c r="E55" s="40" t="str">
        <f t="shared" si="0"/>
        <v>428*407*20</v>
      </c>
      <c r="F55" s="40">
        <v>22</v>
      </c>
      <c r="G55" s="40">
        <v>360.7</v>
      </c>
      <c r="H55" s="40">
        <v>283</v>
      </c>
      <c r="I55" s="40"/>
    </row>
    <row r="56" spans="1:9" ht="16.8" thickBot="1" x14ac:dyDescent="0.35">
      <c r="A56" s="40"/>
      <c r="B56" s="40" t="s">
        <v>202</v>
      </c>
      <c r="C56" s="40">
        <v>21</v>
      </c>
      <c r="D56" s="40">
        <v>21</v>
      </c>
      <c r="E56" s="40" t="str">
        <f t="shared" si="0"/>
        <v>400*408*21</v>
      </c>
      <c r="F56" s="40">
        <v>22</v>
      </c>
      <c r="G56" s="40">
        <v>250.7</v>
      </c>
      <c r="H56" s="40">
        <v>197</v>
      </c>
      <c r="I56" s="40"/>
    </row>
    <row r="57" spans="1:9" ht="16.8" thickBot="1" x14ac:dyDescent="0.35">
      <c r="A57" s="40"/>
      <c r="B57" s="40" t="s">
        <v>203</v>
      </c>
      <c r="C57" s="40">
        <v>30</v>
      </c>
      <c r="D57" s="40">
        <v>50</v>
      </c>
      <c r="E57" s="40" t="str">
        <f t="shared" si="0"/>
        <v>458*417*30</v>
      </c>
      <c r="F57" s="40">
        <v>22</v>
      </c>
      <c r="G57" s="40">
        <v>528.6</v>
      </c>
      <c r="H57" s="40">
        <v>415</v>
      </c>
      <c r="I57" s="40"/>
    </row>
    <row r="58" spans="1:9" ht="16.8" thickBot="1" x14ac:dyDescent="0.35">
      <c r="A58" s="40"/>
      <c r="B58" s="40" t="s">
        <v>204</v>
      </c>
      <c r="C58" s="40">
        <v>45</v>
      </c>
      <c r="D58" s="40">
        <v>70</v>
      </c>
      <c r="E58" s="40" t="str">
        <f t="shared" si="0"/>
        <v>498*432*45</v>
      </c>
      <c r="F58" s="40">
        <v>22</v>
      </c>
      <c r="G58" s="40">
        <v>770.1</v>
      </c>
      <c r="H58" s="40">
        <v>605</v>
      </c>
      <c r="I58" s="40"/>
    </row>
    <row r="59" spans="1:9" ht="16.8" thickBot="1" x14ac:dyDescent="0.35">
      <c r="A59" s="40" t="s">
        <v>205</v>
      </c>
      <c r="B59" s="40" t="s">
        <v>206</v>
      </c>
      <c r="C59" s="40">
        <v>8</v>
      </c>
      <c r="D59" s="40">
        <v>12</v>
      </c>
      <c r="E59" s="40" t="str">
        <f t="shared" si="0"/>
        <v>446*199*8</v>
      </c>
      <c r="F59" s="40">
        <v>13</v>
      </c>
      <c r="G59" s="40">
        <v>82.97</v>
      </c>
      <c r="H59" s="40">
        <v>65.099999999999994</v>
      </c>
      <c r="I59" s="40"/>
    </row>
    <row r="60" spans="1:9" ht="16.8" thickBot="1" x14ac:dyDescent="0.35">
      <c r="A60" s="40"/>
      <c r="B60" s="40" t="s">
        <v>205</v>
      </c>
      <c r="C60" s="40">
        <v>9</v>
      </c>
      <c r="D60" s="40">
        <v>14</v>
      </c>
      <c r="E60" s="40" t="str">
        <f t="shared" si="0"/>
        <v>450*200*9</v>
      </c>
      <c r="F60" s="40">
        <v>13</v>
      </c>
      <c r="G60" s="40">
        <v>95.43</v>
      </c>
      <c r="H60" s="40">
        <v>74.900000000000006</v>
      </c>
      <c r="I60" s="40" t="s">
        <v>120</v>
      </c>
    </row>
    <row r="61" spans="1:9" ht="16.8" thickBot="1" x14ac:dyDescent="0.35">
      <c r="A61" s="40" t="s">
        <v>207</v>
      </c>
      <c r="B61" s="40" t="s">
        <v>208</v>
      </c>
      <c r="C61" s="40">
        <v>10</v>
      </c>
      <c r="D61" s="40">
        <v>15</v>
      </c>
      <c r="E61" s="40" t="str">
        <f t="shared" si="0"/>
        <v>434*299*10</v>
      </c>
      <c r="F61" s="40">
        <v>13</v>
      </c>
      <c r="G61" s="40">
        <v>131.6</v>
      </c>
      <c r="H61" s="40">
        <v>103</v>
      </c>
      <c r="I61" s="40"/>
    </row>
    <row r="62" spans="1:9" ht="16.8" thickBot="1" x14ac:dyDescent="0.35">
      <c r="A62" s="40"/>
      <c r="B62" s="40" t="s">
        <v>209</v>
      </c>
      <c r="C62" s="40">
        <v>11</v>
      </c>
      <c r="D62" s="40">
        <v>18</v>
      </c>
      <c r="E62" s="40" t="str">
        <f t="shared" si="0"/>
        <v>440*300*11</v>
      </c>
      <c r="F62" s="40">
        <v>13</v>
      </c>
      <c r="G62" s="40">
        <v>153.9</v>
      </c>
      <c r="H62" s="40">
        <v>121</v>
      </c>
      <c r="I62" s="40" t="s">
        <v>120</v>
      </c>
    </row>
    <row r="63" spans="1:9" ht="16.8" thickBot="1" x14ac:dyDescent="0.35">
      <c r="A63" s="40" t="s">
        <v>210</v>
      </c>
      <c r="B63" s="40" t="s">
        <v>211</v>
      </c>
      <c r="C63" s="40">
        <v>9</v>
      </c>
      <c r="D63" s="40">
        <v>14</v>
      </c>
      <c r="E63" s="40" t="str">
        <f t="shared" si="0"/>
        <v>496*199*9</v>
      </c>
      <c r="F63" s="40">
        <v>13</v>
      </c>
      <c r="G63" s="40">
        <v>99.29</v>
      </c>
      <c r="H63" s="40">
        <v>77.900000000000006</v>
      </c>
      <c r="I63" s="40"/>
    </row>
    <row r="64" spans="1:9" ht="16.8" thickBot="1" x14ac:dyDescent="0.35">
      <c r="A64" s="40"/>
      <c r="B64" s="40" t="s">
        <v>210</v>
      </c>
      <c r="C64" s="40">
        <v>10</v>
      </c>
      <c r="D64" s="40">
        <v>16</v>
      </c>
      <c r="E64" s="40" t="str">
        <f t="shared" si="0"/>
        <v>500*200*10</v>
      </c>
      <c r="F64" s="40">
        <v>13</v>
      </c>
      <c r="G64" s="40">
        <v>112.2</v>
      </c>
      <c r="H64" s="40">
        <v>88.2</v>
      </c>
      <c r="I64" s="40" t="s">
        <v>120</v>
      </c>
    </row>
    <row r="65" spans="1:9" ht="16.8" thickBot="1" x14ac:dyDescent="0.35">
      <c r="A65" s="40"/>
      <c r="B65" s="40" t="s">
        <v>212</v>
      </c>
      <c r="C65" s="40">
        <v>11</v>
      </c>
      <c r="D65" s="40">
        <v>19</v>
      </c>
      <c r="E65" s="40" t="str">
        <f t="shared" si="0"/>
        <v>506*201*11</v>
      </c>
      <c r="F65" s="40">
        <v>13</v>
      </c>
      <c r="G65" s="40">
        <v>129.30000000000001</v>
      </c>
      <c r="H65" s="40">
        <v>102</v>
      </c>
      <c r="I65" s="40"/>
    </row>
    <row r="66" spans="1:9" ht="16.8" thickBot="1" x14ac:dyDescent="0.35">
      <c r="A66" s="40" t="s">
        <v>213</v>
      </c>
      <c r="B66" s="40" t="s">
        <v>214</v>
      </c>
      <c r="C66" s="40">
        <v>11</v>
      </c>
      <c r="D66" s="40">
        <v>15</v>
      </c>
      <c r="E66" s="40" t="str">
        <f t="shared" si="0"/>
        <v>482*300*11</v>
      </c>
      <c r="F66" s="40">
        <v>13</v>
      </c>
      <c r="G66" s="40">
        <v>141.19999999999999</v>
      </c>
      <c r="H66" s="40">
        <v>111</v>
      </c>
      <c r="I66" s="40" t="s">
        <v>120</v>
      </c>
    </row>
    <row r="67" spans="1:9" ht="16.8" thickBot="1" x14ac:dyDescent="0.35">
      <c r="A67" s="40"/>
      <c r="B67" s="40" t="s">
        <v>215</v>
      </c>
      <c r="C67" s="40">
        <v>11</v>
      </c>
      <c r="D67" s="40">
        <v>18</v>
      </c>
      <c r="E67" s="40" t="str">
        <f t="shared" si="0"/>
        <v>488*300*11</v>
      </c>
      <c r="F67" s="40">
        <v>13</v>
      </c>
      <c r="G67" s="40">
        <v>159.19999999999999</v>
      </c>
      <c r="H67" s="40">
        <v>125</v>
      </c>
      <c r="I67" s="40" t="s">
        <v>120</v>
      </c>
    </row>
    <row r="68" spans="1:9" ht="16.8" thickBot="1" x14ac:dyDescent="0.35">
      <c r="A68" s="40" t="s">
        <v>216</v>
      </c>
      <c r="B68" s="40" t="s">
        <v>216</v>
      </c>
      <c r="C68" s="40">
        <v>25</v>
      </c>
      <c r="D68" s="40">
        <v>25</v>
      </c>
      <c r="E68" s="40" t="str">
        <f t="shared" ref="E68:E89" si="1">SUBSTITUTE(_xlfn.TEXTJOIN("*",TRUE,B68,C68)," x ","*")</f>
        <v>500*500*25</v>
      </c>
      <c r="F68" s="40">
        <v>26</v>
      </c>
      <c r="G68" s="40">
        <v>368.3</v>
      </c>
      <c r="H68" s="40">
        <v>289</v>
      </c>
      <c r="I68" s="40"/>
    </row>
    <row r="69" spans="1:9" ht="16.8" thickBot="1" x14ac:dyDescent="0.35">
      <c r="A69" s="40" t="s">
        <v>217</v>
      </c>
      <c r="B69" s="40" t="s">
        <v>218</v>
      </c>
      <c r="C69" s="40">
        <v>10</v>
      </c>
      <c r="D69" s="40">
        <v>14</v>
      </c>
      <c r="E69" s="40" t="str">
        <f t="shared" si="1"/>
        <v>546*199*10</v>
      </c>
      <c r="F69" s="40">
        <v>13</v>
      </c>
      <c r="G69" s="40">
        <v>109</v>
      </c>
      <c r="H69" s="40">
        <v>85.5</v>
      </c>
      <c r="I69" s="40"/>
    </row>
    <row r="70" spans="1:9" ht="16.8" thickBot="1" x14ac:dyDescent="0.35">
      <c r="A70" s="40"/>
      <c r="B70" s="40" t="s">
        <v>217</v>
      </c>
      <c r="C70" s="40">
        <v>10</v>
      </c>
      <c r="D70" s="40">
        <v>18</v>
      </c>
      <c r="E70" s="40" t="str">
        <f t="shared" si="1"/>
        <v>550*200*10</v>
      </c>
      <c r="F70" s="40">
        <v>13</v>
      </c>
      <c r="G70" s="40">
        <v>124.8</v>
      </c>
      <c r="H70" s="40">
        <v>98</v>
      </c>
      <c r="I70" s="40"/>
    </row>
    <row r="71" spans="1:9" ht="16.8" thickBot="1" x14ac:dyDescent="0.35">
      <c r="A71" s="40"/>
      <c r="B71" s="40" t="s">
        <v>219</v>
      </c>
      <c r="C71" s="40">
        <v>11</v>
      </c>
      <c r="D71" s="40">
        <v>18</v>
      </c>
      <c r="E71" s="40" t="str">
        <f t="shared" si="1"/>
        <v>554*201*11</v>
      </c>
      <c r="F71" s="40">
        <v>22</v>
      </c>
      <c r="G71" s="40">
        <v>133.5</v>
      </c>
      <c r="H71" s="40">
        <v>105</v>
      </c>
      <c r="I71" s="40"/>
    </row>
    <row r="72" spans="1:9" ht="16.8" thickBot="1" x14ac:dyDescent="0.35">
      <c r="A72" s="40"/>
      <c r="B72" s="40" t="s">
        <v>220</v>
      </c>
      <c r="C72" s="40">
        <v>12</v>
      </c>
      <c r="D72" s="40">
        <v>21</v>
      </c>
      <c r="E72" s="40" t="str">
        <f t="shared" si="1"/>
        <v>560*202*12</v>
      </c>
      <c r="F72" s="40">
        <v>22</v>
      </c>
      <c r="G72" s="40">
        <v>151.19999999999999</v>
      </c>
      <c r="H72" s="40">
        <v>119</v>
      </c>
      <c r="I72" s="40"/>
    </row>
    <row r="73" spans="1:9" ht="16.8" thickBot="1" x14ac:dyDescent="0.35">
      <c r="A73" s="40"/>
      <c r="B73" s="40" t="s">
        <v>221</v>
      </c>
      <c r="C73" s="40">
        <v>13</v>
      </c>
      <c r="D73" s="40">
        <v>23</v>
      </c>
      <c r="E73" s="40" t="str">
        <f t="shared" si="1"/>
        <v>564*203*13</v>
      </c>
      <c r="F73" s="40">
        <v>13</v>
      </c>
      <c r="G73" s="40">
        <v>162.19999999999999</v>
      </c>
      <c r="H73" s="40">
        <v>127</v>
      </c>
      <c r="I73" s="40"/>
    </row>
    <row r="74" spans="1:9" ht="16.8" thickBot="1" x14ac:dyDescent="0.35">
      <c r="A74" s="40" t="s">
        <v>222</v>
      </c>
      <c r="B74" s="40" t="s">
        <v>223</v>
      </c>
      <c r="C74" s="40">
        <v>10</v>
      </c>
      <c r="D74" s="40">
        <v>15</v>
      </c>
      <c r="E74" s="40" t="str">
        <f t="shared" si="1"/>
        <v>596*199*10</v>
      </c>
      <c r="F74" s="40">
        <v>13</v>
      </c>
      <c r="G74" s="40">
        <v>117.8</v>
      </c>
      <c r="H74" s="40">
        <v>92.5</v>
      </c>
      <c r="I74" s="40"/>
    </row>
    <row r="75" spans="1:9" ht="16.8" thickBot="1" x14ac:dyDescent="0.35">
      <c r="A75" s="40"/>
      <c r="B75" s="40" t="s">
        <v>222</v>
      </c>
      <c r="C75" s="40">
        <v>11</v>
      </c>
      <c r="D75" s="40">
        <v>17</v>
      </c>
      <c r="E75" s="40" t="str">
        <f t="shared" si="1"/>
        <v>600*200*11</v>
      </c>
      <c r="F75" s="40">
        <v>13</v>
      </c>
      <c r="G75" s="40">
        <v>131.69999999999999</v>
      </c>
      <c r="H75" s="40">
        <v>103</v>
      </c>
      <c r="I75" s="40" t="s">
        <v>120</v>
      </c>
    </row>
    <row r="76" spans="1:9" ht="16.8" thickBot="1" x14ac:dyDescent="0.35">
      <c r="A76" s="40"/>
      <c r="B76" s="40" t="s">
        <v>224</v>
      </c>
      <c r="C76" s="40">
        <v>12</v>
      </c>
      <c r="D76" s="40">
        <v>20</v>
      </c>
      <c r="E76" s="40" t="str">
        <f t="shared" si="1"/>
        <v>606*201*12</v>
      </c>
      <c r="F76" s="40">
        <v>13</v>
      </c>
      <c r="G76" s="40">
        <v>149.80000000000001</v>
      </c>
      <c r="H76" s="40">
        <v>118</v>
      </c>
      <c r="I76" s="40"/>
    </row>
    <row r="77" spans="1:9" ht="16.8" thickBot="1" x14ac:dyDescent="0.35">
      <c r="A77" s="40"/>
      <c r="B77" s="40" t="s">
        <v>225</v>
      </c>
      <c r="C77" s="40">
        <v>13</v>
      </c>
      <c r="D77" s="40">
        <v>23</v>
      </c>
      <c r="E77" s="40" t="str">
        <f t="shared" si="1"/>
        <v>612*202*13</v>
      </c>
      <c r="F77" s="40">
        <v>13</v>
      </c>
      <c r="G77" s="40">
        <v>168</v>
      </c>
      <c r="H77" s="40">
        <v>132</v>
      </c>
      <c r="I77" s="40"/>
    </row>
    <row r="78" spans="1:9" ht="16.8" thickBot="1" x14ac:dyDescent="0.35">
      <c r="A78" s="40" t="s">
        <v>226</v>
      </c>
      <c r="B78" s="40" t="s">
        <v>227</v>
      </c>
      <c r="C78" s="40">
        <v>12</v>
      </c>
      <c r="D78" s="40">
        <v>17</v>
      </c>
      <c r="E78" s="40" t="str">
        <f t="shared" si="1"/>
        <v>582*300*12</v>
      </c>
      <c r="F78" s="40">
        <v>13</v>
      </c>
      <c r="G78" s="40">
        <v>169.2</v>
      </c>
      <c r="H78" s="40">
        <v>133</v>
      </c>
      <c r="I78" s="40" t="s">
        <v>120</v>
      </c>
    </row>
    <row r="79" spans="1:9" ht="16.8" thickBot="1" x14ac:dyDescent="0.35">
      <c r="A79" s="40"/>
      <c r="B79" s="40" t="s">
        <v>228</v>
      </c>
      <c r="C79" s="40">
        <v>12</v>
      </c>
      <c r="D79" s="40">
        <v>20</v>
      </c>
      <c r="E79" s="40" t="str">
        <f t="shared" si="1"/>
        <v>588*300*12</v>
      </c>
      <c r="F79" s="40">
        <v>13</v>
      </c>
      <c r="G79" s="40">
        <v>187.2</v>
      </c>
      <c r="H79" s="40">
        <v>147</v>
      </c>
      <c r="I79" s="40" t="s">
        <v>120</v>
      </c>
    </row>
    <row r="80" spans="1:9" ht="16.8" thickBot="1" x14ac:dyDescent="0.35">
      <c r="A80" s="40"/>
      <c r="B80" s="40" t="s">
        <v>229</v>
      </c>
      <c r="C80" s="40">
        <v>14</v>
      </c>
      <c r="D80" s="40">
        <v>23</v>
      </c>
      <c r="E80" s="40" t="str">
        <f t="shared" si="1"/>
        <v>594*302*14</v>
      </c>
      <c r="F80" s="40">
        <v>13</v>
      </c>
      <c r="G80" s="40">
        <v>217.1</v>
      </c>
      <c r="H80" s="40">
        <v>170</v>
      </c>
      <c r="I80" s="40" t="s">
        <v>120</v>
      </c>
    </row>
    <row r="81" spans="1:9" ht="16.8" thickBot="1" x14ac:dyDescent="0.35">
      <c r="A81" s="40" t="s">
        <v>230</v>
      </c>
      <c r="B81" s="40" t="s">
        <v>231</v>
      </c>
      <c r="C81" s="40">
        <v>13</v>
      </c>
      <c r="D81" s="40">
        <v>20</v>
      </c>
      <c r="E81" s="40" t="str">
        <f t="shared" si="1"/>
        <v>692*300*13</v>
      </c>
      <c r="F81" s="40">
        <v>18</v>
      </c>
      <c r="G81" s="40">
        <v>207.5</v>
      </c>
      <c r="H81" s="40">
        <v>163</v>
      </c>
      <c r="I81" s="40" t="s">
        <v>120</v>
      </c>
    </row>
    <row r="82" spans="1:9" ht="16.8" thickBot="1" x14ac:dyDescent="0.35">
      <c r="A82" s="40"/>
      <c r="B82" s="40" t="s">
        <v>230</v>
      </c>
      <c r="C82" s="40">
        <v>13</v>
      </c>
      <c r="D82" s="40">
        <v>24</v>
      </c>
      <c r="E82" s="40" t="str">
        <f t="shared" si="1"/>
        <v>700*300*13</v>
      </c>
      <c r="F82" s="40">
        <v>18</v>
      </c>
      <c r="G82" s="40">
        <v>231.5</v>
      </c>
      <c r="H82" s="40">
        <v>182</v>
      </c>
      <c r="I82" s="40" t="s">
        <v>120</v>
      </c>
    </row>
    <row r="83" spans="1:9" ht="16.8" thickBot="1" x14ac:dyDescent="0.35">
      <c r="A83" s="40"/>
      <c r="B83" s="40" t="s">
        <v>232</v>
      </c>
      <c r="C83" s="40">
        <v>15</v>
      </c>
      <c r="D83" s="40">
        <v>28</v>
      </c>
      <c r="E83" s="40" t="str">
        <f t="shared" si="1"/>
        <v>708*302*15</v>
      </c>
      <c r="F83" s="40">
        <v>18</v>
      </c>
      <c r="G83" s="40">
        <v>269.7</v>
      </c>
      <c r="H83" s="40">
        <v>212</v>
      </c>
      <c r="I83" s="40"/>
    </row>
    <row r="84" spans="1:9" ht="16.8" thickBot="1" x14ac:dyDescent="0.35">
      <c r="A84" s="40" t="s">
        <v>233</v>
      </c>
      <c r="B84" s="40" t="s">
        <v>234</v>
      </c>
      <c r="C84" s="40">
        <v>14</v>
      </c>
      <c r="D84" s="40">
        <v>22</v>
      </c>
      <c r="E84" s="40" t="str">
        <f t="shared" si="1"/>
        <v>792*300*14</v>
      </c>
      <c r="F84" s="40">
        <v>18</v>
      </c>
      <c r="G84" s="40">
        <v>239.5</v>
      </c>
      <c r="H84" s="40">
        <v>188</v>
      </c>
      <c r="I84" s="40"/>
    </row>
    <row r="85" spans="1:9" ht="16.8" thickBot="1" x14ac:dyDescent="0.35">
      <c r="A85" s="40"/>
      <c r="B85" s="40" t="s">
        <v>233</v>
      </c>
      <c r="C85" s="40">
        <v>14</v>
      </c>
      <c r="D85" s="40">
        <v>26</v>
      </c>
      <c r="E85" s="40" t="str">
        <f t="shared" si="1"/>
        <v>800*300*14</v>
      </c>
      <c r="F85" s="40">
        <v>18</v>
      </c>
      <c r="G85" s="40">
        <v>263.5</v>
      </c>
      <c r="H85" s="40">
        <v>207</v>
      </c>
      <c r="I85" s="40" t="s">
        <v>120</v>
      </c>
    </row>
    <row r="86" spans="1:9" ht="16.8" thickBot="1" x14ac:dyDescent="0.35">
      <c r="A86" s="40"/>
      <c r="B86" s="40" t="s">
        <v>235</v>
      </c>
      <c r="C86" s="40">
        <v>18</v>
      </c>
      <c r="D86" s="40">
        <v>34</v>
      </c>
      <c r="E86" s="40" t="str">
        <f t="shared" si="1"/>
        <v>912*302*18</v>
      </c>
      <c r="F86" s="40">
        <v>18</v>
      </c>
      <c r="G86" s="40">
        <v>360.1</v>
      </c>
      <c r="H86" s="40">
        <v>283</v>
      </c>
      <c r="I86" s="40"/>
    </row>
    <row r="87" spans="1:9" ht="16.8" thickBot="1" x14ac:dyDescent="0.35">
      <c r="A87" s="40" t="s">
        <v>236</v>
      </c>
      <c r="B87" s="40" t="s">
        <v>237</v>
      </c>
      <c r="C87" s="40">
        <v>15</v>
      </c>
      <c r="D87" s="40">
        <v>23</v>
      </c>
      <c r="E87" s="40" t="str">
        <f t="shared" si="1"/>
        <v>890*299*15</v>
      </c>
      <c r="F87" s="40">
        <v>18</v>
      </c>
      <c r="G87" s="40">
        <v>266.89999999999998</v>
      </c>
      <c r="H87" s="40">
        <v>210</v>
      </c>
      <c r="I87" s="40"/>
    </row>
    <row r="88" spans="1:9" ht="16.8" thickBot="1" x14ac:dyDescent="0.35">
      <c r="A88" s="40"/>
      <c r="B88" s="40" t="s">
        <v>236</v>
      </c>
      <c r="C88" s="40">
        <v>16</v>
      </c>
      <c r="D88" s="40">
        <v>28</v>
      </c>
      <c r="E88" s="40" t="str">
        <f t="shared" si="1"/>
        <v>900*300*16</v>
      </c>
      <c r="F88" s="40">
        <v>18</v>
      </c>
      <c r="G88" s="40">
        <v>305.8</v>
      </c>
      <c r="H88" s="40">
        <v>240</v>
      </c>
      <c r="I88" s="40"/>
    </row>
    <row r="89" spans="1:9" ht="16.8" thickBot="1" x14ac:dyDescent="0.35">
      <c r="A89" s="40"/>
      <c r="B89" s="40" t="s">
        <v>235</v>
      </c>
      <c r="C89" s="40">
        <v>18</v>
      </c>
      <c r="D89" s="40">
        <v>37</v>
      </c>
      <c r="E89" s="40" t="str">
        <f t="shared" si="1"/>
        <v>912*302*18</v>
      </c>
      <c r="F89" s="40">
        <v>18</v>
      </c>
      <c r="G89" s="40">
        <v>360.1</v>
      </c>
      <c r="H89" s="40">
        <v>283</v>
      </c>
      <c r="I89" s="41"/>
    </row>
  </sheetData>
  <mergeCells count="1">
    <mergeCell ref="I1:I2"/>
  </mergeCells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CD8D-B638-44BF-B55D-AAC3FB46D1D4}">
  <sheetPr codeName="工作表48">
    <tabColor rgb="FFFFFF00"/>
  </sheetPr>
  <dimension ref="A1:W36"/>
  <sheetViews>
    <sheetView zoomScale="70" zoomScaleNormal="70" workbookViewId="0">
      <selection activeCell="T15" sqref="T15"/>
    </sheetView>
  </sheetViews>
  <sheetFormatPr defaultRowHeight="16.2" x14ac:dyDescent="0.3"/>
  <cols>
    <col min="2" max="2" width="9.77734375" bestFit="1" customWidth="1"/>
    <col min="5" max="5" width="12.77734375" bestFit="1" customWidth="1"/>
    <col min="16" max="16" width="11.44140625" bestFit="1" customWidth="1"/>
  </cols>
  <sheetData>
    <row r="1" spans="1:23" ht="21" x14ac:dyDescent="0.4">
      <c r="A1" s="3" t="s">
        <v>71</v>
      </c>
      <c r="B1" s="4" t="s">
        <v>72</v>
      </c>
      <c r="C1" s="5" t="s">
        <v>73</v>
      </c>
      <c r="D1" s="5" t="s">
        <v>74</v>
      </c>
      <c r="E1" s="59" t="s">
        <v>91</v>
      </c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</row>
    <row r="2" spans="1:23" ht="24.6" x14ac:dyDescent="0.55000000000000004">
      <c r="A2" s="6" t="s">
        <v>13</v>
      </c>
      <c r="B2" s="7" t="s">
        <v>13</v>
      </c>
      <c r="C2" s="8" t="s">
        <v>14</v>
      </c>
      <c r="D2" s="9" t="s">
        <v>15</v>
      </c>
      <c r="E2" s="60" t="s">
        <v>16</v>
      </c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</row>
    <row r="3" spans="1:23" ht="21" x14ac:dyDescent="0.4">
      <c r="A3" s="10" t="s">
        <v>17</v>
      </c>
      <c r="B3" s="11" t="s">
        <v>18</v>
      </c>
      <c r="C3" s="12" t="s">
        <v>17</v>
      </c>
      <c r="D3" s="13" t="s">
        <v>17</v>
      </c>
      <c r="E3" s="14" t="s">
        <v>19</v>
      </c>
      <c r="F3" s="14" t="s">
        <v>20</v>
      </c>
      <c r="G3" s="14" t="s">
        <v>21</v>
      </c>
      <c r="H3" s="14" t="s">
        <v>22</v>
      </c>
      <c r="I3" s="14" t="s">
        <v>23</v>
      </c>
      <c r="J3" s="14" t="s">
        <v>24</v>
      </c>
      <c r="K3" s="22" t="s">
        <v>25</v>
      </c>
      <c r="L3" s="14" t="s">
        <v>26</v>
      </c>
      <c r="M3" s="14" t="s">
        <v>27</v>
      </c>
      <c r="N3" s="14" t="s">
        <v>28</v>
      </c>
      <c r="O3" s="14" t="s">
        <v>29</v>
      </c>
      <c r="P3" s="14" t="s">
        <v>30</v>
      </c>
      <c r="Q3" s="14" t="s">
        <v>31</v>
      </c>
      <c r="R3" s="15" t="s">
        <v>32</v>
      </c>
    </row>
    <row r="4" spans="1:23" ht="21" x14ac:dyDescent="0.4">
      <c r="A4" s="16">
        <v>15</v>
      </c>
      <c r="B4" s="28" t="str">
        <f>"'0.5"</f>
        <v>'0.5</v>
      </c>
      <c r="C4" s="18">
        <v>21.3</v>
      </c>
      <c r="D4" s="19">
        <v>21.7</v>
      </c>
      <c r="E4" s="20">
        <v>1.65</v>
      </c>
      <c r="F4" s="20">
        <v>2.11</v>
      </c>
      <c r="G4" s="20">
        <v>0</v>
      </c>
      <c r="H4" s="20">
        <v>2.41</v>
      </c>
      <c r="I4" s="20">
        <v>2.77</v>
      </c>
      <c r="J4" s="20">
        <v>0</v>
      </c>
      <c r="K4" s="20">
        <v>3.73</v>
      </c>
      <c r="L4" s="20">
        <v>0</v>
      </c>
      <c r="M4" s="20">
        <v>0</v>
      </c>
      <c r="N4" s="20">
        <v>0</v>
      </c>
      <c r="O4" s="20">
        <v>4.78</v>
      </c>
      <c r="P4" s="20">
        <v>2.77</v>
      </c>
      <c r="Q4" s="20">
        <v>3.73</v>
      </c>
      <c r="R4" s="20">
        <v>7.47</v>
      </c>
    </row>
    <row r="5" spans="1:23" ht="21" x14ac:dyDescent="0.4">
      <c r="A5" s="16">
        <v>20</v>
      </c>
      <c r="B5" s="28" t="str">
        <f>"'0.75"</f>
        <v>'0.75</v>
      </c>
      <c r="C5" s="18">
        <v>26.7</v>
      </c>
      <c r="D5" s="19">
        <v>27.2</v>
      </c>
      <c r="E5" s="20">
        <v>1.65</v>
      </c>
      <c r="F5" s="20">
        <v>2.11</v>
      </c>
      <c r="G5" s="20">
        <v>0</v>
      </c>
      <c r="H5" s="20">
        <v>2.41</v>
      </c>
      <c r="I5" s="20">
        <v>2.87</v>
      </c>
      <c r="J5" s="20">
        <v>0</v>
      </c>
      <c r="K5" s="20">
        <v>3.91</v>
      </c>
      <c r="L5" s="20">
        <v>0</v>
      </c>
      <c r="M5" s="20">
        <v>0</v>
      </c>
      <c r="N5" s="20">
        <v>0</v>
      </c>
      <c r="O5" s="20">
        <v>5.56</v>
      </c>
      <c r="P5" s="20">
        <v>2.87</v>
      </c>
      <c r="Q5" s="20">
        <v>3.91</v>
      </c>
      <c r="R5" s="20">
        <v>7.82</v>
      </c>
    </row>
    <row r="6" spans="1:23" ht="21" x14ac:dyDescent="0.4">
      <c r="A6" s="16">
        <v>25</v>
      </c>
      <c r="B6" s="17">
        <v>1</v>
      </c>
      <c r="C6" s="18">
        <v>33.4</v>
      </c>
      <c r="D6" s="19">
        <v>34</v>
      </c>
      <c r="E6" s="20">
        <v>1.65</v>
      </c>
      <c r="F6" s="20">
        <v>2.77</v>
      </c>
      <c r="G6" s="20">
        <v>0</v>
      </c>
      <c r="H6" s="20">
        <v>2.9</v>
      </c>
      <c r="I6" s="20">
        <v>3.38</v>
      </c>
      <c r="J6" s="20">
        <v>0</v>
      </c>
      <c r="K6" s="20">
        <v>4.55</v>
      </c>
      <c r="L6" s="20">
        <v>0</v>
      </c>
      <c r="M6" s="20">
        <v>0</v>
      </c>
      <c r="N6" s="20">
        <v>0</v>
      </c>
      <c r="O6" s="20">
        <v>6.35</v>
      </c>
      <c r="P6" s="20">
        <v>3.38</v>
      </c>
      <c r="Q6" s="20">
        <v>4.55</v>
      </c>
      <c r="R6" s="20">
        <v>9.09</v>
      </c>
    </row>
    <row r="7" spans="1:23" ht="21" x14ac:dyDescent="0.4">
      <c r="A7" s="16">
        <v>32</v>
      </c>
      <c r="B7" s="28" t="str">
        <f>"'1.25"</f>
        <v>'1.25</v>
      </c>
      <c r="C7" s="18">
        <v>42.2</v>
      </c>
      <c r="D7" s="19">
        <v>42.7</v>
      </c>
      <c r="E7" s="20">
        <v>1.65</v>
      </c>
      <c r="F7" s="20">
        <v>2.77</v>
      </c>
      <c r="G7" s="20">
        <v>0</v>
      </c>
      <c r="H7" s="20">
        <v>2.97</v>
      </c>
      <c r="I7" s="20">
        <v>3.56</v>
      </c>
      <c r="J7" s="20">
        <v>0</v>
      </c>
      <c r="K7" s="20">
        <v>4.8499999999999996</v>
      </c>
      <c r="L7" s="20">
        <v>0</v>
      </c>
      <c r="M7" s="20">
        <v>0</v>
      </c>
      <c r="N7" s="20">
        <v>0</v>
      </c>
      <c r="O7" s="20">
        <v>6.35</v>
      </c>
      <c r="P7" s="20">
        <v>3.56</v>
      </c>
      <c r="Q7" s="20">
        <v>4.8499999999999996</v>
      </c>
      <c r="R7" s="20">
        <v>9.6999999999999993</v>
      </c>
    </row>
    <row r="8" spans="1:23" ht="21" x14ac:dyDescent="0.4">
      <c r="A8" s="16">
        <v>40</v>
      </c>
      <c r="B8" s="28" t="str">
        <f>"'1.5"</f>
        <v>'1.5</v>
      </c>
      <c r="C8" s="18">
        <v>48.3</v>
      </c>
      <c r="D8" s="19">
        <v>48.6</v>
      </c>
      <c r="E8" s="20">
        <v>1.65</v>
      </c>
      <c r="F8" s="20">
        <v>2.77</v>
      </c>
      <c r="G8" s="20">
        <v>0</v>
      </c>
      <c r="H8" s="20">
        <v>3.18</v>
      </c>
      <c r="I8" s="20">
        <v>3.68</v>
      </c>
      <c r="J8" s="20">
        <v>0</v>
      </c>
      <c r="K8" s="20">
        <v>5.08</v>
      </c>
      <c r="L8" s="20">
        <v>0</v>
      </c>
      <c r="M8" s="20">
        <v>0</v>
      </c>
      <c r="N8" s="20">
        <v>0</v>
      </c>
      <c r="O8" s="20">
        <v>7.14</v>
      </c>
      <c r="P8" s="20">
        <v>3.68</v>
      </c>
      <c r="Q8" s="20">
        <v>5.08</v>
      </c>
      <c r="R8" s="20">
        <v>10.15</v>
      </c>
    </row>
    <row r="9" spans="1:23" ht="21" x14ac:dyDescent="0.4">
      <c r="A9" s="16">
        <v>50</v>
      </c>
      <c r="B9" s="17">
        <v>2</v>
      </c>
      <c r="C9" s="18">
        <v>60.3</v>
      </c>
      <c r="D9" s="19">
        <v>60.5</v>
      </c>
      <c r="E9" s="20">
        <v>1.65</v>
      </c>
      <c r="F9" s="20">
        <v>2.77</v>
      </c>
      <c r="G9" s="20">
        <v>0</v>
      </c>
      <c r="H9" s="20">
        <v>3.18</v>
      </c>
      <c r="I9" s="20">
        <v>3.91</v>
      </c>
      <c r="J9" s="20">
        <v>0</v>
      </c>
      <c r="K9" s="20">
        <v>5.54</v>
      </c>
      <c r="L9" s="20">
        <v>0</v>
      </c>
      <c r="M9" s="20">
        <v>0</v>
      </c>
      <c r="N9" s="20">
        <v>0</v>
      </c>
      <c r="O9" s="20">
        <v>8.74</v>
      </c>
      <c r="P9" s="20">
        <v>3.91</v>
      </c>
      <c r="Q9" s="20">
        <v>5.54</v>
      </c>
      <c r="R9" s="20">
        <v>11.07</v>
      </c>
    </row>
    <row r="10" spans="1:23" ht="21" x14ac:dyDescent="0.4">
      <c r="A10" s="16">
        <v>65</v>
      </c>
      <c r="B10" s="28" t="str">
        <f>"'2.5"</f>
        <v>'2.5</v>
      </c>
      <c r="C10" s="21">
        <v>73</v>
      </c>
      <c r="D10" s="19">
        <v>76.3</v>
      </c>
      <c r="E10" s="20">
        <v>2.11</v>
      </c>
      <c r="F10" s="20">
        <v>3.05</v>
      </c>
      <c r="G10" s="20">
        <v>0</v>
      </c>
      <c r="H10" s="20">
        <v>4.78</v>
      </c>
      <c r="I10" s="20">
        <v>5.16</v>
      </c>
      <c r="J10" s="20">
        <v>0</v>
      </c>
      <c r="K10" s="20">
        <v>7.01</v>
      </c>
      <c r="L10" s="20">
        <v>0</v>
      </c>
      <c r="M10" s="20">
        <v>0</v>
      </c>
      <c r="N10" s="20">
        <v>0</v>
      </c>
      <c r="O10" s="20">
        <v>9.5299999999999994</v>
      </c>
      <c r="P10" s="20">
        <v>5.16</v>
      </c>
      <c r="Q10" s="20">
        <v>7.01</v>
      </c>
      <c r="R10" s="20">
        <v>14.02</v>
      </c>
    </row>
    <row r="11" spans="1:23" ht="21" x14ac:dyDescent="0.4">
      <c r="A11" s="16">
        <v>80</v>
      </c>
      <c r="B11" s="17">
        <v>3</v>
      </c>
      <c r="C11" s="18">
        <v>88.9</v>
      </c>
      <c r="D11" s="19">
        <v>89.1</v>
      </c>
      <c r="E11" s="20">
        <v>2.11</v>
      </c>
      <c r="F11" s="20">
        <v>3.05</v>
      </c>
      <c r="G11" s="20">
        <v>0</v>
      </c>
      <c r="H11" s="20">
        <v>4.78</v>
      </c>
      <c r="I11" s="20">
        <v>5.49</v>
      </c>
      <c r="J11" s="20">
        <v>0</v>
      </c>
      <c r="K11" s="20">
        <v>7.62</v>
      </c>
      <c r="L11" s="20">
        <v>0</v>
      </c>
      <c r="M11" s="20">
        <v>0</v>
      </c>
      <c r="N11" s="20">
        <v>0</v>
      </c>
      <c r="O11" s="20">
        <v>11.13</v>
      </c>
      <c r="P11" s="20">
        <v>5.49</v>
      </c>
      <c r="Q11" s="20">
        <v>7.62</v>
      </c>
      <c r="R11" s="20">
        <v>15.24</v>
      </c>
    </row>
    <row r="12" spans="1:23" ht="21" x14ac:dyDescent="0.4">
      <c r="A12" s="16">
        <v>90</v>
      </c>
      <c r="B12" s="28" t="str">
        <f>"'3.5"</f>
        <v>'3.5</v>
      </c>
      <c r="C12" s="18">
        <v>101.6</v>
      </c>
      <c r="D12" s="19">
        <v>101.6</v>
      </c>
      <c r="E12" s="20">
        <v>2.11</v>
      </c>
      <c r="F12" s="20">
        <v>3.05</v>
      </c>
      <c r="G12" s="20">
        <v>0</v>
      </c>
      <c r="H12" s="20">
        <v>4.78</v>
      </c>
      <c r="I12" s="20">
        <v>5.74</v>
      </c>
      <c r="J12" s="20">
        <v>0</v>
      </c>
      <c r="K12" s="20">
        <v>8.08</v>
      </c>
      <c r="L12" s="20">
        <v>0</v>
      </c>
      <c r="M12" s="20">
        <v>0</v>
      </c>
      <c r="N12" s="20">
        <v>0</v>
      </c>
      <c r="O12" s="20" t="s">
        <v>65</v>
      </c>
      <c r="P12" s="20">
        <v>5.74</v>
      </c>
      <c r="Q12" s="20">
        <v>8.08</v>
      </c>
      <c r="R12" s="20" t="s">
        <v>65</v>
      </c>
      <c r="W12">
        <f>VLOOKUP("'1.5",B:R,2,FALSE)</f>
        <v>48.3</v>
      </c>
    </row>
    <row r="13" spans="1:23" ht="21" x14ac:dyDescent="0.4">
      <c r="A13" s="16">
        <v>100</v>
      </c>
      <c r="B13" s="17">
        <v>4</v>
      </c>
      <c r="C13" s="18">
        <v>114.3</v>
      </c>
      <c r="D13" s="19">
        <v>114.3</v>
      </c>
      <c r="E13" s="20">
        <v>2.11</v>
      </c>
      <c r="F13" s="20">
        <v>3.05</v>
      </c>
      <c r="G13" s="20">
        <v>0</v>
      </c>
      <c r="H13" s="20">
        <v>4.78</v>
      </c>
      <c r="I13" s="20">
        <v>6.02</v>
      </c>
      <c r="J13" s="20">
        <v>0</v>
      </c>
      <c r="K13" s="20">
        <v>8.56</v>
      </c>
      <c r="L13" s="20">
        <v>0</v>
      </c>
      <c r="M13" s="20">
        <v>11.13</v>
      </c>
      <c r="N13" s="20">
        <v>0</v>
      </c>
      <c r="O13" s="20">
        <v>13.49</v>
      </c>
      <c r="P13" s="20">
        <v>6.02</v>
      </c>
      <c r="Q13" s="20">
        <v>8.56</v>
      </c>
      <c r="R13" s="20">
        <v>17.12</v>
      </c>
    </row>
    <row r="14" spans="1:23" ht="21" x14ac:dyDescent="0.4">
      <c r="A14" s="16">
        <v>125</v>
      </c>
      <c r="B14" s="17">
        <v>5</v>
      </c>
      <c r="C14" s="18">
        <v>141.30000000000001</v>
      </c>
      <c r="D14" s="19">
        <v>139.80000000000001</v>
      </c>
      <c r="E14" s="20">
        <v>2.77</v>
      </c>
      <c r="F14" s="20">
        <v>3.4</v>
      </c>
      <c r="G14" s="20">
        <v>0</v>
      </c>
      <c r="H14" s="20">
        <v>0</v>
      </c>
      <c r="I14" s="20">
        <v>6.55</v>
      </c>
      <c r="J14" s="20">
        <v>0</v>
      </c>
      <c r="K14" s="20">
        <v>9.5299999999999994</v>
      </c>
      <c r="L14" s="20">
        <v>0</v>
      </c>
      <c r="M14" s="20">
        <v>12.7</v>
      </c>
      <c r="N14" s="20">
        <v>0</v>
      </c>
      <c r="O14" s="20">
        <v>15.88</v>
      </c>
      <c r="P14" s="20">
        <v>6.55</v>
      </c>
      <c r="Q14" s="20">
        <v>9.5299999999999994</v>
      </c>
      <c r="R14" s="20">
        <v>19.05</v>
      </c>
    </row>
    <row r="15" spans="1:23" ht="21" x14ac:dyDescent="0.4">
      <c r="A15" s="16">
        <v>150</v>
      </c>
      <c r="B15" s="17">
        <v>6</v>
      </c>
      <c r="C15" s="18">
        <v>168.3</v>
      </c>
      <c r="D15" s="19">
        <v>165.2</v>
      </c>
      <c r="E15" s="20">
        <v>2.77</v>
      </c>
      <c r="F15" s="20">
        <v>3.4</v>
      </c>
      <c r="G15" s="20">
        <v>0</v>
      </c>
      <c r="H15" s="20">
        <v>0</v>
      </c>
      <c r="I15" s="20">
        <v>7.11</v>
      </c>
      <c r="J15" s="20">
        <v>0</v>
      </c>
      <c r="K15" s="20">
        <v>10.97</v>
      </c>
      <c r="L15" s="20">
        <v>0</v>
      </c>
      <c r="M15" s="20">
        <v>14.27</v>
      </c>
      <c r="N15" s="20">
        <v>0</v>
      </c>
      <c r="O15" s="20">
        <v>18.260000000000002</v>
      </c>
      <c r="P15" s="20">
        <v>7.11</v>
      </c>
      <c r="Q15" s="20">
        <v>10.97</v>
      </c>
      <c r="R15" s="20">
        <v>21.95</v>
      </c>
    </row>
    <row r="16" spans="1:23" ht="21" x14ac:dyDescent="0.4">
      <c r="A16" s="16">
        <v>200</v>
      </c>
      <c r="B16" s="17">
        <v>8</v>
      </c>
      <c r="C16" s="18">
        <v>219.1</v>
      </c>
      <c r="D16" s="19">
        <v>216.3</v>
      </c>
      <c r="E16" s="20">
        <v>2.77</v>
      </c>
      <c r="F16" s="20">
        <v>3.76</v>
      </c>
      <c r="G16" s="20">
        <v>6.35</v>
      </c>
      <c r="H16" s="20">
        <v>7.04</v>
      </c>
      <c r="I16" s="20">
        <v>8.18</v>
      </c>
      <c r="J16" s="20">
        <v>10.31</v>
      </c>
      <c r="K16" s="20">
        <v>12.7</v>
      </c>
      <c r="L16" s="20">
        <v>15.09</v>
      </c>
      <c r="M16" s="20">
        <v>18.260000000000002</v>
      </c>
      <c r="N16" s="20">
        <v>20.62</v>
      </c>
      <c r="O16" s="20">
        <v>23.01</v>
      </c>
      <c r="P16" s="20">
        <v>8.18</v>
      </c>
      <c r="Q16" s="20">
        <v>12.7</v>
      </c>
      <c r="R16" s="20">
        <v>22.23</v>
      </c>
    </row>
    <row r="17" spans="1:18" ht="21" x14ac:dyDescent="0.4">
      <c r="A17" s="16">
        <v>250</v>
      </c>
      <c r="B17" s="17">
        <v>10</v>
      </c>
      <c r="C17" s="18">
        <v>273</v>
      </c>
      <c r="D17" s="19">
        <v>267.39999999999998</v>
      </c>
      <c r="E17" s="20">
        <v>3.4</v>
      </c>
      <c r="F17" s="20">
        <v>4.1900000000000004</v>
      </c>
      <c r="G17" s="20">
        <v>6.35</v>
      </c>
      <c r="H17" s="20">
        <v>7.8</v>
      </c>
      <c r="I17" s="20">
        <v>9.27</v>
      </c>
      <c r="J17" s="20">
        <v>12.7</v>
      </c>
      <c r="K17" s="20">
        <v>15.09</v>
      </c>
      <c r="L17" s="20">
        <v>18.260000000000002</v>
      </c>
      <c r="M17" s="20">
        <v>21.44</v>
      </c>
      <c r="N17" s="20">
        <v>25.4</v>
      </c>
      <c r="O17" s="20">
        <v>28.58</v>
      </c>
      <c r="P17" s="20">
        <v>9.27</v>
      </c>
      <c r="Q17" s="20">
        <v>12.7</v>
      </c>
      <c r="R17" s="20">
        <v>25.4</v>
      </c>
    </row>
    <row r="18" spans="1:18" ht="21" x14ac:dyDescent="0.4">
      <c r="A18" s="16">
        <v>300</v>
      </c>
      <c r="B18" s="17">
        <v>12</v>
      </c>
      <c r="C18" s="18">
        <v>323.8</v>
      </c>
      <c r="D18" s="19">
        <v>318.5</v>
      </c>
      <c r="E18" s="20">
        <v>3.96</v>
      </c>
      <c r="F18" s="20">
        <v>4.57</v>
      </c>
      <c r="G18" s="20">
        <v>6.35</v>
      </c>
      <c r="H18" s="20">
        <v>8.3800000000000008</v>
      </c>
      <c r="I18" s="20">
        <v>10.31</v>
      </c>
      <c r="J18" s="20">
        <v>14.27</v>
      </c>
      <c r="K18" s="20">
        <v>17.48</v>
      </c>
      <c r="L18" s="20">
        <v>21.44</v>
      </c>
      <c r="M18" s="20">
        <v>25.4</v>
      </c>
      <c r="N18" s="20">
        <v>28.58</v>
      </c>
      <c r="O18" s="20">
        <v>33.32</v>
      </c>
      <c r="P18" s="20">
        <v>9.5299999999999994</v>
      </c>
      <c r="Q18" s="20">
        <v>12.7</v>
      </c>
      <c r="R18" s="20">
        <v>25.4</v>
      </c>
    </row>
    <row r="19" spans="1:18" ht="21" x14ac:dyDescent="0.4">
      <c r="A19" s="16">
        <v>350</v>
      </c>
      <c r="B19" s="17">
        <v>14</v>
      </c>
      <c r="C19" s="18">
        <v>355.6</v>
      </c>
      <c r="D19" s="19">
        <v>355.6</v>
      </c>
      <c r="E19" s="20">
        <v>3.96</v>
      </c>
      <c r="F19" s="20">
        <v>6.35</v>
      </c>
      <c r="G19" s="20">
        <v>7.92</v>
      </c>
      <c r="H19" s="20">
        <v>9.5299999999999994</v>
      </c>
      <c r="I19" s="20">
        <v>11.13</v>
      </c>
      <c r="J19" s="20">
        <v>15.09</v>
      </c>
      <c r="K19" s="20">
        <v>19.05</v>
      </c>
      <c r="L19" s="20">
        <v>23.83</v>
      </c>
      <c r="M19" s="20">
        <v>27.79</v>
      </c>
      <c r="N19" s="20">
        <v>31.75</v>
      </c>
      <c r="O19" s="20">
        <v>35.71</v>
      </c>
      <c r="P19" s="20">
        <v>9.5299999999999994</v>
      </c>
      <c r="Q19" s="20">
        <v>12.7</v>
      </c>
      <c r="R19" s="20">
        <v>0</v>
      </c>
    </row>
    <row r="20" spans="1:18" ht="21" x14ac:dyDescent="0.4">
      <c r="A20" s="16">
        <v>400</v>
      </c>
      <c r="B20" s="17">
        <v>16</v>
      </c>
      <c r="C20" s="18">
        <v>406.4</v>
      </c>
      <c r="D20" s="19">
        <v>406.4</v>
      </c>
      <c r="E20" s="20">
        <v>4.1900000000000004</v>
      </c>
      <c r="F20" s="20">
        <v>6.35</v>
      </c>
      <c r="G20" s="20">
        <v>7.92</v>
      </c>
      <c r="H20" s="20">
        <v>9.5299999999999994</v>
      </c>
      <c r="I20" s="20">
        <v>12.7</v>
      </c>
      <c r="J20" s="20">
        <v>16.66</v>
      </c>
      <c r="K20" s="20">
        <v>21.44</v>
      </c>
      <c r="L20" s="20">
        <v>26.19</v>
      </c>
      <c r="M20" s="20">
        <v>30.96</v>
      </c>
      <c r="N20" s="20">
        <v>36.53</v>
      </c>
      <c r="O20" s="20">
        <v>40.49</v>
      </c>
      <c r="P20" s="20">
        <v>9.5299999999999994</v>
      </c>
      <c r="Q20" s="20">
        <v>12.7</v>
      </c>
      <c r="R20" s="20">
        <v>0</v>
      </c>
    </row>
    <row r="21" spans="1:18" ht="21" x14ac:dyDescent="0.4">
      <c r="A21" s="16">
        <v>450</v>
      </c>
      <c r="B21" s="17">
        <v>18</v>
      </c>
      <c r="C21" s="18">
        <v>457</v>
      </c>
      <c r="D21" s="19">
        <v>457.2</v>
      </c>
      <c r="E21" s="20">
        <v>4.1900000000000004</v>
      </c>
      <c r="F21" s="20">
        <v>6.35</v>
      </c>
      <c r="G21" s="20">
        <v>7.92</v>
      </c>
      <c r="H21" s="20">
        <v>11.13</v>
      </c>
      <c r="I21" s="20">
        <v>14.27</v>
      </c>
      <c r="J21" s="20">
        <v>19.05</v>
      </c>
      <c r="K21" s="20">
        <v>23.83</v>
      </c>
      <c r="L21" s="20">
        <v>29.36</v>
      </c>
      <c r="M21" s="20">
        <v>34.93</v>
      </c>
      <c r="N21" s="20">
        <v>39.67</v>
      </c>
      <c r="O21" s="20">
        <v>45.24</v>
      </c>
      <c r="P21" s="20">
        <v>9.5299999999999994</v>
      </c>
      <c r="Q21" s="20">
        <v>12.7</v>
      </c>
      <c r="R21" s="20">
        <v>0</v>
      </c>
    </row>
    <row r="22" spans="1:18" ht="21" x14ac:dyDescent="0.4">
      <c r="A22" s="16">
        <v>500</v>
      </c>
      <c r="B22" s="17">
        <v>20</v>
      </c>
      <c r="C22" s="18">
        <v>508</v>
      </c>
      <c r="D22" s="19">
        <v>508</v>
      </c>
      <c r="E22" s="20">
        <v>4.78</v>
      </c>
      <c r="F22" s="20">
        <v>6.35</v>
      </c>
      <c r="G22" s="20">
        <v>9.5299999999999994</v>
      </c>
      <c r="H22" s="20">
        <v>12.7</v>
      </c>
      <c r="I22" s="20">
        <v>15.09</v>
      </c>
      <c r="J22" s="20">
        <v>20.62</v>
      </c>
      <c r="K22" s="20">
        <v>26.19</v>
      </c>
      <c r="L22" s="20">
        <v>32.54</v>
      </c>
      <c r="M22" s="20">
        <v>38.1</v>
      </c>
      <c r="N22" s="20">
        <v>44.45</v>
      </c>
      <c r="O22" s="20">
        <v>50.01</v>
      </c>
      <c r="P22" s="20">
        <v>9.5299999999999994</v>
      </c>
      <c r="Q22" s="20">
        <v>12.7</v>
      </c>
      <c r="R22" s="20">
        <v>0</v>
      </c>
    </row>
    <row r="23" spans="1:18" ht="21" x14ac:dyDescent="0.4">
      <c r="A23" s="16">
        <v>550</v>
      </c>
      <c r="B23" s="17">
        <v>22</v>
      </c>
      <c r="C23" s="18">
        <v>559</v>
      </c>
      <c r="D23" s="19">
        <v>558.79999999999995</v>
      </c>
      <c r="E23" s="20">
        <v>4.78</v>
      </c>
      <c r="F23" s="20">
        <v>6.35</v>
      </c>
      <c r="G23" s="20">
        <v>9.5299999999999994</v>
      </c>
      <c r="H23" s="20">
        <v>12.7</v>
      </c>
      <c r="I23" s="20">
        <v>15.9</v>
      </c>
      <c r="J23" s="20">
        <v>22.23</v>
      </c>
      <c r="K23" s="20">
        <v>28.58</v>
      </c>
      <c r="L23" s="20">
        <v>34.93</v>
      </c>
      <c r="M23" s="20">
        <v>41.28</v>
      </c>
      <c r="N23" s="20">
        <v>47.63</v>
      </c>
      <c r="O23" s="20">
        <v>53.98</v>
      </c>
      <c r="P23" s="20">
        <v>9.5299999999999994</v>
      </c>
      <c r="Q23" s="20">
        <v>12.7</v>
      </c>
      <c r="R23" s="20">
        <v>0</v>
      </c>
    </row>
    <row r="24" spans="1:18" ht="21" x14ac:dyDescent="0.4">
      <c r="A24" s="16">
        <v>600</v>
      </c>
      <c r="B24" s="17">
        <v>24</v>
      </c>
      <c r="C24" s="18">
        <v>610</v>
      </c>
      <c r="D24" s="19">
        <v>609.6</v>
      </c>
      <c r="E24" s="20">
        <v>5.54</v>
      </c>
      <c r="F24" s="20">
        <v>6.35</v>
      </c>
      <c r="G24" s="20">
        <v>9.5299999999999994</v>
      </c>
      <c r="H24" s="20">
        <v>14.27</v>
      </c>
      <c r="I24" s="20">
        <v>17.48</v>
      </c>
      <c r="J24" s="20">
        <v>24.61</v>
      </c>
      <c r="K24" s="20">
        <v>30.96</v>
      </c>
      <c r="L24" s="20">
        <v>38.89</v>
      </c>
      <c r="M24" s="20">
        <v>46.02</v>
      </c>
      <c r="N24" s="20">
        <v>52.37</v>
      </c>
      <c r="O24" s="20">
        <v>59.54</v>
      </c>
      <c r="P24" s="20">
        <v>9.5299999999999994</v>
      </c>
      <c r="Q24" s="20">
        <v>12.7</v>
      </c>
      <c r="R24" s="20">
        <v>0</v>
      </c>
    </row>
    <row r="25" spans="1:18" ht="21" x14ac:dyDescent="0.4">
      <c r="A25" s="16">
        <v>650</v>
      </c>
      <c r="B25" s="17">
        <v>26</v>
      </c>
      <c r="C25" s="18">
        <v>660</v>
      </c>
      <c r="D25" s="19">
        <v>660.4</v>
      </c>
      <c r="E25" s="20">
        <v>0</v>
      </c>
      <c r="F25" s="20">
        <v>7.92</v>
      </c>
      <c r="G25" s="20">
        <v>12.7</v>
      </c>
      <c r="H25" s="20">
        <v>15.88</v>
      </c>
      <c r="I25" s="20">
        <v>18.899999999999999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9.5299999999999994</v>
      </c>
      <c r="Q25" s="20">
        <v>12.7</v>
      </c>
      <c r="R25" s="20">
        <v>0</v>
      </c>
    </row>
    <row r="26" spans="1:18" ht="21" x14ac:dyDescent="0.4">
      <c r="A26" s="16">
        <v>700</v>
      </c>
      <c r="B26" s="17">
        <v>28</v>
      </c>
      <c r="C26" s="18">
        <v>711</v>
      </c>
      <c r="D26" s="19"/>
      <c r="E26" s="20">
        <v>0</v>
      </c>
      <c r="F26" s="20">
        <v>7.92</v>
      </c>
      <c r="G26" s="20">
        <v>12.7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9.5299999999999994</v>
      </c>
      <c r="Q26" s="20">
        <v>12.7</v>
      </c>
      <c r="R26" s="20">
        <v>0</v>
      </c>
    </row>
    <row r="27" spans="1:18" ht="21" x14ac:dyDescent="0.4">
      <c r="A27" s="16">
        <v>750</v>
      </c>
      <c r="B27" s="17">
        <v>30</v>
      </c>
      <c r="C27" s="18">
        <v>762</v>
      </c>
      <c r="D27" s="19"/>
      <c r="E27" s="20">
        <v>6.35</v>
      </c>
      <c r="F27" s="20">
        <v>7.92</v>
      </c>
      <c r="G27" s="20">
        <v>12.7</v>
      </c>
      <c r="H27" s="20">
        <v>15.88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0">
        <v>0</v>
      </c>
      <c r="P27" s="20">
        <v>9.5299999999999994</v>
      </c>
      <c r="Q27" s="20">
        <v>12.7</v>
      </c>
      <c r="R27" s="20">
        <v>0</v>
      </c>
    </row>
    <row r="28" spans="1:18" ht="21" x14ac:dyDescent="0.4">
      <c r="A28" s="16">
        <v>800</v>
      </c>
      <c r="B28" s="17">
        <v>32</v>
      </c>
      <c r="C28" s="18">
        <v>813</v>
      </c>
      <c r="D28" s="19"/>
      <c r="E28" s="20">
        <v>0</v>
      </c>
      <c r="F28" s="20">
        <v>7.92</v>
      </c>
      <c r="G28" s="20">
        <v>12.7</v>
      </c>
      <c r="H28" s="20">
        <v>15.88</v>
      </c>
      <c r="I28" s="20">
        <v>17.48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9.5299999999999994</v>
      </c>
      <c r="Q28" s="20">
        <v>12.7</v>
      </c>
      <c r="R28" s="20">
        <v>0</v>
      </c>
    </row>
    <row r="29" spans="1:18" ht="21" x14ac:dyDescent="0.4">
      <c r="A29" s="16">
        <v>850</v>
      </c>
      <c r="B29" s="17">
        <v>34</v>
      </c>
      <c r="C29" s="18">
        <v>864</v>
      </c>
      <c r="D29" s="19"/>
      <c r="E29" s="20">
        <v>0</v>
      </c>
      <c r="F29" s="20">
        <v>7.92</v>
      </c>
      <c r="G29" s="20">
        <v>12.7</v>
      </c>
      <c r="H29" s="20">
        <v>15.88</v>
      </c>
      <c r="I29" s="20">
        <v>17.48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9.5299999999999994</v>
      </c>
      <c r="Q29" s="20">
        <v>12.7</v>
      </c>
      <c r="R29" s="20">
        <v>0</v>
      </c>
    </row>
    <row r="30" spans="1:18" ht="21" x14ac:dyDescent="0.4">
      <c r="A30" s="16">
        <v>900</v>
      </c>
      <c r="B30" s="17">
        <v>36</v>
      </c>
      <c r="C30" s="18">
        <v>914</v>
      </c>
      <c r="D30" s="19"/>
      <c r="E30" s="20">
        <v>0</v>
      </c>
      <c r="F30" s="20">
        <v>7.92</v>
      </c>
      <c r="G30" s="20">
        <v>12.7</v>
      </c>
      <c r="H30" s="20">
        <v>15.88</v>
      </c>
      <c r="I30" s="20">
        <v>19.05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9.5299999999999994</v>
      </c>
      <c r="Q30" s="20">
        <v>12.7</v>
      </c>
      <c r="R30" s="20">
        <v>0</v>
      </c>
    </row>
    <row r="31" spans="1:18" ht="21" x14ac:dyDescent="0.4">
      <c r="A31" s="16">
        <v>950</v>
      </c>
      <c r="B31" s="17">
        <v>38</v>
      </c>
      <c r="C31" s="18">
        <v>965</v>
      </c>
      <c r="D31" s="19"/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0">
        <v>0</v>
      </c>
      <c r="P31" s="20">
        <v>9.5299999999999994</v>
      </c>
      <c r="Q31" s="20">
        <v>12.7</v>
      </c>
      <c r="R31" s="20">
        <v>0</v>
      </c>
    </row>
    <row r="32" spans="1:18" ht="21" x14ac:dyDescent="0.4">
      <c r="A32" s="16">
        <v>1000</v>
      </c>
      <c r="B32" s="17">
        <v>40</v>
      </c>
      <c r="C32" s="18">
        <v>1016</v>
      </c>
      <c r="D32" s="19"/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v>0</v>
      </c>
      <c r="P32" s="20">
        <v>9.5299999999999994</v>
      </c>
      <c r="Q32" s="20">
        <v>12.7</v>
      </c>
      <c r="R32" s="20">
        <v>0</v>
      </c>
    </row>
    <row r="33" spans="1:18" ht="21" x14ac:dyDescent="0.4">
      <c r="A33" s="16">
        <v>1050</v>
      </c>
      <c r="B33" s="17">
        <v>42</v>
      </c>
      <c r="C33" s="18">
        <v>1067</v>
      </c>
      <c r="D33" s="19"/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9.5299999999999994</v>
      </c>
      <c r="Q33" s="20">
        <v>12.7</v>
      </c>
      <c r="R33" s="20">
        <v>0</v>
      </c>
    </row>
    <row r="34" spans="1:18" ht="21" x14ac:dyDescent="0.4">
      <c r="A34" s="16">
        <v>1100</v>
      </c>
      <c r="B34" s="17">
        <v>44</v>
      </c>
      <c r="C34" s="18">
        <v>1118</v>
      </c>
      <c r="D34" s="19"/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9.5299999999999994</v>
      </c>
      <c r="Q34" s="20">
        <v>12.7</v>
      </c>
      <c r="R34" s="20">
        <v>0</v>
      </c>
    </row>
    <row r="35" spans="1:18" ht="21" x14ac:dyDescent="0.4">
      <c r="A35" s="16">
        <v>1150</v>
      </c>
      <c r="B35" s="17">
        <v>46</v>
      </c>
      <c r="C35" s="18">
        <v>1168</v>
      </c>
      <c r="D35" s="19"/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9.5299999999999994</v>
      </c>
      <c r="Q35" s="20">
        <v>12.7</v>
      </c>
      <c r="R35" s="20">
        <v>0</v>
      </c>
    </row>
    <row r="36" spans="1:18" ht="21" x14ac:dyDescent="0.4">
      <c r="A36" s="16">
        <v>1200</v>
      </c>
      <c r="B36" s="17">
        <v>48</v>
      </c>
      <c r="C36" s="18">
        <v>1219.2</v>
      </c>
      <c r="D36" s="19"/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9.5299999999999994</v>
      </c>
      <c r="Q36" s="20">
        <v>12.7</v>
      </c>
      <c r="R36" s="20">
        <v>0</v>
      </c>
    </row>
  </sheetData>
  <mergeCells count="2">
    <mergeCell ref="E1:R1"/>
    <mergeCell ref="E2:R2"/>
  </mergeCells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C1ACE-7AB2-4909-BF44-1CA72A1D8D59}">
  <sheetPr codeName="工作表5"/>
  <dimension ref="A1:I56"/>
  <sheetViews>
    <sheetView workbookViewId="0">
      <selection activeCell="J9" sqref="J9"/>
    </sheetView>
  </sheetViews>
  <sheetFormatPr defaultRowHeight="16.2" x14ac:dyDescent="0.3"/>
  <cols>
    <col min="4" max="4" width="9.88671875" bestFit="1" customWidth="1"/>
  </cols>
  <sheetData>
    <row r="1" spans="1:9" x14ac:dyDescent="0.3">
      <c r="A1" s="57" t="s">
        <v>107</v>
      </c>
      <c r="B1" s="38" t="s">
        <v>108</v>
      </c>
      <c r="C1" s="38" t="s">
        <v>110</v>
      </c>
      <c r="D1" s="42" t="s">
        <v>238</v>
      </c>
      <c r="E1" s="38" t="s">
        <v>111</v>
      </c>
      <c r="F1" s="38" t="s">
        <v>112</v>
      </c>
      <c r="G1" s="38" t="s">
        <v>113</v>
      </c>
      <c r="H1" s="38" t="s">
        <v>115</v>
      </c>
      <c r="I1" s="57" t="s">
        <v>117</v>
      </c>
    </row>
    <row r="2" spans="1:9" ht="16.8" thickBot="1" x14ac:dyDescent="0.35">
      <c r="A2" s="58"/>
      <c r="B2" s="39" t="s">
        <v>109</v>
      </c>
      <c r="C2" s="39" t="s">
        <v>109</v>
      </c>
      <c r="D2" s="39"/>
      <c r="E2" s="39" t="s">
        <v>109</v>
      </c>
      <c r="F2" s="39" t="s">
        <v>109</v>
      </c>
      <c r="G2" s="39" t="s">
        <v>114</v>
      </c>
      <c r="H2" s="39" t="s">
        <v>116</v>
      </c>
      <c r="I2" s="58"/>
    </row>
    <row r="3" spans="1:9" ht="16.8" thickBot="1" x14ac:dyDescent="0.35">
      <c r="A3" s="40" t="s">
        <v>239</v>
      </c>
      <c r="B3" s="40">
        <v>5</v>
      </c>
      <c r="C3" s="40"/>
      <c r="D3" s="40" t="str">
        <f>SUBSTITUTE(_xlfn.TEXTJOIN("*",TRUE,TRIM(A3),B3)," x ","*")</f>
        <v>50*25*5</v>
      </c>
      <c r="E3" s="40"/>
      <c r="F3" s="40"/>
      <c r="G3" s="40"/>
      <c r="H3" s="40">
        <v>3.66</v>
      </c>
      <c r="I3" s="40"/>
    </row>
    <row r="4" spans="1:9" ht="16.8" thickBot="1" x14ac:dyDescent="0.35">
      <c r="A4" s="40" t="s">
        <v>118</v>
      </c>
      <c r="B4" s="40">
        <v>4</v>
      </c>
      <c r="C4" s="40">
        <v>6</v>
      </c>
      <c r="D4" s="40" t="str">
        <f t="shared" ref="D4:D56" si="0">SUBSTITUTE(_xlfn.TEXTJOIN("*",TRUE,TRIM(A4),B4)," x ","*")</f>
        <v>65*32*4</v>
      </c>
      <c r="E4" s="40">
        <v>7</v>
      </c>
      <c r="F4" s="40">
        <v>3.5</v>
      </c>
      <c r="G4" s="40">
        <v>6.0880000000000001</v>
      </c>
      <c r="H4" s="40">
        <v>4.78</v>
      </c>
      <c r="I4" s="40"/>
    </row>
    <row r="5" spans="1:9" ht="16.8" thickBot="1" x14ac:dyDescent="0.35">
      <c r="A5" s="40" t="s">
        <v>119</v>
      </c>
      <c r="B5" s="40">
        <v>5</v>
      </c>
      <c r="C5" s="40">
        <v>7</v>
      </c>
      <c r="D5" s="40" t="str">
        <f t="shared" si="0"/>
        <v>75*40*5</v>
      </c>
      <c r="E5" s="40">
        <v>8</v>
      </c>
      <c r="F5" s="40">
        <v>4</v>
      </c>
      <c r="G5" s="40">
        <v>8.8179999999999996</v>
      </c>
      <c r="H5" s="40">
        <v>6.92</v>
      </c>
      <c r="I5" s="40" t="s">
        <v>120</v>
      </c>
    </row>
    <row r="6" spans="1:9" ht="16.8" thickBot="1" x14ac:dyDescent="0.35">
      <c r="A6" s="40" t="s">
        <v>121</v>
      </c>
      <c r="B6" s="40">
        <v>5</v>
      </c>
      <c r="C6" s="40">
        <v>7.5</v>
      </c>
      <c r="D6" s="40" t="str">
        <f t="shared" si="0"/>
        <v>100*50*5</v>
      </c>
      <c r="E6" s="40">
        <v>8</v>
      </c>
      <c r="F6" s="40">
        <v>4</v>
      </c>
      <c r="G6" s="40">
        <v>11.92</v>
      </c>
      <c r="H6" s="40">
        <v>9.36</v>
      </c>
      <c r="I6" s="40" t="s">
        <v>120</v>
      </c>
    </row>
    <row r="7" spans="1:9" ht="16.8" thickBot="1" x14ac:dyDescent="0.35">
      <c r="A7" s="40" t="s">
        <v>122</v>
      </c>
      <c r="B7" s="40">
        <v>6</v>
      </c>
      <c r="C7" s="40">
        <v>8</v>
      </c>
      <c r="D7" s="40" t="str">
        <f t="shared" si="0"/>
        <v>125*65*6</v>
      </c>
      <c r="E7" s="40">
        <v>8</v>
      </c>
      <c r="F7" s="40">
        <v>4</v>
      </c>
      <c r="G7" s="40">
        <v>17.11</v>
      </c>
      <c r="H7" s="40">
        <v>13.4</v>
      </c>
      <c r="I7" s="40" t="s">
        <v>120</v>
      </c>
    </row>
    <row r="8" spans="1:9" ht="16.8" thickBot="1" x14ac:dyDescent="0.35">
      <c r="A8" s="40" t="s">
        <v>123</v>
      </c>
      <c r="B8" s="40">
        <v>6</v>
      </c>
      <c r="C8" s="40">
        <v>8.5</v>
      </c>
      <c r="D8" s="40" t="str">
        <f t="shared" si="0"/>
        <v>150*70*6</v>
      </c>
      <c r="E8" s="40">
        <v>9</v>
      </c>
      <c r="F8" s="40">
        <v>4.5</v>
      </c>
      <c r="G8" s="40">
        <v>20.09</v>
      </c>
      <c r="H8" s="40">
        <v>15.8</v>
      </c>
      <c r="I8" s="40"/>
    </row>
    <row r="9" spans="1:9" ht="16.8" thickBot="1" x14ac:dyDescent="0.35">
      <c r="A9" s="40" t="s">
        <v>124</v>
      </c>
      <c r="B9" s="40">
        <v>6.5</v>
      </c>
      <c r="C9" s="40">
        <v>10</v>
      </c>
      <c r="D9" s="40" t="str">
        <f t="shared" si="0"/>
        <v>150*75*6.5</v>
      </c>
      <c r="E9" s="40">
        <v>10</v>
      </c>
      <c r="F9" s="40">
        <v>5</v>
      </c>
      <c r="G9" s="40">
        <v>23.71</v>
      </c>
      <c r="H9" s="40">
        <v>18.600000000000001</v>
      </c>
      <c r="I9" s="40" t="s">
        <v>120</v>
      </c>
    </row>
    <row r="10" spans="1:9" ht="16.8" thickBot="1" x14ac:dyDescent="0.35">
      <c r="A10" s="40" t="s">
        <v>124</v>
      </c>
      <c r="B10" s="40">
        <v>9</v>
      </c>
      <c r="C10" s="40">
        <v>12.5</v>
      </c>
      <c r="D10" s="40" t="str">
        <f t="shared" si="0"/>
        <v>150*75*9</v>
      </c>
      <c r="E10" s="40">
        <v>15</v>
      </c>
      <c r="F10" s="40">
        <v>7.5</v>
      </c>
      <c r="G10" s="40">
        <v>30.59</v>
      </c>
      <c r="H10" s="40">
        <v>24</v>
      </c>
      <c r="I10" s="40"/>
    </row>
    <row r="11" spans="1:9" ht="16.8" thickBot="1" x14ac:dyDescent="0.35">
      <c r="A11" s="40" t="s">
        <v>125</v>
      </c>
      <c r="B11" s="40">
        <v>6</v>
      </c>
      <c r="C11" s="40">
        <v>10.5</v>
      </c>
      <c r="D11" s="40" t="str">
        <f t="shared" si="0"/>
        <v>150*90*6</v>
      </c>
      <c r="E11" s="40">
        <v>9</v>
      </c>
      <c r="F11" s="40">
        <v>4.5</v>
      </c>
      <c r="G11" s="40">
        <v>26.85</v>
      </c>
      <c r="H11" s="40">
        <v>21.1</v>
      </c>
      <c r="I11" s="40"/>
    </row>
    <row r="12" spans="1:9" ht="16.8" thickBot="1" x14ac:dyDescent="0.35">
      <c r="A12" s="40" t="s">
        <v>125</v>
      </c>
      <c r="B12" s="40">
        <v>9</v>
      </c>
      <c r="C12" s="40">
        <v>14</v>
      </c>
      <c r="D12" s="40" t="str">
        <f t="shared" si="0"/>
        <v>150*90*9</v>
      </c>
      <c r="E12" s="40">
        <v>16</v>
      </c>
      <c r="F12" s="40">
        <v>8</v>
      </c>
      <c r="G12" s="40">
        <v>36.85</v>
      </c>
      <c r="H12" s="40">
        <v>28.9</v>
      </c>
      <c r="I12" s="40"/>
    </row>
    <row r="13" spans="1:9" ht="16.8" thickBot="1" x14ac:dyDescent="0.35">
      <c r="A13" s="40" t="s">
        <v>125</v>
      </c>
      <c r="B13" s="40">
        <v>12</v>
      </c>
      <c r="C13" s="40">
        <v>17.5</v>
      </c>
      <c r="D13" s="40" t="str">
        <f t="shared" si="0"/>
        <v>150*90*12</v>
      </c>
      <c r="E13" s="40">
        <v>23</v>
      </c>
      <c r="F13" s="40">
        <v>11.5</v>
      </c>
      <c r="G13" s="40">
        <v>46.68</v>
      </c>
      <c r="H13" s="40">
        <v>36.6</v>
      </c>
      <c r="I13" s="40"/>
    </row>
    <row r="14" spans="1:9" ht="16.8" thickBot="1" x14ac:dyDescent="0.35">
      <c r="A14" s="40" t="s">
        <v>126</v>
      </c>
      <c r="B14" s="40">
        <v>7</v>
      </c>
      <c r="C14" s="40">
        <v>10.5</v>
      </c>
      <c r="D14" s="40" t="str">
        <f t="shared" si="0"/>
        <v>180*75*7</v>
      </c>
      <c r="E14" s="40">
        <v>11</v>
      </c>
      <c r="F14" s="40">
        <v>5.5</v>
      </c>
      <c r="G14" s="40">
        <v>27.2</v>
      </c>
      <c r="H14" s="40">
        <v>21.4</v>
      </c>
      <c r="I14" s="40" t="s">
        <v>120</v>
      </c>
    </row>
    <row r="15" spans="1:9" ht="16.8" thickBot="1" x14ac:dyDescent="0.35">
      <c r="A15" s="40" t="s">
        <v>126</v>
      </c>
      <c r="B15" s="40">
        <v>10</v>
      </c>
      <c r="C15" s="40">
        <v>13.5</v>
      </c>
      <c r="D15" s="40" t="str">
        <f t="shared" si="0"/>
        <v>180*75*10</v>
      </c>
      <c r="E15" s="40">
        <v>17.5</v>
      </c>
      <c r="F15" s="40">
        <v>23</v>
      </c>
      <c r="G15" s="40">
        <v>36.369999999999997</v>
      </c>
      <c r="H15" s="40">
        <v>28.6</v>
      </c>
      <c r="I15" s="40"/>
    </row>
    <row r="16" spans="1:9" ht="16.8" thickBot="1" x14ac:dyDescent="0.35">
      <c r="A16" s="40" t="s">
        <v>126</v>
      </c>
      <c r="B16" s="40">
        <v>12</v>
      </c>
      <c r="C16" s="40">
        <v>15.5</v>
      </c>
      <c r="D16" s="40" t="str">
        <f t="shared" si="0"/>
        <v>180*75*12</v>
      </c>
      <c r="E16" s="40">
        <v>21</v>
      </c>
      <c r="F16" s="40">
        <v>10.5</v>
      </c>
      <c r="G16" s="40">
        <v>42.28</v>
      </c>
      <c r="H16" s="40">
        <v>33.200000000000003</v>
      </c>
      <c r="I16" s="40"/>
    </row>
    <row r="17" spans="1:9" ht="16.8" thickBot="1" x14ac:dyDescent="0.35">
      <c r="A17" s="40" t="s">
        <v>127</v>
      </c>
      <c r="B17" s="40">
        <v>7.5</v>
      </c>
      <c r="C17" s="40">
        <v>12.5</v>
      </c>
      <c r="D17" s="40" t="str">
        <f t="shared" si="0"/>
        <v>180*90*7.5</v>
      </c>
      <c r="E17" s="40">
        <v>13</v>
      </c>
      <c r="F17" s="40">
        <v>6.5</v>
      </c>
      <c r="G17" s="40">
        <v>34.57</v>
      </c>
      <c r="H17" s="40">
        <v>27.1</v>
      </c>
      <c r="I17" s="40"/>
    </row>
    <row r="18" spans="1:9" ht="16.8" thickBot="1" x14ac:dyDescent="0.35">
      <c r="A18" s="40" t="s">
        <v>127</v>
      </c>
      <c r="B18" s="40">
        <v>10</v>
      </c>
      <c r="C18" s="40">
        <v>15.5</v>
      </c>
      <c r="D18" s="40" t="str">
        <f t="shared" si="0"/>
        <v>180*90*10</v>
      </c>
      <c r="E18" s="40">
        <v>19</v>
      </c>
      <c r="F18" s="40">
        <v>9.5</v>
      </c>
      <c r="G18" s="40">
        <v>43.74</v>
      </c>
      <c r="H18" s="40">
        <v>34.299999999999997</v>
      </c>
      <c r="I18" s="40"/>
    </row>
    <row r="19" spans="1:9" ht="16.8" thickBot="1" x14ac:dyDescent="0.35">
      <c r="A19" s="40" t="s">
        <v>127</v>
      </c>
      <c r="B19" s="40">
        <v>12.5</v>
      </c>
      <c r="C19" s="40">
        <v>18.5</v>
      </c>
      <c r="D19" s="40" t="str">
        <f t="shared" si="0"/>
        <v>180*90*12.5</v>
      </c>
      <c r="E19" s="40">
        <v>25</v>
      </c>
      <c r="F19" s="40">
        <v>12.5</v>
      </c>
      <c r="G19" s="40">
        <v>52.81</v>
      </c>
      <c r="H19" s="40">
        <v>41.5</v>
      </c>
      <c r="I19" s="40"/>
    </row>
    <row r="20" spans="1:9" ht="16.8" thickBot="1" x14ac:dyDescent="0.35">
      <c r="A20" s="40" t="s">
        <v>128</v>
      </c>
      <c r="B20" s="40">
        <v>7</v>
      </c>
      <c r="C20" s="40">
        <v>10</v>
      </c>
      <c r="D20" s="40" t="str">
        <f t="shared" si="0"/>
        <v>200*70*7</v>
      </c>
      <c r="E20" s="40">
        <v>11</v>
      </c>
      <c r="F20" s="40">
        <v>5.5</v>
      </c>
      <c r="G20" s="40">
        <v>26.92</v>
      </c>
      <c r="H20" s="40">
        <v>21.1</v>
      </c>
      <c r="I20" s="40"/>
    </row>
    <row r="21" spans="1:9" ht="16.8" thickBot="1" x14ac:dyDescent="0.35">
      <c r="A21" s="40" t="s">
        <v>129</v>
      </c>
      <c r="B21" s="40">
        <v>7.5</v>
      </c>
      <c r="C21" s="40">
        <v>11</v>
      </c>
      <c r="D21" s="40" t="str">
        <f t="shared" si="0"/>
        <v>200*80*7.5</v>
      </c>
      <c r="E21" s="40">
        <v>12</v>
      </c>
      <c r="F21" s="40">
        <v>6</v>
      </c>
      <c r="G21" s="40">
        <v>31.33</v>
      </c>
      <c r="H21" s="40">
        <v>24.6</v>
      </c>
      <c r="I21" s="40" t="s">
        <v>120</v>
      </c>
    </row>
    <row r="22" spans="1:9" ht="16.8" thickBot="1" x14ac:dyDescent="0.35">
      <c r="A22" s="40" t="s">
        <v>129</v>
      </c>
      <c r="B22" s="40">
        <v>9</v>
      </c>
      <c r="C22" s="40">
        <v>13.5</v>
      </c>
      <c r="D22" s="40" t="str">
        <f t="shared" si="0"/>
        <v>200*80*9</v>
      </c>
      <c r="E22" s="40">
        <v>16</v>
      </c>
      <c r="F22" s="40">
        <v>8</v>
      </c>
      <c r="G22" s="40">
        <v>37.840000000000003</v>
      </c>
      <c r="H22" s="40">
        <v>29.7</v>
      </c>
      <c r="I22" s="40"/>
    </row>
    <row r="23" spans="1:9" ht="16.8" thickBot="1" x14ac:dyDescent="0.35">
      <c r="A23" s="40" t="s">
        <v>129</v>
      </c>
      <c r="B23" s="40">
        <v>10.5</v>
      </c>
      <c r="C23" s="40">
        <v>15.5</v>
      </c>
      <c r="D23" s="40" t="str">
        <f t="shared" si="0"/>
        <v>200*80*10.5</v>
      </c>
      <c r="E23" s="40">
        <v>20.5</v>
      </c>
      <c r="F23" s="40">
        <v>10</v>
      </c>
      <c r="G23" s="40">
        <v>43.66</v>
      </c>
      <c r="H23" s="40">
        <v>34.299999999999997</v>
      </c>
      <c r="I23" s="40"/>
    </row>
    <row r="24" spans="1:9" ht="16.8" thickBot="1" x14ac:dyDescent="0.35">
      <c r="A24" s="40" t="s">
        <v>130</v>
      </c>
      <c r="B24" s="40">
        <v>8</v>
      </c>
      <c r="C24" s="40">
        <v>13.5</v>
      </c>
      <c r="D24" s="40" t="str">
        <f t="shared" si="0"/>
        <v>200*90*8</v>
      </c>
      <c r="E24" s="40">
        <v>14</v>
      </c>
      <c r="F24" s="40">
        <v>7</v>
      </c>
      <c r="G24" s="40">
        <v>38.65</v>
      </c>
      <c r="H24" s="40">
        <v>30.3</v>
      </c>
      <c r="I24" s="40" t="s">
        <v>120</v>
      </c>
    </row>
    <row r="25" spans="1:9" ht="16.8" thickBot="1" x14ac:dyDescent="0.35">
      <c r="A25" s="40" t="s">
        <v>130</v>
      </c>
      <c r="B25" s="40">
        <v>10</v>
      </c>
      <c r="C25" s="40">
        <v>15.5</v>
      </c>
      <c r="D25" s="40" t="str">
        <f t="shared" si="0"/>
        <v>200*90*10</v>
      </c>
      <c r="E25" s="40">
        <v>19</v>
      </c>
      <c r="F25" s="40">
        <v>9.5</v>
      </c>
      <c r="G25" s="40">
        <v>45.74</v>
      </c>
      <c r="H25" s="40">
        <v>35.9</v>
      </c>
      <c r="I25" s="40"/>
    </row>
    <row r="26" spans="1:9" ht="16.8" thickBot="1" x14ac:dyDescent="0.35">
      <c r="A26" s="40" t="s">
        <v>130</v>
      </c>
      <c r="B26" s="40">
        <v>12</v>
      </c>
      <c r="C26" s="40">
        <v>18</v>
      </c>
      <c r="D26" s="40" t="str">
        <f t="shared" si="0"/>
        <v>200*90*12</v>
      </c>
      <c r="E26" s="40">
        <v>24</v>
      </c>
      <c r="F26" s="40">
        <v>12</v>
      </c>
      <c r="G26" s="40">
        <v>53.59</v>
      </c>
      <c r="H26" s="40">
        <v>42.1</v>
      </c>
      <c r="I26" s="40"/>
    </row>
    <row r="27" spans="1:9" ht="16.8" thickBot="1" x14ac:dyDescent="0.35">
      <c r="A27" s="40" t="s">
        <v>131</v>
      </c>
      <c r="B27" s="40">
        <v>8</v>
      </c>
      <c r="C27" s="40">
        <v>12</v>
      </c>
      <c r="D27" s="40" t="str">
        <f t="shared" si="0"/>
        <v>230*80*8</v>
      </c>
      <c r="E27" s="40" t="s">
        <v>132</v>
      </c>
      <c r="F27" s="40">
        <v>6.5</v>
      </c>
      <c r="G27" s="40">
        <v>36.119999999999997</v>
      </c>
      <c r="H27" s="40">
        <v>28.4</v>
      </c>
      <c r="I27" s="40"/>
    </row>
    <row r="28" spans="1:9" ht="16.8" thickBot="1" x14ac:dyDescent="0.35">
      <c r="A28" s="40" t="s">
        <v>131</v>
      </c>
      <c r="B28" s="40">
        <v>10</v>
      </c>
      <c r="C28" s="40">
        <v>15</v>
      </c>
      <c r="D28" s="40" t="str">
        <f t="shared" si="0"/>
        <v>230*80*10</v>
      </c>
      <c r="E28" s="40">
        <v>19.5</v>
      </c>
      <c r="F28" s="40">
        <v>9.5</v>
      </c>
      <c r="G28" s="40">
        <v>45.01</v>
      </c>
      <c r="H28" s="40">
        <v>35.299999999999997</v>
      </c>
      <c r="I28" s="40"/>
    </row>
    <row r="29" spans="1:9" ht="16.8" thickBot="1" x14ac:dyDescent="0.35">
      <c r="A29" s="40" t="s">
        <v>131</v>
      </c>
      <c r="B29" s="40">
        <v>12</v>
      </c>
      <c r="C29" s="40">
        <v>17.5</v>
      </c>
      <c r="D29" s="40" t="str">
        <f t="shared" si="0"/>
        <v>230*80*12</v>
      </c>
      <c r="E29" s="40">
        <v>24.5</v>
      </c>
      <c r="F29" s="40">
        <v>12</v>
      </c>
      <c r="G29" s="40">
        <v>52.99</v>
      </c>
      <c r="H29" s="40">
        <v>41.6</v>
      </c>
      <c r="I29" s="40"/>
    </row>
    <row r="30" spans="1:9" ht="16.8" thickBot="1" x14ac:dyDescent="0.35">
      <c r="A30" s="40" t="s">
        <v>133</v>
      </c>
      <c r="B30" s="40">
        <v>8.5</v>
      </c>
      <c r="C30" s="40">
        <v>13.5</v>
      </c>
      <c r="D30" s="40" t="str">
        <f t="shared" si="0"/>
        <v>230*90*8.5</v>
      </c>
      <c r="E30" s="40">
        <v>15</v>
      </c>
      <c r="F30" s="40">
        <v>7.5</v>
      </c>
      <c r="G30" s="40">
        <v>42.14</v>
      </c>
      <c r="H30" s="40">
        <v>33.1</v>
      </c>
      <c r="I30" s="40"/>
    </row>
    <row r="31" spans="1:9" ht="16.8" thickBot="1" x14ac:dyDescent="0.35">
      <c r="A31" s="40" t="s">
        <v>133</v>
      </c>
      <c r="B31" s="40">
        <v>10.5</v>
      </c>
      <c r="C31" s="40">
        <v>16</v>
      </c>
      <c r="D31" s="40" t="str">
        <f t="shared" si="0"/>
        <v>230*90*10.5</v>
      </c>
      <c r="E31" s="40">
        <v>20</v>
      </c>
      <c r="F31" s="40">
        <v>10</v>
      </c>
      <c r="G31" s="40">
        <v>50.64</v>
      </c>
      <c r="H31" s="40">
        <v>39.799999999999997</v>
      </c>
      <c r="I31" s="40"/>
    </row>
    <row r="32" spans="1:9" ht="16.8" thickBot="1" x14ac:dyDescent="0.35">
      <c r="A32" s="40" t="s">
        <v>133</v>
      </c>
      <c r="B32" s="40">
        <v>12.5</v>
      </c>
      <c r="C32" s="40">
        <v>18.5</v>
      </c>
      <c r="D32" s="40" t="str">
        <f t="shared" si="0"/>
        <v>230*90*12.5</v>
      </c>
      <c r="E32" s="40">
        <v>25</v>
      </c>
      <c r="F32" s="40">
        <v>12.5</v>
      </c>
      <c r="G32" s="40">
        <v>59.06</v>
      </c>
      <c r="H32" s="40">
        <v>46.4</v>
      </c>
      <c r="I32" s="40"/>
    </row>
    <row r="33" spans="1:9" ht="16.8" thickBot="1" x14ac:dyDescent="0.35">
      <c r="A33" s="40" t="s">
        <v>134</v>
      </c>
      <c r="B33" s="40">
        <v>8</v>
      </c>
      <c r="C33" s="40">
        <v>12.5</v>
      </c>
      <c r="D33" s="40" t="str">
        <f t="shared" si="0"/>
        <v>250*80*8</v>
      </c>
      <c r="E33" s="40">
        <v>14</v>
      </c>
      <c r="F33" s="40">
        <v>7</v>
      </c>
      <c r="G33" s="40">
        <v>38.51</v>
      </c>
      <c r="H33" s="40">
        <v>30.2</v>
      </c>
      <c r="I33" s="40"/>
    </row>
    <row r="34" spans="1:9" ht="16.8" thickBot="1" x14ac:dyDescent="0.35">
      <c r="A34" s="40" t="s">
        <v>134</v>
      </c>
      <c r="B34" s="40">
        <v>10</v>
      </c>
      <c r="C34" s="40">
        <v>15</v>
      </c>
      <c r="D34" s="40" t="str">
        <f t="shared" si="0"/>
        <v>250*80*10</v>
      </c>
      <c r="E34" s="40">
        <v>19.5</v>
      </c>
      <c r="F34" s="40">
        <v>9.5</v>
      </c>
      <c r="G34" s="40">
        <v>47.01</v>
      </c>
      <c r="H34" s="40">
        <v>36.9</v>
      </c>
      <c r="I34" s="40"/>
    </row>
    <row r="35" spans="1:9" ht="16.8" thickBot="1" x14ac:dyDescent="0.35">
      <c r="A35" s="40" t="s">
        <v>134</v>
      </c>
      <c r="B35" s="40">
        <v>12</v>
      </c>
      <c r="C35" s="40">
        <v>17.5</v>
      </c>
      <c r="D35" s="40" t="str">
        <f t="shared" si="0"/>
        <v>250*80*12</v>
      </c>
      <c r="E35" s="40">
        <v>24.5</v>
      </c>
      <c r="F35" s="40">
        <v>12</v>
      </c>
      <c r="G35" s="40">
        <v>55.39</v>
      </c>
      <c r="H35" s="40">
        <v>43.5</v>
      </c>
      <c r="I35" s="40"/>
    </row>
    <row r="36" spans="1:9" ht="16.8" thickBot="1" x14ac:dyDescent="0.35">
      <c r="A36" s="40" t="s">
        <v>135</v>
      </c>
      <c r="B36" s="40">
        <v>9</v>
      </c>
      <c r="C36" s="40">
        <v>13</v>
      </c>
      <c r="D36" s="40" t="str">
        <f t="shared" si="0"/>
        <v>250*90*9</v>
      </c>
      <c r="E36" s="40">
        <v>14</v>
      </c>
      <c r="F36" s="40">
        <v>7</v>
      </c>
      <c r="G36" s="40">
        <v>44.07</v>
      </c>
      <c r="H36" s="40">
        <v>34.6</v>
      </c>
      <c r="I36" s="40" t="s">
        <v>120</v>
      </c>
    </row>
    <row r="37" spans="1:9" ht="16.8" thickBot="1" x14ac:dyDescent="0.35">
      <c r="A37" s="40" t="s">
        <v>135</v>
      </c>
      <c r="B37" s="40">
        <v>11</v>
      </c>
      <c r="C37" s="40">
        <v>14.5</v>
      </c>
      <c r="D37" s="40" t="str">
        <f t="shared" si="0"/>
        <v>250*90*11</v>
      </c>
      <c r="E37" s="40">
        <v>17</v>
      </c>
      <c r="F37" s="40">
        <v>8.5</v>
      </c>
      <c r="G37" s="40">
        <v>51.17</v>
      </c>
      <c r="H37" s="40">
        <v>40.200000000000003</v>
      </c>
      <c r="I37" s="40"/>
    </row>
    <row r="38" spans="1:9" ht="16.8" thickBot="1" x14ac:dyDescent="0.35">
      <c r="A38" s="40" t="s">
        <v>135</v>
      </c>
      <c r="B38" s="40">
        <v>13</v>
      </c>
      <c r="C38" s="40">
        <v>18</v>
      </c>
      <c r="D38" s="40" t="str">
        <f t="shared" si="0"/>
        <v>250*90*13</v>
      </c>
      <c r="E38" s="40">
        <v>24</v>
      </c>
      <c r="F38" s="40">
        <v>12</v>
      </c>
      <c r="G38" s="40">
        <v>61.73</v>
      </c>
      <c r="H38" s="40">
        <v>48.5</v>
      </c>
      <c r="I38" s="40"/>
    </row>
    <row r="39" spans="1:9" ht="16.8" thickBot="1" x14ac:dyDescent="0.35">
      <c r="A39" s="40" t="s">
        <v>136</v>
      </c>
      <c r="B39" s="40">
        <v>9</v>
      </c>
      <c r="C39" s="40">
        <v>13</v>
      </c>
      <c r="D39" s="40" t="str">
        <f t="shared" si="0"/>
        <v>280*100*9</v>
      </c>
      <c r="E39" s="40">
        <v>14</v>
      </c>
      <c r="F39" s="40">
        <v>7</v>
      </c>
      <c r="G39" s="40">
        <v>49.37</v>
      </c>
      <c r="H39" s="40">
        <v>38.799999999999997</v>
      </c>
      <c r="I39" s="40"/>
    </row>
    <row r="40" spans="1:9" ht="16.8" thickBot="1" x14ac:dyDescent="0.35">
      <c r="A40" s="40" t="s">
        <v>136</v>
      </c>
      <c r="B40" s="40">
        <v>11.5</v>
      </c>
      <c r="C40" s="40">
        <v>16</v>
      </c>
      <c r="D40" s="40" t="str">
        <f t="shared" si="0"/>
        <v>280*100*11.5</v>
      </c>
      <c r="E40" s="40">
        <v>18</v>
      </c>
      <c r="F40" s="40">
        <v>9</v>
      </c>
      <c r="G40" s="40">
        <v>61.37</v>
      </c>
      <c r="H40" s="40">
        <v>48.2</v>
      </c>
      <c r="I40" s="40"/>
    </row>
    <row r="41" spans="1:9" ht="16.8" thickBot="1" x14ac:dyDescent="0.35">
      <c r="A41" s="40" t="s">
        <v>136</v>
      </c>
      <c r="B41" s="40">
        <v>13</v>
      </c>
      <c r="C41" s="40">
        <v>18</v>
      </c>
      <c r="D41" s="40" t="str">
        <f t="shared" si="0"/>
        <v>280*100*13</v>
      </c>
      <c r="E41" s="40">
        <v>21</v>
      </c>
      <c r="F41" s="40">
        <v>10.5</v>
      </c>
      <c r="G41" s="40">
        <v>68.87</v>
      </c>
      <c r="H41" s="40">
        <v>54.1</v>
      </c>
      <c r="I41" s="40"/>
    </row>
    <row r="42" spans="1:9" ht="16.8" thickBot="1" x14ac:dyDescent="0.35">
      <c r="A42" s="40" t="s">
        <v>137</v>
      </c>
      <c r="B42" s="40">
        <v>9</v>
      </c>
      <c r="C42" s="40">
        <v>13</v>
      </c>
      <c r="D42" s="40" t="str">
        <f t="shared" si="0"/>
        <v>300*90*9</v>
      </c>
      <c r="E42" s="40">
        <v>14</v>
      </c>
      <c r="F42" s="40">
        <v>7</v>
      </c>
      <c r="G42" s="40">
        <v>48.57</v>
      </c>
      <c r="H42" s="40">
        <v>38.1</v>
      </c>
      <c r="I42" s="40" t="s">
        <v>120</v>
      </c>
    </row>
    <row r="43" spans="1:9" ht="16.8" thickBot="1" x14ac:dyDescent="0.35">
      <c r="A43" s="40" t="s">
        <v>137</v>
      </c>
      <c r="B43" s="40">
        <v>10</v>
      </c>
      <c r="C43" s="40">
        <v>15.5</v>
      </c>
      <c r="D43" s="40" t="str">
        <f t="shared" si="0"/>
        <v>300*90*10</v>
      </c>
      <c r="E43" s="40">
        <v>19</v>
      </c>
      <c r="F43" s="40">
        <v>9.5</v>
      </c>
      <c r="G43" s="40">
        <v>55.74</v>
      </c>
      <c r="H43" s="40">
        <v>43.8</v>
      </c>
      <c r="I43" s="40" t="s">
        <v>120</v>
      </c>
    </row>
    <row r="44" spans="1:9" ht="16.8" thickBot="1" x14ac:dyDescent="0.35">
      <c r="A44" s="40" t="s">
        <v>137</v>
      </c>
      <c r="B44" s="40">
        <v>10.5</v>
      </c>
      <c r="C44" s="40">
        <v>15.5</v>
      </c>
      <c r="D44" s="40" t="str">
        <f t="shared" si="0"/>
        <v>300*90*10.5</v>
      </c>
      <c r="E44" s="40">
        <v>19</v>
      </c>
      <c r="F44" s="40">
        <v>9.5</v>
      </c>
      <c r="G44" s="40">
        <v>57.09</v>
      </c>
      <c r="H44" s="40">
        <v>44.8</v>
      </c>
      <c r="I44" s="40"/>
    </row>
    <row r="45" spans="1:9" ht="16.8" thickBot="1" x14ac:dyDescent="0.35">
      <c r="A45" s="40" t="s">
        <v>137</v>
      </c>
      <c r="B45" s="40">
        <v>12</v>
      </c>
      <c r="C45" s="40">
        <v>16</v>
      </c>
      <c r="D45" s="40" t="str">
        <f t="shared" si="0"/>
        <v>300*90*12</v>
      </c>
      <c r="E45" s="40">
        <v>19</v>
      </c>
      <c r="F45" s="40">
        <v>9.5</v>
      </c>
      <c r="G45" s="40">
        <v>61.9</v>
      </c>
      <c r="H45" s="40">
        <v>48.6</v>
      </c>
      <c r="I45" s="40"/>
    </row>
    <row r="46" spans="1:9" ht="16.8" thickBot="1" x14ac:dyDescent="0.35">
      <c r="A46" s="40" t="s">
        <v>137</v>
      </c>
      <c r="B46" s="40">
        <v>13</v>
      </c>
      <c r="C46" s="40">
        <v>19.5</v>
      </c>
      <c r="D46" s="40" t="str">
        <f t="shared" si="0"/>
        <v>300*90*13</v>
      </c>
      <c r="E46" s="40">
        <v>23</v>
      </c>
      <c r="F46" s="40">
        <v>11.5</v>
      </c>
      <c r="G46" s="40">
        <v>70.41</v>
      </c>
      <c r="H46" s="40">
        <v>55.3</v>
      </c>
      <c r="I46" s="40"/>
    </row>
    <row r="47" spans="1:9" ht="16.8" thickBot="1" x14ac:dyDescent="0.35">
      <c r="A47" s="40" t="s">
        <v>138</v>
      </c>
      <c r="B47" s="40">
        <v>10</v>
      </c>
      <c r="C47" s="40">
        <v>16</v>
      </c>
      <c r="D47" s="40" t="str">
        <f t="shared" si="0"/>
        <v>300*100*10</v>
      </c>
      <c r="E47" s="40">
        <v>17</v>
      </c>
      <c r="F47" s="40">
        <v>8.5</v>
      </c>
      <c r="G47" s="40">
        <v>59.56</v>
      </c>
      <c r="H47" s="40">
        <v>46.8</v>
      </c>
      <c r="I47" s="40"/>
    </row>
    <row r="48" spans="1:9" ht="16.8" thickBot="1" x14ac:dyDescent="0.35">
      <c r="A48" s="40" t="s">
        <v>138</v>
      </c>
      <c r="B48" s="40">
        <v>12</v>
      </c>
      <c r="C48" s="40">
        <v>18</v>
      </c>
      <c r="D48" s="40" t="str">
        <f t="shared" si="0"/>
        <v>300*100*12</v>
      </c>
      <c r="E48" s="40">
        <v>21</v>
      </c>
      <c r="F48" s="40">
        <v>10.5</v>
      </c>
      <c r="G48" s="40">
        <v>68.83</v>
      </c>
      <c r="H48" s="40">
        <v>54</v>
      </c>
      <c r="I48" s="40"/>
    </row>
    <row r="49" spans="1:9" ht="16.8" thickBot="1" x14ac:dyDescent="0.35">
      <c r="A49" s="40" t="s">
        <v>138</v>
      </c>
      <c r="B49" s="40">
        <v>14</v>
      </c>
      <c r="C49" s="40">
        <v>20</v>
      </c>
      <c r="D49" s="40" t="str">
        <f t="shared" si="0"/>
        <v>300*100*14</v>
      </c>
      <c r="E49" s="40">
        <v>24</v>
      </c>
      <c r="F49" s="40">
        <v>12</v>
      </c>
      <c r="G49" s="40">
        <v>77.91</v>
      </c>
      <c r="H49" s="40">
        <v>61.2</v>
      </c>
      <c r="I49" s="40"/>
    </row>
    <row r="50" spans="1:9" ht="16.8" thickBot="1" x14ac:dyDescent="0.35">
      <c r="A50" s="40" t="s">
        <v>139</v>
      </c>
      <c r="B50" s="40">
        <v>10.5</v>
      </c>
      <c r="C50" s="40">
        <v>16</v>
      </c>
      <c r="D50" s="40" t="str">
        <f t="shared" si="0"/>
        <v>380*100*10.5</v>
      </c>
      <c r="E50" s="40">
        <v>18</v>
      </c>
      <c r="F50" s="40">
        <v>9</v>
      </c>
      <c r="G50" s="40">
        <v>69.39</v>
      </c>
      <c r="H50" s="40">
        <v>54.5</v>
      </c>
      <c r="I50" s="40"/>
    </row>
    <row r="51" spans="1:9" ht="16.8" thickBot="1" x14ac:dyDescent="0.35">
      <c r="A51" s="40" t="s">
        <v>139</v>
      </c>
      <c r="B51" s="40">
        <v>13</v>
      </c>
      <c r="C51" s="40">
        <v>16.5</v>
      </c>
      <c r="D51" s="40" t="str">
        <f t="shared" si="0"/>
        <v>380*100*13</v>
      </c>
      <c r="E51" s="40">
        <v>18</v>
      </c>
      <c r="F51" s="40">
        <v>9</v>
      </c>
      <c r="G51" s="40">
        <v>78.959999999999994</v>
      </c>
      <c r="H51" s="40">
        <v>62</v>
      </c>
      <c r="I51" s="40" t="s">
        <v>120</v>
      </c>
    </row>
    <row r="52" spans="1:9" ht="16.8" thickBot="1" x14ac:dyDescent="0.35">
      <c r="A52" s="40" t="s">
        <v>139</v>
      </c>
      <c r="B52" s="40">
        <v>13</v>
      </c>
      <c r="C52" s="40">
        <v>20</v>
      </c>
      <c r="D52" s="40" t="str">
        <f t="shared" si="0"/>
        <v>380*100*13</v>
      </c>
      <c r="E52" s="40">
        <v>24</v>
      </c>
      <c r="F52" s="40">
        <v>12</v>
      </c>
      <c r="G52" s="40">
        <v>85.71</v>
      </c>
      <c r="H52" s="40">
        <v>67.3</v>
      </c>
      <c r="I52" s="40"/>
    </row>
    <row r="53" spans="1:9" ht="16.8" thickBot="1" x14ac:dyDescent="0.35">
      <c r="A53" s="40" t="s">
        <v>139</v>
      </c>
      <c r="B53" s="40">
        <v>15.5</v>
      </c>
      <c r="C53" s="40">
        <v>23.5</v>
      </c>
      <c r="D53" s="40" t="str">
        <f t="shared" si="0"/>
        <v>380*100*15.5</v>
      </c>
      <c r="E53" s="40">
        <v>29</v>
      </c>
      <c r="F53" s="40">
        <v>14.5</v>
      </c>
      <c r="G53" s="40">
        <v>100.8</v>
      </c>
      <c r="H53" s="40">
        <v>79.099999999999994</v>
      </c>
      <c r="I53" s="40"/>
    </row>
    <row r="54" spans="1:9" ht="16.8" thickBot="1" x14ac:dyDescent="0.35">
      <c r="A54" s="40" t="s">
        <v>140</v>
      </c>
      <c r="B54" s="40">
        <v>10.5</v>
      </c>
      <c r="C54" s="40">
        <v>16</v>
      </c>
      <c r="D54" s="40" t="str">
        <f t="shared" si="0"/>
        <v>425*100*10.5</v>
      </c>
      <c r="E54" s="40">
        <v>18</v>
      </c>
      <c r="F54" s="40">
        <v>9</v>
      </c>
      <c r="G54" s="40">
        <v>74.11</v>
      </c>
      <c r="H54" s="40">
        <v>58.2</v>
      </c>
      <c r="I54" s="40"/>
    </row>
    <row r="55" spans="1:9" ht="16.8" thickBot="1" x14ac:dyDescent="0.35">
      <c r="A55" s="40" t="s">
        <v>140</v>
      </c>
      <c r="B55" s="40">
        <v>13</v>
      </c>
      <c r="C55" s="40">
        <v>19.5</v>
      </c>
      <c r="D55" s="40" t="str">
        <f t="shared" si="0"/>
        <v>425*100*13</v>
      </c>
      <c r="E55" s="40">
        <v>24</v>
      </c>
      <c r="F55" s="40">
        <v>12</v>
      </c>
      <c r="G55" s="40">
        <v>90.69</v>
      </c>
      <c r="H55" s="40">
        <v>71.2</v>
      </c>
      <c r="I55" s="40"/>
    </row>
    <row r="56" spans="1:9" ht="16.8" thickBot="1" x14ac:dyDescent="0.35">
      <c r="A56" s="40" t="s">
        <v>140</v>
      </c>
      <c r="B56" s="40">
        <v>15.5</v>
      </c>
      <c r="C56" s="40">
        <v>23.5</v>
      </c>
      <c r="D56" s="40" t="str">
        <f t="shared" si="0"/>
        <v>425*100*15.5</v>
      </c>
      <c r="E56" s="40">
        <v>29</v>
      </c>
      <c r="F56" s="40">
        <v>14.5</v>
      </c>
      <c r="G56" s="40">
        <v>107.8</v>
      </c>
      <c r="H56" s="40">
        <v>84.6</v>
      </c>
      <c r="I56" s="41"/>
    </row>
  </sheetData>
  <mergeCells count="2">
    <mergeCell ref="A1:A2"/>
    <mergeCell ref="I1:I2"/>
  </mergeCells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B6B0-BB00-45A2-9267-511CFED0CDF5}">
  <sheetPr codeName="工作表1"/>
  <dimension ref="A1:Y1118"/>
  <sheetViews>
    <sheetView showGridLines="0" tabSelected="1" zoomScaleNormal="100" workbookViewId="0">
      <selection activeCell="D17" sqref="D17"/>
    </sheetView>
  </sheetViews>
  <sheetFormatPr defaultRowHeight="16.2" x14ac:dyDescent="0.3"/>
  <cols>
    <col min="1" max="1" width="19.44140625" bestFit="1" customWidth="1"/>
    <col min="5" max="5" width="15.5546875" bestFit="1" customWidth="1"/>
    <col min="19" max="19" width="8.88671875" style="65"/>
    <col min="20" max="20" width="8.88671875" style="63"/>
    <col min="22" max="25" width="8.88671875" style="66"/>
  </cols>
  <sheetData>
    <row r="1" spans="1:22" x14ac:dyDescent="0.3">
      <c r="A1" s="55" t="s">
        <v>309</v>
      </c>
      <c r="R1" s="61"/>
      <c r="S1" s="64"/>
      <c r="T1" s="62" t="s">
        <v>309</v>
      </c>
      <c r="U1" s="61"/>
      <c r="V1" s="64"/>
    </row>
    <row r="2" spans="1:22" x14ac:dyDescent="0.3">
      <c r="A2" s="52" t="s">
        <v>297</v>
      </c>
      <c r="R2" s="61"/>
      <c r="S2" s="64"/>
      <c r="T2" s="62" t="s">
        <v>297</v>
      </c>
      <c r="U2" s="61"/>
      <c r="V2" s="64"/>
    </row>
    <row r="3" spans="1:22" x14ac:dyDescent="0.3">
      <c r="A3" s="52" t="s">
        <v>298</v>
      </c>
      <c r="R3" s="61"/>
      <c r="S3" s="64"/>
      <c r="T3" s="62" t="s">
        <v>298</v>
      </c>
      <c r="U3" s="61"/>
      <c r="V3" s="64"/>
    </row>
    <row r="4" spans="1:22" ht="19.8" x14ac:dyDescent="0.3">
      <c r="A4" s="52" t="s">
        <v>298</v>
      </c>
      <c r="E4" s="67" t="s">
        <v>1063</v>
      </c>
      <c r="F4" s="68">
        <v>45412.676458333335</v>
      </c>
      <c r="G4" s="69"/>
      <c r="H4" s="69"/>
      <c r="R4" s="61"/>
      <c r="S4" s="64"/>
      <c r="T4" s="62" t="s">
        <v>298</v>
      </c>
      <c r="U4" s="61"/>
      <c r="V4" s="64"/>
    </row>
    <row r="5" spans="1:22" x14ac:dyDescent="0.3">
      <c r="A5" s="52" t="s">
        <v>299</v>
      </c>
      <c r="R5" s="61"/>
      <c r="S5" s="64"/>
      <c r="T5" s="62" t="s">
        <v>299</v>
      </c>
      <c r="U5" s="61"/>
      <c r="V5" s="64"/>
    </row>
    <row r="6" spans="1:22" x14ac:dyDescent="0.3">
      <c r="A6" s="52" t="s">
        <v>300</v>
      </c>
      <c r="R6" s="61"/>
      <c r="S6" s="64"/>
      <c r="T6" s="62" t="s">
        <v>300</v>
      </c>
      <c r="U6" s="61"/>
      <c r="V6" s="64"/>
    </row>
    <row r="7" spans="1:22" x14ac:dyDescent="0.3">
      <c r="A7" s="52" t="s">
        <v>301</v>
      </c>
      <c r="R7" s="61"/>
      <c r="S7" s="64"/>
      <c r="T7" s="62" t="s">
        <v>301</v>
      </c>
      <c r="U7" s="61"/>
      <c r="V7" s="64"/>
    </row>
    <row r="8" spans="1:22" x14ac:dyDescent="0.3">
      <c r="A8" s="52" t="s">
        <v>302</v>
      </c>
      <c r="R8" s="61"/>
      <c r="S8" s="64"/>
      <c r="T8" s="62" t="s">
        <v>302</v>
      </c>
      <c r="U8" s="61"/>
      <c r="V8" s="64"/>
    </row>
    <row r="9" spans="1:22" x14ac:dyDescent="0.3">
      <c r="A9" s="52" t="s">
        <v>303</v>
      </c>
      <c r="R9" s="61"/>
      <c r="S9" s="64"/>
      <c r="T9" s="62" t="s">
        <v>303</v>
      </c>
      <c r="U9" s="61"/>
      <c r="V9" s="64"/>
    </row>
    <row r="10" spans="1:22" x14ac:dyDescent="0.3">
      <c r="A10" s="52" t="s">
        <v>304</v>
      </c>
      <c r="R10" s="61"/>
      <c r="S10" s="64"/>
      <c r="T10" s="62" t="s">
        <v>304</v>
      </c>
      <c r="U10" s="61"/>
      <c r="V10" s="64"/>
    </row>
    <row r="11" spans="1:22" x14ac:dyDescent="0.3">
      <c r="A11" s="52" t="s">
        <v>291</v>
      </c>
      <c r="R11" s="61"/>
      <c r="S11" s="64"/>
      <c r="T11" s="62" t="s">
        <v>291</v>
      </c>
      <c r="U11" s="61"/>
      <c r="V11" s="64"/>
    </row>
    <row r="12" spans="1:22" x14ac:dyDescent="0.3">
      <c r="A12" s="52" t="s">
        <v>305</v>
      </c>
      <c r="R12" s="61"/>
      <c r="S12" s="64"/>
      <c r="T12" s="62" t="s">
        <v>305</v>
      </c>
      <c r="U12" s="61"/>
      <c r="V12" s="64"/>
    </row>
    <row r="13" spans="1:22" x14ac:dyDescent="0.3">
      <c r="A13" s="52" t="s">
        <v>306</v>
      </c>
      <c r="R13" s="61"/>
      <c r="S13" s="64"/>
      <c r="T13" s="62" t="s">
        <v>306</v>
      </c>
      <c r="U13" s="61"/>
      <c r="V13" s="64"/>
    </row>
    <row r="14" spans="1:22" x14ac:dyDescent="0.3">
      <c r="A14" s="52" t="s">
        <v>307</v>
      </c>
      <c r="R14" s="61"/>
      <c r="S14" s="64"/>
      <c r="T14" s="62" t="s">
        <v>307</v>
      </c>
      <c r="U14" s="61"/>
      <c r="V14" s="64"/>
    </row>
    <row r="15" spans="1:22" x14ac:dyDescent="0.3">
      <c r="A15" s="52" t="s">
        <v>308</v>
      </c>
      <c r="R15" s="61"/>
      <c r="S15" s="64"/>
      <c r="T15" s="62" t="s">
        <v>308</v>
      </c>
      <c r="U15" s="61"/>
      <c r="V15" s="64"/>
    </row>
    <row r="16" spans="1:22" x14ac:dyDescent="0.3">
      <c r="A16" t="s">
        <v>396</v>
      </c>
      <c r="R16" s="61"/>
      <c r="S16" s="64"/>
      <c r="T16" s="62" t="s">
        <v>396</v>
      </c>
      <c r="U16" s="61"/>
      <c r="V16" s="64"/>
    </row>
    <row r="17" spans="1:22" x14ac:dyDescent="0.3">
      <c r="A17" t="s">
        <v>397</v>
      </c>
      <c r="R17" s="61"/>
      <c r="S17" s="64"/>
      <c r="T17" s="62" t="s">
        <v>397</v>
      </c>
      <c r="U17" s="61"/>
      <c r="V17" s="64"/>
    </row>
    <row r="18" spans="1:22" x14ac:dyDescent="0.3">
      <c r="A18" t="s">
        <v>398</v>
      </c>
      <c r="R18" s="61"/>
      <c r="S18" s="64"/>
      <c r="T18" s="62" t="s">
        <v>398</v>
      </c>
      <c r="U18" s="61"/>
      <c r="V18" s="64"/>
    </row>
    <row r="19" spans="1:22" x14ac:dyDescent="0.3">
      <c r="A19" t="s">
        <v>399</v>
      </c>
      <c r="R19" s="61"/>
      <c r="S19" s="64"/>
      <c r="T19" s="62" t="s">
        <v>399</v>
      </c>
      <c r="U19" s="61"/>
      <c r="V19" s="64"/>
    </row>
    <row r="20" spans="1:22" x14ac:dyDescent="0.3">
      <c r="A20" t="s">
        <v>400</v>
      </c>
      <c r="R20" s="61"/>
      <c r="S20" s="64"/>
      <c r="T20" s="62" t="s">
        <v>400</v>
      </c>
      <c r="U20" s="61"/>
      <c r="V20" s="64"/>
    </row>
    <row r="21" spans="1:22" x14ac:dyDescent="0.3">
      <c r="A21" t="s">
        <v>401</v>
      </c>
      <c r="R21" s="61"/>
      <c r="S21" s="64"/>
      <c r="T21" s="62" t="s">
        <v>401</v>
      </c>
      <c r="U21" s="61"/>
      <c r="V21" s="64"/>
    </row>
    <row r="22" spans="1:22" x14ac:dyDescent="0.3">
      <c r="A22" t="s">
        <v>402</v>
      </c>
      <c r="R22" s="61"/>
      <c r="S22" s="64"/>
      <c r="T22" s="62" t="s">
        <v>402</v>
      </c>
      <c r="U22" s="61"/>
      <c r="V22" s="64"/>
    </row>
    <row r="23" spans="1:22" x14ac:dyDescent="0.3">
      <c r="A23" t="s">
        <v>403</v>
      </c>
      <c r="T23" s="63" t="s">
        <v>403</v>
      </c>
      <c r="V23" s="64"/>
    </row>
    <row r="24" spans="1:22" x14ac:dyDescent="0.3">
      <c r="A24" t="s">
        <v>403</v>
      </c>
      <c r="T24" s="63" t="s">
        <v>403</v>
      </c>
      <c r="V24" s="64"/>
    </row>
    <row r="25" spans="1:22" x14ac:dyDescent="0.3">
      <c r="A25" t="s">
        <v>404</v>
      </c>
      <c r="T25" s="63" t="s">
        <v>404</v>
      </c>
      <c r="V25" s="64"/>
    </row>
    <row r="26" spans="1:22" x14ac:dyDescent="0.3">
      <c r="A26" t="s">
        <v>405</v>
      </c>
      <c r="T26" s="63" t="s">
        <v>405</v>
      </c>
      <c r="V26" s="64"/>
    </row>
    <row r="27" spans="1:22" x14ac:dyDescent="0.3">
      <c r="A27" t="s">
        <v>406</v>
      </c>
      <c r="T27" s="63" t="s">
        <v>406</v>
      </c>
      <c r="V27" s="64"/>
    </row>
    <row r="28" spans="1:22" x14ac:dyDescent="0.3">
      <c r="A28" t="s">
        <v>406</v>
      </c>
      <c r="T28" s="63" t="s">
        <v>406</v>
      </c>
      <c r="V28" s="64"/>
    </row>
    <row r="29" spans="1:22" x14ac:dyDescent="0.3">
      <c r="A29" t="s">
        <v>407</v>
      </c>
      <c r="T29" s="63" t="s">
        <v>407</v>
      </c>
      <c r="V29" s="64"/>
    </row>
    <row r="30" spans="1:22" x14ac:dyDescent="0.3">
      <c r="A30" t="s">
        <v>408</v>
      </c>
      <c r="T30" s="63" t="s">
        <v>408</v>
      </c>
      <c r="V30" s="64"/>
    </row>
    <row r="31" spans="1:22" x14ac:dyDescent="0.3">
      <c r="A31" t="s">
        <v>408</v>
      </c>
      <c r="T31" s="63" t="s">
        <v>408</v>
      </c>
      <c r="V31" s="64"/>
    </row>
    <row r="32" spans="1:22" x14ac:dyDescent="0.3">
      <c r="A32" t="s">
        <v>408</v>
      </c>
      <c r="T32" s="63" t="s">
        <v>408</v>
      </c>
      <c r="V32" s="64"/>
    </row>
    <row r="33" spans="1:22" x14ac:dyDescent="0.3">
      <c r="A33" t="s">
        <v>409</v>
      </c>
      <c r="T33" s="63" t="s">
        <v>409</v>
      </c>
      <c r="V33" s="64"/>
    </row>
    <row r="34" spans="1:22" x14ac:dyDescent="0.3">
      <c r="A34" t="s">
        <v>410</v>
      </c>
      <c r="T34" s="63" t="s">
        <v>410</v>
      </c>
      <c r="V34" s="64"/>
    </row>
    <row r="35" spans="1:22" x14ac:dyDescent="0.3">
      <c r="A35" t="s">
        <v>411</v>
      </c>
      <c r="T35" s="63" t="s">
        <v>411</v>
      </c>
      <c r="V35" s="64"/>
    </row>
    <row r="36" spans="1:22" x14ac:dyDescent="0.3">
      <c r="A36" t="s">
        <v>411</v>
      </c>
      <c r="T36" s="63" t="s">
        <v>411</v>
      </c>
      <c r="V36" s="64"/>
    </row>
    <row r="37" spans="1:22" x14ac:dyDescent="0.3">
      <c r="A37" t="s">
        <v>412</v>
      </c>
      <c r="T37" s="63" t="s">
        <v>412</v>
      </c>
      <c r="V37" s="64"/>
    </row>
    <row r="38" spans="1:22" x14ac:dyDescent="0.3">
      <c r="A38" t="s">
        <v>412</v>
      </c>
      <c r="T38" s="63" t="s">
        <v>412</v>
      </c>
      <c r="V38" s="64"/>
    </row>
    <row r="39" spans="1:22" x14ac:dyDescent="0.3">
      <c r="A39" t="s">
        <v>412</v>
      </c>
      <c r="T39" s="63" t="s">
        <v>412</v>
      </c>
      <c r="V39" s="64"/>
    </row>
    <row r="40" spans="1:22" x14ac:dyDescent="0.3">
      <c r="A40" t="s">
        <v>413</v>
      </c>
      <c r="T40" s="63" t="s">
        <v>413</v>
      </c>
      <c r="V40" s="64"/>
    </row>
    <row r="41" spans="1:22" x14ac:dyDescent="0.3">
      <c r="A41" t="s">
        <v>414</v>
      </c>
      <c r="T41" s="63" t="s">
        <v>414</v>
      </c>
      <c r="V41" s="64"/>
    </row>
    <row r="42" spans="1:22" x14ac:dyDescent="0.3">
      <c r="A42" t="s">
        <v>415</v>
      </c>
      <c r="T42" s="63" t="s">
        <v>415</v>
      </c>
      <c r="V42" s="64"/>
    </row>
    <row r="43" spans="1:22" x14ac:dyDescent="0.3">
      <c r="A43" t="s">
        <v>415</v>
      </c>
      <c r="T43" s="63" t="s">
        <v>415</v>
      </c>
      <c r="V43" s="64"/>
    </row>
    <row r="44" spans="1:22" x14ac:dyDescent="0.3">
      <c r="A44" t="s">
        <v>416</v>
      </c>
      <c r="T44" s="63" t="s">
        <v>416</v>
      </c>
      <c r="V44" s="64"/>
    </row>
    <row r="45" spans="1:22" x14ac:dyDescent="0.3">
      <c r="A45" t="s">
        <v>417</v>
      </c>
      <c r="T45" s="63" t="s">
        <v>417</v>
      </c>
      <c r="V45" s="64"/>
    </row>
    <row r="46" spans="1:22" x14ac:dyDescent="0.3">
      <c r="A46" t="s">
        <v>417</v>
      </c>
      <c r="T46" s="63" t="s">
        <v>417</v>
      </c>
      <c r="V46" s="64"/>
    </row>
    <row r="47" spans="1:22" x14ac:dyDescent="0.3">
      <c r="A47" t="s">
        <v>418</v>
      </c>
      <c r="T47" s="63" t="s">
        <v>418</v>
      </c>
      <c r="V47" s="64"/>
    </row>
    <row r="48" spans="1:22" x14ac:dyDescent="0.3">
      <c r="A48" t="s">
        <v>418</v>
      </c>
      <c r="T48" s="63" t="s">
        <v>418</v>
      </c>
      <c r="V48" s="64"/>
    </row>
    <row r="49" spans="1:22" x14ac:dyDescent="0.3">
      <c r="A49" t="s">
        <v>419</v>
      </c>
      <c r="T49" s="63" t="s">
        <v>419</v>
      </c>
      <c r="V49" s="64"/>
    </row>
    <row r="50" spans="1:22" x14ac:dyDescent="0.3">
      <c r="A50" t="s">
        <v>420</v>
      </c>
      <c r="T50" s="63" t="s">
        <v>420</v>
      </c>
      <c r="V50" s="64"/>
    </row>
    <row r="51" spans="1:22" x14ac:dyDescent="0.3">
      <c r="A51" t="s">
        <v>421</v>
      </c>
      <c r="T51" s="63" t="s">
        <v>421</v>
      </c>
      <c r="V51" s="64"/>
    </row>
    <row r="52" spans="1:22" x14ac:dyDescent="0.3">
      <c r="A52" t="s">
        <v>422</v>
      </c>
      <c r="T52" s="63" t="s">
        <v>422</v>
      </c>
      <c r="V52" s="64"/>
    </row>
    <row r="53" spans="1:22" x14ac:dyDescent="0.3">
      <c r="A53" t="s">
        <v>423</v>
      </c>
      <c r="T53" s="63" t="s">
        <v>423</v>
      </c>
      <c r="V53" s="64"/>
    </row>
    <row r="54" spans="1:22" x14ac:dyDescent="0.3">
      <c r="A54" t="s">
        <v>424</v>
      </c>
      <c r="T54" s="63" t="s">
        <v>424</v>
      </c>
      <c r="V54" s="64"/>
    </row>
    <row r="55" spans="1:22" x14ac:dyDescent="0.3">
      <c r="A55" t="s">
        <v>425</v>
      </c>
      <c r="T55" s="63" t="s">
        <v>425</v>
      </c>
      <c r="V55" s="64"/>
    </row>
    <row r="56" spans="1:22" x14ac:dyDescent="0.3">
      <c r="A56" t="s">
        <v>426</v>
      </c>
      <c r="T56" s="63" t="s">
        <v>426</v>
      </c>
      <c r="V56" s="64"/>
    </row>
    <row r="57" spans="1:22" x14ac:dyDescent="0.3">
      <c r="A57" t="s">
        <v>427</v>
      </c>
      <c r="T57" s="63" t="s">
        <v>427</v>
      </c>
      <c r="V57" s="64"/>
    </row>
    <row r="58" spans="1:22" x14ac:dyDescent="0.3">
      <c r="A58" t="s">
        <v>428</v>
      </c>
      <c r="T58" s="63" t="s">
        <v>428</v>
      </c>
      <c r="V58" s="64"/>
    </row>
    <row r="59" spans="1:22" x14ac:dyDescent="0.3">
      <c r="A59" t="s">
        <v>429</v>
      </c>
      <c r="T59" s="63" t="s">
        <v>429</v>
      </c>
      <c r="V59" s="64"/>
    </row>
    <row r="60" spans="1:22" x14ac:dyDescent="0.3">
      <c r="A60" t="s">
        <v>430</v>
      </c>
      <c r="T60" s="63" t="s">
        <v>430</v>
      </c>
      <c r="V60" s="64"/>
    </row>
    <row r="61" spans="1:22" x14ac:dyDescent="0.3">
      <c r="A61" t="s">
        <v>431</v>
      </c>
      <c r="T61" s="63" t="s">
        <v>431</v>
      </c>
      <c r="V61" s="64"/>
    </row>
    <row r="62" spans="1:22" x14ac:dyDescent="0.3">
      <c r="A62" t="s">
        <v>432</v>
      </c>
      <c r="T62" s="63" t="s">
        <v>432</v>
      </c>
      <c r="V62" s="64"/>
    </row>
    <row r="63" spans="1:22" x14ac:dyDescent="0.3">
      <c r="A63" t="s">
        <v>433</v>
      </c>
      <c r="T63" s="63" t="s">
        <v>433</v>
      </c>
      <c r="V63" s="64"/>
    </row>
    <row r="64" spans="1:22" x14ac:dyDescent="0.3">
      <c r="A64" t="s">
        <v>434</v>
      </c>
      <c r="T64" s="63" t="s">
        <v>434</v>
      </c>
      <c r="V64" s="64"/>
    </row>
    <row r="65" spans="1:22" x14ac:dyDescent="0.3">
      <c r="A65" t="s">
        <v>435</v>
      </c>
      <c r="T65" s="63" t="s">
        <v>435</v>
      </c>
      <c r="V65" s="64"/>
    </row>
    <row r="66" spans="1:22" x14ac:dyDescent="0.3">
      <c r="A66" t="s">
        <v>436</v>
      </c>
      <c r="T66" s="63" t="s">
        <v>436</v>
      </c>
      <c r="V66" s="64"/>
    </row>
    <row r="67" spans="1:22" x14ac:dyDescent="0.3">
      <c r="A67" t="s">
        <v>437</v>
      </c>
      <c r="T67" s="63" t="s">
        <v>437</v>
      </c>
      <c r="V67" s="64"/>
    </row>
    <row r="68" spans="1:22" x14ac:dyDescent="0.3">
      <c r="A68" t="s">
        <v>438</v>
      </c>
      <c r="T68" s="63" t="s">
        <v>438</v>
      </c>
      <c r="V68" s="64"/>
    </row>
    <row r="69" spans="1:22" x14ac:dyDescent="0.3">
      <c r="A69" t="s">
        <v>439</v>
      </c>
      <c r="T69" s="63" t="s">
        <v>439</v>
      </c>
      <c r="V69" s="64"/>
    </row>
    <row r="70" spans="1:22" x14ac:dyDescent="0.3">
      <c r="A70" t="s">
        <v>439</v>
      </c>
      <c r="T70" s="63" t="s">
        <v>439</v>
      </c>
      <c r="V70" s="64"/>
    </row>
    <row r="71" spans="1:22" x14ac:dyDescent="0.3">
      <c r="A71" t="s">
        <v>440</v>
      </c>
      <c r="T71" s="63" t="s">
        <v>440</v>
      </c>
      <c r="V71" s="64"/>
    </row>
    <row r="72" spans="1:22" x14ac:dyDescent="0.3">
      <c r="A72" t="s">
        <v>441</v>
      </c>
      <c r="T72" s="63" t="s">
        <v>441</v>
      </c>
      <c r="V72" s="64"/>
    </row>
    <row r="73" spans="1:22" x14ac:dyDescent="0.3">
      <c r="A73" t="s">
        <v>442</v>
      </c>
      <c r="T73" s="63" t="s">
        <v>442</v>
      </c>
      <c r="V73" s="64"/>
    </row>
    <row r="74" spans="1:22" x14ac:dyDescent="0.3">
      <c r="A74" t="s">
        <v>443</v>
      </c>
      <c r="T74" s="63" t="s">
        <v>443</v>
      </c>
      <c r="V74" s="64"/>
    </row>
    <row r="75" spans="1:22" x14ac:dyDescent="0.3">
      <c r="A75" t="s">
        <v>444</v>
      </c>
      <c r="T75" s="63" t="s">
        <v>444</v>
      </c>
      <c r="V75" s="64"/>
    </row>
    <row r="76" spans="1:22" x14ac:dyDescent="0.3">
      <c r="A76" t="s">
        <v>445</v>
      </c>
      <c r="T76" s="63" t="s">
        <v>445</v>
      </c>
      <c r="V76" s="64"/>
    </row>
    <row r="77" spans="1:22" x14ac:dyDescent="0.3">
      <c r="A77" t="s">
        <v>446</v>
      </c>
      <c r="T77" s="63" t="s">
        <v>446</v>
      </c>
      <c r="V77" s="64"/>
    </row>
    <row r="78" spans="1:22" x14ac:dyDescent="0.3">
      <c r="A78" t="s">
        <v>447</v>
      </c>
      <c r="T78" s="63" t="s">
        <v>447</v>
      </c>
      <c r="V78" s="64"/>
    </row>
    <row r="79" spans="1:22" x14ac:dyDescent="0.3">
      <c r="A79" t="s">
        <v>448</v>
      </c>
      <c r="T79" s="63" t="s">
        <v>448</v>
      </c>
      <c r="V79" s="64"/>
    </row>
    <row r="80" spans="1:22" x14ac:dyDescent="0.3">
      <c r="A80" t="s">
        <v>449</v>
      </c>
      <c r="T80" s="63" t="s">
        <v>449</v>
      </c>
      <c r="V80" s="64"/>
    </row>
    <row r="81" spans="1:22" x14ac:dyDescent="0.3">
      <c r="A81" t="s">
        <v>450</v>
      </c>
      <c r="T81" s="63" t="s">
        <v>450</v>
      </c>
      <c r="V81" s="64"/>
    </row>
    <row r="82" spans="1:22" x14ac:dyDescent="0.3">
      <c r="A82" t="s">
        <v>451</v>
      </c>
      <c r="T82" s="63" t="s">
        <v>451</v>
      </c>
      <c r="V82" s="64"/>
    </row>
    <row r="83" spans="1:22" x14ac:dyDescent="0.3">
      <c r="A83" t="s">
        <v>451</v>
      </c>
      <c r="T83" s="63" t="s">
        <v>451</v>
      </c>
      <c r="V83" s="64"/>
    </row>
    <row r="84" spans="1:22" x14ac:dyDescent="0.3">
      <c r="A84" t="s">
        <v>451</v>
      </c>
      <c r="T84" s="63" t="s">
        <v>451</v>
      </c>
      <c r="V84" s="64"/>
    </row>
    <row r="85" spans="1:22" x14ac:dyDescent="0.3">
      <c r="A85" t="s">
        <v>452</v>
      </c>
      <c r="T85" s="63" t="s">
        <v>452</v>
      </c>
      <c r="V85" s="64"/>
    </row>
    <row r="86" spans="1:22" x14ac:dyDescent="0.3">
      <c r="A86" t="s">
        <v>453</v>
      </c>
      <c r="T86" s="63" t="s">
        <v>453</v>
      </c>
      <c r="V86" s="64"/>
    </row>
    <row r="87" spans="1:22" x14ac:dyDescent="0.3">
      <c r="A87" t="s">
        <v>454</v>
      </c>
      <c r="T87" s="63" t="s">
        <v>454</v>
      </c>
      <c r="V87" s="64"/>
    </row>
    <row r="88" spans="1:22" x14ac:dyDescent="0.3">
      <c r="A88" t="s">
        <v>455</v>
      </c>
      <c r="T88" s="63" t="s">
        <v>455</v>
      </c>
      <c r="V88" s="64"/>
    </row>
    <row r="89" spans="1:22" x14ac:dyDescent="0.3">
      <c r="A89" t="s">
        <v>456</v>
      </c>
      <c r="T89" s="63" t="s">
        <v>456</v>
      </c>
      <c r="V89" s="64"/>
    </row>
    <row r="90" spans="1:22" x14ac:dyDescent="0.3">
      <c r="A90" t="s">
        <v>457</v>
      </c>
      <c r="T90" s="63" t="s">
        <v>457</v>
      </c>
      <c r="V90" s="64"/>
    </row>
    <row r="91" spans="1:22" x14ac:dyDescent="0.3">
      <c r="A91" t="s">
        <v>458</v>
      </c>
      <c r="T91" s="63" t="s">
        <v>458</v>
      </c>
      <c r="V91" s="64"/>
    </row>
    <row r="92" spans="1:22" x14ac:dyDescent="0.3">
      <c r="A92" t="s">
        <v>459</v>
      </c>
      <c r="T92" s="63" t="s">
        <v>459</v>
      </c>
      <c r="V92" s="64"/>
    </row>
    <row r="93" spans="1:22" x14ac:dyDescent="0.3">
      <c r="A93" t="s">
        <v>460</v>
      </c>
      <c r="T93" s="63" t="s">
        <v>460</v>
      </c>
      <c r="V93" s="64"/>
    </row>
    <row r="94" spans="1:22" x14ac:dyDescent="0.3">
      <c r="A94" t="s">
        <v>461</v>
      </c>
      <c r="T94" s="63" t="s">
        <v>461</v>
      </c>
      <c r="V94" s="64"/>
    </row>
    <row r="95" spans="1:22" x14ac:dyDescent="0.3">
      <c r="A95" t="s">
        <v>462</v>
      </c>
      <c r="T95" s="63" t="s">
        <v>462</v>
      </c>
      <c r="V95" s="64"/>
    </row>
    <row r="96" spans="1:22" x14ac:dyDescent="0.3">
      <c r="A96" t="s">
        <v>463</v>
      </c>
      <c r="T96" s="63" t="s">
        <v>463</v>
      </c>
      <c r="V96" s="64"/>
    </row>
    <row r="97" spans="1:22" x14ac:dyDescent="0.3">
      <c r="A97" t="s">
        <v>464</v>
      </c>
      <c r="T97" s="63" t="s">
        <v>464</v>
      </c>
      <c r="V97" s="64"/>
    </row>
    <row r="98" spans="1:22" x14ac:dyDescent="0.3">
      <c r="A98" t="s">
        <v>465</v>
      </c>
      <c r="T98" s="63" t="s">
        <v>465</v>
      </c>
      <c r="V98" s="64"/>
    </row>
    <row r="99" spans="1:22" x14ac:dyDescent="0.3">
      <c r="A99" t="s">
        <v>466</v>
      </c>
      <c r="T99" s="63" t="s">
        <v>466</v>
      </c>
      <c r="V99" s="64"/>
    </row>
    <row r="100" spans="1:22" x14ac:dyDescent="0.3">
      <c r="A100" t="s">
        <v>467</v>
      </c>
      <c r="T100" s="63" t="s">
        <v>467</v>
      </c>
      <c r="V100" s="64"/>
    </row>
    <row r="101" spans="1:22" x14ac:dyDescent="0.3">
      <c r="A101" t="s">
        <v>467</v>
      </c>
      <c r="T101" s="63" t="s">
        <v>467</v>
      </c>
      <c r="V101" s="64"/>
    </row>
    <row r="102" spans="1:22" x14ac:dyDescent="0.3">
      <c r="A102" t="s">
        <v>468</v>
      </c>
      <c r="T102" s="63" t="s">
        <v>468</v>
      </c>
      <c r="V102" s="64"/>
    </row>
    <row r="103" spans="1:22" x14ac:dyDescent="0.3">
      <c r="A103" t="s">
        <v>469</v>
      </c>
      <c r="T103" s="63" t="s">
        <v>469</v>
      </c>
      <c r="V103" s="64"/>
    </row>
    <row r="104" spans="1:22" x14ac:dyDescent="0.3">
      <c r="A104" t="s">
        <v>470</v>
      </c>
      <c r="T104" s="63" t="s">
        <v>470</v>
      </c>
      <c r="V104" s="64"/>
    </row>
    <row r="105" spans="1:22" x14ac:dyDescent="0.3">
      <c r="A105" t="s">
        <v>471</v>
      </c>
      <c r="T105" s="63" t="s">
        <v>471</v>
      </c>
      <c r="V105" s="64"/>
    </row>
    <row r="106" spans="1:22" x14ac:dyDescent="0.3">
      <c r="A106" t="s">
        <v>472</v>
      </c>
      <c r="T106" s="63" t="s">
        <v>472</v>
      </c>
      <c r="V106" s="64"/>
    </row>
    <row r="107" spans="1:22" x14ac:dyDescent="0.3">
      <c r="A107" t="s">
        <v>472</v>
      </c>
      <c r="T107" s="63" t="s">
        <v>472</v>
      </c>
      <c r="V107" s="64"/>
    </row>
    <row r="108" spans="1:22" x14ac:dyDescent="0.3">
      <c r="A108" t="s">
        <v>473</v>
      </c>
      <c r="T108" s="63" t="s">
        <v>473</v>
      </c>
      <c r="V108" s="64"/>
    </row>
    <row r="109" spans="1:22" x14ac:dyDescent="0.3">
      <c r="A109" t="s">
        <v>474</v>
      </c>
      <c r="T109" s="63" t="s">
        <v>474</v>
      </c>
      <c r="V109" s="64"/>
    </row>
    <row r="110" spans="1:22" x14ac:dyDescent="0.3">
      <c r="A110" t="s">
        <v>475</v>
      </c>
      <c r="T110" s="63" t="s">
        <v>475</v>
      </c>
      <c r="V110" s="64"/>
    </row>
    <row r="111" spans="1:22" x14ac:dyDescent="0.3">
      <c r="A111" t="s">
        <v>476</v>
      </c>
      <c r="T111" s="63" t="s">
        <v>476</v>
      </c>
      <c r="V111" s="64"/>
    </row>
    <row r="112" spans="1:22" x14ac:dyDescent="0.3">
      <c r="A112" t="s">
        <v>477</v>
      </c>
      <c r="T112" s="63" t="s">
        <v>477</v>
      </c>
      <c r="V112" s="64"/>
    </row>
    <row r="113" spans="1:22" x14ac:dyDescent="0.3">
      <c r="A113" t="s">
        <v>478</v>
      </c>
      <c r="T113" s="63" t="s">
        <v>478</v>
      </c>
      <c r="V113" s="64"/>
    </row>
    <row r="114" spans="1:22" x14ac:dyDescent="0.3">
      <c r="A114" t="s">
        <v>479</v>
      </c>
      <c r="T114" s="63" t="s">
        <v>479</v>
      </c>
      <c r="V114" s="64"/>
    </row>
    <row r="115" spans="1:22" x14ac:dyDescent="0.3">
      <c r="A115" t="s">
        <v>479</v>
      </c>
      <c r="T115" s="63" t="s">
        <v>479</v>
      </c>
      <c r="V115" s="64"/>
    </row>
    <row r="116" spans="1:22" x14ac:dyDescent="0.3">
      <c r="A116" t="s">
        <v>480</v>
      </c>
      <c r="T116" s="63" t="s">
        <v>480</v>
      </c>
      <c r="V116" s="64"/>
    </row>
    <row r="117" spans="1:22" x14ac:dyDescent="0.3">
      <c r="A117" t="s">
        <v>481</v>
      </c>
      <c r="T117" s="63" t="s">
        <v>481</v>
      </c>
      <c r="V117" s="64"/>
    </row>
    <row r="118" spans="1:22" x14ac:dyDescent="0.3">
      <c r="A118" t="s">
        <v>482</v>
      </c>
      <c r="T118" s="63" t="s">
        <v>482</v>
      </c>
      <c r="V118" s="64"/>
    </row>
    <row r="119" spans="1:22" x14ac:dyDescent="0.3">
      <c r="A119" t="s">
        <v>483</v>
      </c>
      <c r="T119" s="63" t="s">
        <v>483</v>
      </c>
      <c r="V119" s="64"/>
    </row>
    <row r="120" spans="1:22" x14ac:dyDescent="0.3">
      <c r="A120" t="s">
        <v>484</v>
      </c>
      <c r="T120" s="63" t="s">
        <v>484</v>
      </c>
      <c r="V120" s="64"/>
    </row>
    <row r="121" spans="1:22" x14ac:dyDescent="0.3">
      <c r="A121" t="s">
        <v>485</v>
      </c>
      <c r="T121" s="63" t="s">
        <v>485</v>
      </c>
      <c r="V121" s="64"/>
    </row>
    <row r="122" spans="1:22" x14ac:dyDescent="0.3">
      <c r="A122" t="s">
        <v>485</v>
      </c>
      <c r="T122" s="63" t="s">
        <v>485</v>
      </c>
      <c r="V122" s="64"/>
    </row>
    <row r="123" spans="1:22" x14ac:dyDescent="0.3">
      <c r="A123" t="s">
        <v>485</v>
      </c>
      <c r="T123" s="63" t="s">
        <v>485</v>
      </c>
      <c r="V123" s="64"/>
    </row>
    <row r="124" spans="1:22" x14ac:dyDescent="0.3">
      <c r="A124" t="s">
        <v>485</v>
      </c>
      <c r="T124" s="63" t="s">
        <v>485</v>
      </c>
      <c r="V124" s="64"/>
    </row>
    <row r="125" spans="1:22" x14ac:dyDescent="0.3">
      <c r="A125" t="s">
        <v>486</v>
      </c>
      <c r="T125" s="63" t="s">
        <v>486</v>
      </c>
      <c r="V125" s="64"/>
    </row>
    <row r="126" spans="1:22" x14ac:dyDescent="0.3">
      <c r="A126" t="s">
        <v>486</v>
      </c>
      <c r="T126" s="63" t="s">
        <v>486</v>
      </c>
      <c r="V126" s="64"/>
    </row>
    <row r="127" spans="1:22" x14ac:dyDescent="0.3">
      <c r="A127" t="s">
        <v>486</v>
      </c>
      <c r="T127" s="63" t="s">
        <v>486</v>
      </c>
      <c r="V127" s="64"/>
    </row>
    <row r="128" spans="1:22" x14ac:dyDescent="0.3">
      <c r="A128" t="s">
        <v>486</v>
      </c>
      <c r="T128" s="63" t="s">
        <v>486</v>
      </c>
      <c r="V128" s="64"/>
    </row>
    <row r="129" spans="1:22" x14ac:dyDescent="0.3">
      <c r="A129" t="s">
        <v>486</v>
      </c>
      <c r="T129" s="63" t="s">
        <v>486</v>
      </c>
      <c r="V129" s="64"/>
    </row>
    <row r="130" spans="1:22" x14ac:dyDescent="0.3">
      <c r="A130" t="s">
        <v>486</v>
      </c>
      <c r="T130" s="63" t="s">
        <v>486</v>
      </c>
      <c r="V130" s="64"/>
    </row>
    <row r="131" spans="1:22" x14ac:dyDescent="0.3">
      <c r="A131" t="s">
        <v>486</v>
      </c>
      <c r="T131" s="63" t="s">
        <v>486</v>
      </c>
      <c r="V131" s="64"/>
    </row>
    <row r="132" spans="1:22" x14ac:dyDescent="0.3">
      <c r="A132" t="s">
        <v>487</v>
      </c>
      <c r="T132" s="63" t="s">
        <v>487</v>
      </c>
      <c r="V132" s="64"/>
    </row>
    <row r="133" spans="1:22" x14ac:dyDescent="0.3">
      <c r="A133" t="s">
        <v>488</v>
      </c>
      <c r="T133" s="63" t="s">
        <v>488</v>
      </c>
      <c r="V133" s="64"/>
    </row>
    <row r="134" spans="1:22" x14ac:dyDescent="0.3">
      <c r="A134" t="s">
        <v>488</v>
      </c>
      <c r="T134" s="63" t="s">
        <v>488</v>
      </c>
      <c r="V134" s="64"/>
    </row>
    <row r="135" spans="1:22" x14ac:dyDescent="0.3">
      <c r="A135" t="s">
        <v>489</v>
      </c>
      <c r="T135" s="63" t="s">
        <v>489</v>
      </c>
      <c r="V135" s="64"/>
    </row>
    <row r="136" spans="1:22" x14ac:dyDescent="0.3">
      <c r="A136" t="s">
        <v>489</v>
      </c>
      <c r="T136" s="63" t="s">
        <v>489</v>
      </c>
      <c r="V136" s="64"/>
    </row>
    <row r="137" spans="1:22" x14ac:dyDescent="0.3">
      <c r="A137" t="s">
        <v>489</v>
      </c>
      <c r="T137" s="63" t="s">
        <v>489</v>
      </c>
      <c r="V137" s="64"/>
    </row>
    <row r="138" spans="1:22" x14ac:dyDescent="0.3">
      <c r="A138" t="s">
        <v>490</v>
      </c>
      <c r="T138" s="63" t="s">
        <v>490</v>
      </c>
      <c r="V138" s="64"/>
    </row>
    <row r="139" spans="1:22" x14ac:dyDescent="0.3">
      <c r="A139" t="s">
        <v>491</v>
      </c>
      <c r="T139" s="63" t="s">
        <v>491</v>
      </c>
      <c r="V139" s="64"/>
    </row>
    <row r="140" spans="1:22" x14ac:dyDescent="0.3">
      <c r="A140" t="s">
        <v>491</v>
      </c>
      <c r="T140" s="63" t="s">
        <v>491</v>
      </c>
      <c r="V140" s="64"/>
    </row>
    <row r="141" spans="1:22" x14ac:dyDescent="0.3">
      <c r="A141" t="s">
        <v>492</v>
      </c>
      <c r="T141" s="63" t="s">
        <v>492</v>
      </c>
      <c r="V141" s="64"/>
    </row>
    <row r="142" spans="1:22" x14ac:dyDescent="0.3">
      <c r="A142" t="s">
        <v>493</v>
      </c>
      <c r="T142" s="63" t="s">
        <v>493</v>
      </c>
      <c r="V142" s="64"/>
    </row>
    <row r="143" spans="1:22" x14ac:dyDescent="0.3">
      <c r="A143" t="s">
        <v>494</v>
      </c>
      <c r="T143" s="63" t="s">
        <v>494</v>
      </c>
      <c r="V143" s="64"/>
    </row>
    <row r="144" spans="1:22" x14ac:dyDescent="0.3">
      <c r="A144" t="s">
        <v>494</v>
      </c>
      <c r="T144" s="63" t="s">
        <v>494</v>
      </c>
      <c r="V144" s="64"/>
    </row>
    <row r="145" spans="1:22" x14ac:dyDescent="0.3">
      <c r="A145" t="s">
        <v>494</v>
      </c>
      <c r="T145" s="63" t="s">
        <v>494</v>
      </c>
      <c r="V145" s="64"/>
    </row>
    <row r="146" spans="1:22" x14ac:dyDescent="0.3">
      <c r="A146" t="s">
        <v>495</v>
      </c>
      <c r="T146" s="63" t="s">
        <v>495</v>
      </c>
      <c r="V146" s="64"/>
    </row>
    <row r="147" spans="1:22" x14ac:dyDescent="0.3">
      <c r="A147" t="s">
        <v>496</v>
      </c>
      <c r="T147" s="63" t="s">
        <v>496</v>
      </c>
      <c r="V147" s="64"/>
    </row>
    <row r="148" spans="1:22" x14ac:dyDescent="0.3">
      <c r="A148" t="s">
        <v>497</v>
      </c>
      <c r="T148" s="63" t="s">
        <v>497</v>
      </c>
      <c r="V148" s="64"/>
    </row>
    <row r="149" spans="1:22" x14ac:dyDescent="0.3">
      <c r="A149" t="s">
        <v>498</v>
      </c>
      <c r="T149" s="63" t="s">
        <v>498</v>
      </c>
      <c r="V149" s="64"/>
    </row>
    <row r="150" spans="1:22" x14ac:dyDescent="0.3">
      <c r="A150" t="s">
        <v>499</v>
      </c>
      <c r="T150" s="63" t="s">
        <v>499</v>
      </c>
      <c r="V150" s="64"/>
    </row>
    <row r="151" spans="1:22" x14ac:dyDescent="0.3">
      <c r="A151" t="s">
        <v>500</v>
      </c>
      <c r="T151" s="63" t="s">
        <v>500</v>
      </c>
      <c r="V151" s="64"/>
    </row>
    <row r="152" spans="1:22" x14ac:dyDescent="0.3">
      <c r="A152" t="s">
        <v>501</v>
      </c>
      <c r="T152" s="63" t="s">
        <v>501</v>
      </c>
      <c r="V152" s="64"/>
    </row>
    <row r="153" spans="1:22" x14ac:dyDescent="0.3">
      <c r="A153" t="s">
        <v>501</v>
      </c>
      <c r="T153" s="63" t="s">
        <v>501</v>
      </c>
      <c r="V153" s="64"/>
    </row>
    <row r="154" spans="1:22" x14ac:dyDescent="0.3">
      <c r="A154" t="s">
        <v>501</v>
      </c>
      <c r="T154" s="63" t="s">
        <v>501</v>
      </c>
      <c r="V154" s="64"/>
    </row>
    <row r="155" spans="1:22" x14ac:dyDescent="0.3">
      <c r="A155" t="s">
        <v>502</v>
      </c>
      <c r="T155" s="63" t="s">
        <v>502</v>
      </c>
      <c r="V155" s="64"/>
    </row>
    <row r="156" spans="1:22" x14ac:dyDescent="0.3">
      <c r="A156" t="s">
        <v>503</v>
      </c>
      <c r="T156" s="63" t="s">
        <v>503</v>
      </c>
      <c r="V156" s="64"/>
    </row>
    <row r="157" spans="1:22" x14ac:dyDescent="0.3">
      <c r="A157" t="s">
        <v>503</v>
      </c>
      <c r="T157" s="63" t="s">
        <v>503</v>
      </c>
      <c r="V157" s="64"/>
    </row>
    <row r="158" spans="1:22" x14ac:dyDescent="0.3">
      <c r="A158" t="s">
        <v>503</v>
      </c>
      <c r="T158" s="63" t="s">
        <v>503</v>
      </c>
      <c r="V158" s="64"/>
    </row>
    <row r="159" spans="1:22" x14ac:dyDescent="0.3">
      <c r="A159" t="s">
        <v>504</v>
      </c>
      <c r="T159" s="63" t="s">
        <v>504</v>
      </c>
      <c r="V159" s="64"/>
    </row>
    <row r="160" spans="1:22" x14ac:dyDescent="0.3">
      <c r="A160" t="s">
        <v>504</v>
      </c>
      <c r="T160" s="63" t="s">
        <v>504</v>
      </c>
      <c r="V160" s="64"/>
    </row>
    <row r="161" spans="1:22" x14ac:dyDescent="0.3">
      <c r="A161" t="s">
        <v>505</v>
      </c>
      <c r="T161" s="63" t="s">
        <v>505</v>
      </c>
      <c r="V161" s="64"/>
    </row>
    <row r="162" spans="1:22" x14ac:dyDescent="0.3">
      <c r="A162" t="s">
        <v>505</v>
      </c>
      <c r="T162" s="63" t="s">
        <v>505</v>
      </c>
      <c r="V162" s="64"/>
    </row>
    <row r="163" spans="1:22" x14ac:dyDescent="0.3">
      <c r="A163" t="s">
        <v>506</v>
      </c>
      <c r="T163" s="63" t="s">
        <v>506</v>
      </c>
      <c r="V163" s="64"/>
    </row>
    <row r="164" spans="1:22" x14ac:dyDescent="0.3">
      <c r="A164" t="s">
        <v>507</v>
      </c>
      <c r="T164" s="63" t="s">
        <v>507</v>
      </c>
      <c r="V164" s="64"/>
    </row>
    <row r="165" spans="1:22" x14ac:dyDescent="0.3">
      <c r="A165" t="s">
        <v>508</v>
      </c>
      <c r="T165" s="63" t="s">
        <v>508</v>
      </c>
      <c r="V165" s="64"/>
    </row>
    <row r="166" spans="1:22" x14ac:dyDescent="0.3">
      <c r="A166" t="s">
        <v>508</v>
      </c>
      <c r="T166" s="63" t="s">
        <v>508</v>
      </c>
      <c r="V166" s="64"/>
    </row>
    <row r="167" spans="1:22" x14ac:dyDescent="0.3">
      <c r="A167" t="s">
        <v>509</v>
      </c>
      <c r="T167" s="63" t="s">
        <v>509</v>
      </c>
      <c r="V167" s="64"/>
    </row>
    <row r="168" spans="1:22" x14ac:dyDescent="0.3">
      <c r="A168" t="s">
        <v>510</v>
      </c>
      <c r="T168" s="63" t="s">
        <v>510</v>
      </c>
      <c r="V168" s="64"/>
    </row>
    <row r="169" spans="1:22" x14ac:dyDescent="0.3">
      <c r="A169" t="s">
        <v>510</v>
      </c>
      <c r="T169" s="63" t="s">
        <v>510</v>
      </c>
      <c r="V169" s="64"/>
    </row>
    <row r="170" spans="1:22" x14ac:dyDescent="0.3">
      <c r="A170" t="s">
        <v>511</v>
      </c>
      <c r="T170" s="63" t="s">
        <v>511</v>
      </c>
      <c r="V170" s="64"/>
    </row>
    <row r="171" spans="1:22" x14ac:dyDescent="0.3">
      <c r="A171" t="s">
        <v>512</v>
      </c>
      <c r="T171" s="63" t="s">
        <v>512</v>
      </c>
      <c r="V171" s="64"/>
    </row>
    <row r="172" spans="1:22" x14ac:dyDescent="0.3">
      <c r="A172" t="s">
        <v>513</v>
      </c>
      <c r="T172" s="63" t="s">
        <v>513</v>
      </c>
      <c r="V172" s="64"/>
    </row>
    <row r="173" spans="1:22" x14ac:dyDescent="0.3">
      <c r="A173" t="s">
        <v>514</v>
      </c>
      <c r="T173" s="63" t="s">
        <v>514</v>
      </c>
      <c r="V173" s="64"/>
    </row>
    <row r="174" spans="1:22" x14ac:dyDescent="0.3">
      <c r="A174" t="s">
        <v>515</v>
      </c>
      <c r="T174" s="63" t="s">
        <v>515</v>
      </c>
      <c r="V174" s="64"/>
    </row>
    <row r="175" spans="1:22" x14ac:dyDescent="0.3">
      <c r="A175" t="s">
        <v>515</v>
      </c>
      <c r="T175" s="63" t="s">
        <v>515</v>
      </c>
      <c r="V175" s="64"/>
    </row>
    <row r="176" spans="1:22" x14ac:dyDescent="0.3">
      <c r="A176" t="s">
        <v>516</v>
      </c>
      <c r="T176" s="63" t="s">
        <v>516</v>
      </c>
      <c r="V176" s="64"/>
    </row>
    <row r="177" spans="1:22" x14ac:dyDescent="0.3">
      <c r="A177" t="s">
        <v>517</v>
      </c>
      <c r="T177" s="63" t="s">
        <v>517</v>
      </c>
      <c r="V177" s="64"/>
    </row>
    <row r="178" spans="1:22" x14ac:dyDescent="0.3">
      <c r="A178" t="s">
        <v>517</v>
      </c>
      <c r="T178" s="63" t="s">
        <v>517</v>
      </c>
      <c r="V178" s="64"/>
    </row>
    <row r="179" spans="1:22" x14ac:dyDescent="0.3">
      <c r="A179" t="s">
        <v>517</v>
      </c>
      <c r="T179" s="63" t="s">
        <v>517</v>
      </c>
      <c r="V179" s="64"/>
    </row>
    <row r="180" spans="1:22" x14ac:dyDescent="0.3">
      <c r="A180" t="s">
        <v>518</v>
      </c>
      <c r="T180" s="63" t="s">
        <v>518</v>
      </c>
      <c r="V180" s="64"/>
    </row>
    <row r="181" spans="1:22" x14ac:dyDescent="0.3">
      <c r="A181" t="s">
        <v>518</v>
      </c>
      <c r="T181" s="63" t="s">
        <v>518</v>
      </c>
      <c r="V181" s="64"/>
    </row>
    <row r="182" spans="1:22" x14ac:dyDescent="0.3">
      <c r="A182" t="s">
        <v>519</v>
      </c>
      <c r="T182" s="63" t="s">
        <v>519</v>
      </c>
      <c r="V182" s="64"/>
    </row>
    <row r="183" spans="1:22" x14ac:dyDescent="0.3">
      <c r="A183" t="s">
        <v>520</v>
      </c>
      <c r="T183" s="63" t="s">
        <v>520</v>
      </c>
      <c r="V183" s="64"/>
    </row>
    <row r="184" spans="1:22" x14ac:dyDescent="0.3">
      <c r="A184" t="s">
        <v>521</v>
      </c>
      <c r="T184" s="63" t="s">
        <v>521</v>
      </c>
      <c r="V184" s="64"/>
    </row>
    <row r="185" spans="1:22" x14ac:dyDescent="0.3">
      <c r="A185" t="s">
        <v>522</v>
      </c>
      <c r="T185" s="63" t="s">
        <v>522</v>
      </c>
      <c r="V185" s="64"/>
    </row>
    <row r="186" spans="1:22" x14ac:dyDescent="0.3">
      <c r="A186" t="s">
        <v>523</v>
      </c>
      <c r="T186" s="63" t="s">
        <v>523</v>
      </c>
      <c r="V186" s="64"/>
    </row>
    <row r="187" spans="1:22" x14ac:dyDescent="0.3">
      <c r="A187" t="s">
        <v>523</v>
      </c>
      <c r="T187" s="63" t="s">
        <v>523</v>
      </c>
      <c r="V187" s="64"/>
    </row>
    <row r="188" spans="1:22" x14ac:dyDescent="0.3">
      <c r="A188" t="s">
        <v>523</v>
      </c>
      <c r="T188" s="63" t="s">
        <v>523</v>
      </c>
      <c r="V188" s="64"/>
    </row>
    <row r="189" spans="1:22" x14ac:dyDescent="0.3">
      <c r="A189" t="s">
        <v>524</v>
      </c>
      <c r="T189" s="63" t="s">
        <v>524</v>
      </c>
      <c r="V189" s="64"/>
    </row>
    <row r="190" spans="1:22" x14ac:dyDescent="0.3">
      <c r="A190" t="s">
        <v>524</v>
      </c>
      <c r="T190" s="63" t="s">
        <v>524</v>
      </c>
      <c r="V190" s="64"/>
    </row>
    <row r="191" spans="1:22" x14ac:dyDescent="0.3">
      <c r="A191" t="s">
        <v>525</v>
      </c>
      <c r="T191" s="63" t="s">
        <v>525</v>
      </c>
      <c r="V191" s="64"/>
    </row>
    <row r="192" spans="1:22" x14ac:dyDescent="0.3">
      <c r="A192" t="s">
        <v>525</v>
      </c>
      <c r="T192" s="63" t="s">
        <v>525</v>
      </c>
      <c r="V192" s="64"/>
    </row>
    <row r="193" spans="1:22" x14ac:dyDescent="0.3">
      <c r="A193" t="s">
        <v>526</v>
      </c>
      <c r="T193" s="63" t="s">
        <v>526</v>
      </c>
      <c r="V193" s="64"/>
    </row>
    <row r="194" spans="1:22" x14ac:dyDescent="0.3">
      <c r="A194" t="s">
        <v>526</v>
      </c>
      <c r="T194" s="63" t="s">
        <v>526</v>
      </c>
      <c r="V194" s="64"/>
    </row>
    <row r="195" spans="1:22" x14ac:dyDescent="0.3">
      <c r="A195" t="s">
        <v>526</v>
      </c>
      <c r="T195" s="63" t="s">
        <v>526</v>
      </c>
      <c r="V195" s="64"/>
    </row>
    <row r="196" spans="1:22" x14ac:dyDescent="0.3">
      <c r="A196" t="s">
        <v>527</v>
      </c>
      <c r="T196" s="63" t="s">
        <v>527</v>
      </c>
      <c r="V196" s="64"/>
    </row>
    <row r="197" spans="1:22" x14ac:dyDescent="0.3">
      <c r="A197" t="s">
        <v>528</v>
      </c>
      <c r="T197" s="63" t="s">
        <v>528</v>
      </c>
      <c r="V197" s="64"/>
    </row>
    <row r="198" spans="1:22" x14ac:dyDescent="0.3">
      <c r="A198" t="s">
        <v>529</v>
      </c>
      <c r="T198" s="63" t="s">
        <v>529</v>
      </c>
      <c r="V198" s="64"/>
    </row>
    <row r="199" spans="1:22" x14ac:dyDescent="0.3">
      <c r="A199" t="s">
        <v>529</v>
      </c>
      <c r="T199" s="63" t="s">
        <v>529</v>
      </c>
      <c r="V199" s="64"/>
    </row>
    <row r="200" spans="1:22" x14ac:dyDescent="0.3">
      <c r="A200" t="s">
        <v>530</v>
      </c>
      <c r="T200" s="63" t="s">
        <v>530</v>
      </c>
      <c r="V200" s="64"/>
    </row>
    <row r="201" spans="1:22" x14ac:dyDescent="0.3">
      <c r="A201" t="s">
        <v>530</v>
      </c>
      <c r="T201" s="63" t="s">
        <v>530</v>
      </c>
      <c r="V201" s="64"/>
    </row>
    <row r="202" spans="1:22" x14ac:dyDescent="0.3">
      <c r="A202" t="s">
        <v>531</v>
      </c>
      <c r="T202" s="63" t="s">
        <v>531</v>
      </c>
      <c r="V202" s="64"/>
    </row>
    <row r="203" spans="1:22" x14ac:dyDescent="0.3">
      <c r="A203" t="s">
        <v>532</v>
      </c>
      <c r="T203" s="63" t="s">
        <v>532</v>
      </c>
      <c r="V203" s="64"/>
    </row>
    <row r="204" spans="1:22" x14ac:dyDescent="0.3">
      <c r="A204" t="s">
        <v>532</v>
      </c>
      <c r="T204" s="63" t="s">
        <v>532</v>
      </c>
      <c r="V204" s="64"/>
    </row>
    <row r="205" spans="1:22" x14ac:dyDescent="0.3">
      <c r="A205" t="s">
        <v>533</v>
      </c>
      <c r="T205" s="63" t="s">
        <v>533</v>
      </c>
      <c r="V205" s="64"/>
    </row>
    <row r="206" spans="1:22" x14ac:dyDescent="0.3">
      <c r="A206" t="s">
        <v>534</v>
      </c>
      <c r="T206" s="63" t="s">
        <v>534</v>
      </c>
      <c r="V206" s="64"/>
    </row>
    <row r="207" spans="1:22" x14ac:dyDescent="0.3">
      <c r="A207" t="s">
        <v>535</v>
      </c>
      <c r="T207" s="63" t="s">
        <v>535</v>
      </c>
      <c r="V207" s="64"/>
    </row>
    <row r="208" spans="1:22" x14ac:dyDescent="0.3">
      <c r="A208" t="s">
        <v>535</v>
      </c>
      <c r="T208" s="63" t="s">
        <v>535</v>
      </c>
      <c r="V208" s="64"/>
    </row>
    <row r="209" spans="1:22" x14ac:dyDescent="0.3">
      <c r="A209" t="s">
        <v>536</v>
      </c>
      <c r="T209" s="63" t="s">
        <v>536</v>
      </c>
      <c r="V209" s="64"/>
    </row>
    <row r="210" spans="1:22" x14ac:dyDescent="0.3">
      <c r="A210" t="s">
        <v>537</v>
      </c>
      <c r="T210" s="63" t="s">
        <v>537</v>
      </c>
      <c r="V210" s="64"/>
    </row>
    <row r="211" spans="1:22" x14ac:dyDescent="0.3">
      <c r="A211" t="s">
        <v>538</v>
      </c>
      <c r="T211" s="63" t="s">
        <v>538</v>
      </c>
      <c r="V211" s="64"/>
    </row>
    <row r="212" spans="1:22" x14ac:dyDescent="0.3">
      <c r="A212" t="s">
        <v>539</v>
      </c>
      <c r="T212" s="63" t="s">
        <v>539</v>
      </c>
      <c r="V212" s="64"/>
    </row>
    <row r="213" spans="1:22" x14ac:dyDescent="0.3">
      <c r="A213" t="s">
        <v>539</v>
      </c>
      <c r="T213" s="63" t="s">
        <v>539</v>
      </c>
      <c r="V213" s="64"/>
    </row>
    <row r="214" spans="1:22" x14ac:dyDescent="0.3">
      <c r="A214" t="s">
        <v>539</v>
      </c>
      <c r="T214" s="63" t="s">
        <v>539</v>
      </c>
      <c r="V214" s="64"/>
    </row>
    <row r="215" spans="1:22" x14ac:dyDescent="0.3">
      <c r="A215" t="s">
        <v>539</v>
      </c>
      <c r="T215" s="63" t="s">
        <v>539</v>
      </c>
      <c r="V215" s="64"/>
    </row>
    <row r="216" spans="1:22" x14ac:dyDescent="0.3">
      <c r="A216" t="s">
        <v>540</v>
      </c>
      <c r="T216" s="63" t="s">
        <v>540</v>
      </c>
      <c r="V216" s="64"/>
    </row>
    <row r="217" spans="1:22" x14ac:dyDescent="0.3">
      <c r="A217" t="s">
        <v>540</v>
      </c>
      <c r="T217" s="63" t="s">
        <v>540</v>
      </c>
      <c r="V217" s="64"/>
    </row>
    <row r="218" spans="1:22" x14ac:dyDescent="0.3">
      <c r="A218" t="s">
        <v>540</v>
      </c>
      <c r="T218" s="63" t="s">
        <v>540</v>
      </c>
      <c r="V218" s="64"/>
    </row>
    <row r="219" spans="1:22" x14ac:dyDescent="0.3">
      <c r="A219" t="s">
        <v>540</v>
      </c>
      <c r="T219" s="63" t="s">
        <v>540</v>
      </c>
      <c r="V219" s="64"/>
    </row>
    <row r="220" spans="1:22" x14ac:dyDescent="0.3">
      <c r="A220" t="s">
        <v>541</v>
      </c>
      <c r="T220" s="63" t="s">
        <v>541</v>
      </c>
      <c r="V220" s="64"/>
    </row>
    <row r="221" spans="1:22" x14ac:dyDescent="0.3">
      <c r="A221" t="s">
        <v>541</v>
      </c>
      <c r="T221" s="63" t="s">
        <v>541</v>
      </c>
      <c r="V221" s="64"/>
    </row>
    <row r="222" spans="1:22" x14ac:dyDescent="0.3">
      <c r="A222" t="s">
        <v>542</v>
      </c>
      <c r="T222" s="63" t="s">
        <v>542</v>
      </c>
      <c r="V222" s="64"/>
    </row>
    <row r="223" spans="1:22" x14ac:dyDescent="0.3">
      <c r="A223" t="s">
        <v>542</v>
      </c>
      <c r="T223" s="63" t="s">
        <v>542</v>
      </c>
      <c r="V223" s="64"/>
    </row>
    <row r="224" spans="1:22" x14ac:dyDescent="0.3">
      <c r="A224" t="s">
        <v>542</v>
      </c>
      <c r="T224" s="63" t="s">
        <v>542</v>
      </c>
      <c r="V224" s="64"/>
    </row>
    <row r="225" spans="1:22" x14ac:dyDescent="0.3">
      <c r="A225" t="s">
        <v>543</v>
      </c>
      <c r="T225" s="63" t="s">
        <v>543</v>
      </c>
      <c r="V225" s="64"/>
    </row>
    <row r="226" spans="1:22" x14ac:dyDescent="0.3">
      <c r="A226" t="s">
        <v>543</v>
      </c>
      <c r="T226" s="63" t="s">
        <v>543</v>
      </c>
      <c r="V226" s="64"/>
    </row>
    <row r="227" spans="1:22" x14ac:dyDescent="0.3">
      <c r="A227" t="s">
        <v>544</v>
      </c>
      <c r="T227" s="63" t="s">
        <v>544</v>
      </c>
      <c r="V227" s="64"/>
    </row>
    <row r="228" spans="1:22" x14ac:dyDescent="0.3">
      <c r="A228" t="s">
        <v>545</v>
      </c>
      <c r="T228" s="63" t="s">
        <v>545</v>
      </c>
      <c r="V228" s="64"/>
    </row>
    <row r="229" spans="1:22" x14ac:dyDescent="0.3">
      <c r="A229" t="s">
        <v>546</v>
      </c>
      <c r="T229" s="63" t="s">
        <v>546</v>
      </c>
      <c r="V229" s="64"/>
    </row>
    <row r="230" spans="1:22" x14ac:dyDescent="0.3">
      <c r="A230" t="s">
        <v>546</v>
      </c>
      <c r="T230" s="63" t="s">
        <v>546</v>
      </c>
      <c r="V230" s="64"/>
    </row>
    <row r="231" spans="1:22" x14ac:dyDescent="0.3">
      <c r="A231" t="s">
        <v>546</v>
      </c>
      <c r="T231" s="63" t="s">
        <v>546</v>
      </c>
      <c r="V231" s="64"/>
    </row>
    <row r="232" spans="1:22" x14ac:dyDescent="0.3">
      <c r="A232" t="s">
        <v>547</v>
      </c>
      <c r="T232" s="63" t="s">
        <v>547</v>
      </c>
      <c r="V232" s="64"/>
    </row>
    <row r="233" spans="1:22" x14ac:dyDescent="0.3">
      <c r="A233" t="s">
        <v>548</v>
      </c>
      <c r="T233" s="63" t="s">
        <v>548</v>
      </c>
      <c r="V233" s="64"/>
    </row>
    <row r="234" spans="1:22" x14ac:dyDescent="0.3">
      <c r="A234" t="s">
        <v>548</v>
      </c>
      <c r="T234" s="63" t="s">
        <v>548</v>
      </c>
      <c r="V234" s="64"/>
    </row>
    <row r="235" spans="1:22" x14ac:dyDescent="0.3">
      <c r="A235" t="s">
        <v>549</v>
      </c>
      <c r="T235" s="63" t="s">
        <v>549</v>
      </c>
      <c r="V235" s="64"/>
    </row>
    <row r="236" spans="1:22" x14ac:dyDescent="0.3">
      <c r="A236" t="s">
        <v>550</v>
      </c>
      <c r="T236" s="63" t="s">
        <v>550</v>
      </c>
      <c r="V236" s="64"/>
    </row>
    <row r="237" spans="1:22" x14ac:dyDescent="0.3">
      <c r="A237" t="s">
        <v>550</v>
      </c>
      <c r="T237" s="63" t="s">
        <v>550</v>
      </c>
      <c r="V237" s="64"/>
    </row>
    <row r="238" spans="1:22" x14ac:dyDescent="0.3">
      <c r="A238" t="s">
        <v>551</v>
      </c>
      <c r="T238" s="63" t="s">
        <v>551</v>
      </c>
      <c r="V238" s="64"/>
    </row>
    <row r="239" spans="1:22" x14ac:dyDescent="0.3">
      <c r="A239" t="s">
        <v>551</v>
      </c>
      <c r="T239" s="63" t="s">
        <v>551</v>
      </c>
      <c r="V239" s="64"/>
    </row>
    <row r="240" spans="1:22" x14ac:dyDescent="0.3">
      <c r="A240" t="s">
        <v>552</v>
      </c>
      <c r="T240" s="63" t="s">
        <v>552</v>
      </c>
      <c r="V240" s="64"/>
    </row>
    <row r="241" spans="1:22" x14ac:dyDescent="0.3">
      <c r="A241" t="s">
        <v>553</v>
      </c>
      <c r="T241" s="63" t="s">
        <v>553</v>
      </c>
      <c r="V241" s="64"/>
    </row>
    <row r="242" spans="1:22" x14ac:dyDescent="0.3">
      <c r="A242" t="s">
        <v>554</v>
      </c>
      <c r="T242" s="63" t="s">
        <v>554</v>
      </c>
      <c r="V242" s="64"/>
    </row>
    <row r="243" spans="1:22" x14ac:dyDescent="0.3">
      <c r="A243" t="s">
        <v>554</v>
      </c>
      <c r="T243" s="63" t="s">
        <v>554</v>
      </c>
      <c r="V243" s="64"/>
    </row>
    <row r="244" spans="1:22" x14ac:dyDescent="0.3">
      <c r="A244" t="s">
        <v>555</v>
      </c>
      <c r="T244" s="63" t="s">
        <v>555</v>
      </c>
      <c r="V244" s="64"/>
    </row>
    <row r="245" spans="1:22" x14ac:dyDescent="0.3">
      <c r="A245" t="s">
        <v>556</v>
      </c>
      <c r="T245" s="63" t="s">
        <v>556</v>
      </c>
      <c r="V245" s="64"/>
    </row>
    <row r="246" spans="1:22" x14ac:dyDescent="0.3">
      <c r="A246" t="s">
        <v>556</v>
      </c>
      <c r="T246" s="63" t="s">
        <v>556</v>
      </c>
      <c r="V246" s="64"/>
    </row>
    <row r="247" spans="1:22" x14ac:dyDescent="0.3">
      <c r="A247" t="s">
        <v>557</v>
      </c>
      <c r="T247" s="63" t="s">
        <v>557</v>
      </c>
      <c r="V247" s="64"/>
    </row>
    <row r="248" spans="1:22" x14ac:dyDescent="0.3">
      <c r="A248" t="s">
        <v>558</v>
      </c>
      <c r="T248" s="63" t="s">
        <v>558</v>
      </c>
      <c r="V248" s="64"/>
    </row>
    <row r="249" spans="1:22" x14ac:dyDescent="0.3">
      <c r="A249" t="s">
        <v>558</v>
      </c>
      <c r="T249" s="63" t="s">
        <v>558</v>
      </c>
      <c r="V249" s="64"/>
    </row>
    <row r="250" spans="1:22" x14ac:dyDescent="0.3">
      <c r="A250" t="s">
        <v>559</v>
      </c>
      <c r="T250" s="63" t="s">
        <v>559</v>
      </c>
      <c r="V250" s="64"/>
    </row>
    <row r="251" spans="1:22" x14ac:dyDescent="0.3">
      <c r="A251" t="s">
        <v>559</v>
      </c>
      <c r="T251" s="63" t="s">
        <v>559</v>
      </c>
      <c r="V251" s="64"/>
    </row>
    <row r="252" spans="1:22" x14ac:dyDescent="0.3">
      <c r="A252" t="s">
        <v>560</v>
      </c>
      <c r="T252" s="63" t="s">
        <v>560</v>
      </c>
      <c r="V252" s="64"/>
    </row>
    <row r="253" spans="1:22" x14ac:dyDescent="0.3">
      <c r="A253" t="s">
        <v>560</v>
      </c>
      <c r="T253" s="63" t="s">
        <v>560</v>
      </c>
      <c r="V253" s="64"/>
    </row>
    <row r="254" spans="1:22" x14ac:dyDescent="0.3">
      <c r="A254" t="s">
        <v>560</v>
      </c>
      <c r="T254" s="63" t="s">
        <v>560</v>
      </c>
      <c r="V254" s="64"/>
    </row>
    <row r="255" spans="1:22" x14ac:dyDescent="0.3">
      <c r="A255" t="s">
        <v>560</v>
      </c>
      <c r="T255" s="63" t="s">
        <v>560</v>
      </c>
      <c r="V255" s="64"/>
    </row>
    <row r="256" spans="1:22" x14ac:dyDescent="0.3">
      <c r="A256" t="s">
        <v>560</v>
      </c>
      <c r="T256" s="63" t="s">
        <v>560</v>
      </c>
      <c r="V256" s="64"/>
    </row>
    <row r="257" spans="1:22" x14ac:dyDescent="0.3">
      <c r="A257" t="s">
        <v>561</v>
      </c>
      <c r="T257" s="63" t="s">
        <v>561</v>
      </c>
      <c r="V257" s="64"/>
    </row>
    <row r="258" spans="1:22" x14ac:dyDescent="0.3">
      <c r="A258" t="s">
        <v>561</v>
      </c>
      <c r="T258" s="63" t="s">
        <v>561</v>
      </c>
      <c r="V258" s="64"/>
    </row>
    <row r="259" spans="1:22" x14ac:dyDescent="0.3">
      <c r="A259" t="s">
        <v>562</v>
      </c>
      <c r="T259" s="63" t="s">
        <v>562</v>
      </c>
      <c r="V259" s="64"/>
    </row>
    <row r="260" spans="1:22" x14ac:dyDescent="0.3">
      <c r="A260" t="s">
        <v>563</v>
      </c>
      <c r="T260" s="63" t="s">
        <v>563</v>
      </c>
      <c r="V260" s="64"/>
    </row>
    <row r="261" spans="1:22" x14ac:dyDescent="0.3">
      <c r="A261" t="s">
        <v>563</v>
      </c>
      <c r="T261" s="63" t="s">
        <v>563</v>
      </c>
      <c r="V261" s="64"/>
    </row>
    <row r="262" spans="1:22" x14ac:dyDescent="0.3">
      <c r="A262" t="s">
        <v>563</v>
      </c>
      <c r="T262" s="63" t="s">
        <v>563</v>
      </c>
      <c r="V262" s="64"/>
    </row>
    <row r="263" spans="1:22" x14ac:dyDescent="0.3">
      <c r="A263" t="s">
        <v>564</v>
      </c>
      <c r="T263" s="63" t="s">
        <v>564</v>
      </c>
      <c r="V263" s="64"/>
    </row>
    <row r="264" spans="1:22" x14ac:dyDescent="0.3">
      <c r="A264" t="s">
        <v>565</v>
      </c>
      <c r="T264" s="63" t="s">
        <v>565</v>
      </c>
      <c r="V264" s="64"/>
    </row>
    <row r="265" spans="1:22" x14ac:dyDescent="0.3">
      <c r="A265" t="s">
        <v>565</v>
      </c>
      <c r="T265" s="63" t="s">
        <v>565</v>
      </c>
      <c r="V265" s="64"/>
    </row>
    <row r="266" spans="1:22" x14ac:dyDescent="0.3">
      <c r="A266" t="s">
        <v>566</v>
      </c>
      <c r="T266" s="63" t="s">
        <v>566</v>
      </c>
      <c r="V266" s="64"/>
    </row>
    <row r="267" spans="1:22" x14ac:dyDescent="0.3">
      <c r="A267" t="s">
        <v>567</v>
      </c>
      <c r="T267" s="63" t="s">
        <v>567</v>
      </c>
      <c r="V267" s="64"/>
    </row>
    <row r="268" spans="1:22" x14ac:dyDescent="0.3">
      <c r="A268" t="s">
        <v>568</v>
      </c>
      <c r="T268" s="63" t="s">
        <v>568</v>
      </c>
      <c r="V268" s="64"/>
    </row>
    <row r="269" spans="1:22" x14ac:dyDescent="0.3">
      <c r="A269" t="s">
        <v>569</v>
      </c>
      <c r="T269" s="63" t="s">
        <v>569</v>
      </c>
      <c r="V269" s="64"/>
    </row>
    <row r="270" spans="1:22" x14ac:dyDescent="0.3">
      <c r="A270" t="s">
        <v>570</v>
      </c>
      <c r="T270" s="63" t="s">
        <v>570</v>
      </c>
      <c r="V270" s="64"/>
    </row>
    <row r="271" spans="1:22" x14ac:dyDescent="0.3">
      <c r="A271" t="s">
        <v>571</v>
      </c>
      <c r="T271" s="63" t="s">
        <v>571</v>
      </c>
      <c r="V271" s="64"/>
    </row>
    <row r="272" spans="1:22" x14ac:dyDescent="0.3">
      <c r="A272" t="s">
        <v>572</v>
      </c>
      <c r="T272" s="63" t="s">
        <v>572</v>
      </c>
      <c r="V272" s="64"/>
    </row>
    <row r="273" spans="1:22" x14ac:dyDescent="0.3">
      <c r="A273" t="s">
        <v>572</v>
      </c>
      <c r="T273" s="63" t="s">
        <v>572</v>
      </c>
      <c r="V273" s="64"/>
    </row>
    <row r="274" spans="1:22" x14ac:dyDescent="0.3">
      <c r="A274" t="s">
        <v>573</v>
      </c>
      <c r="T274" s="63" t="s">
        <v>573</v>
      </c>
      <c r="V274" s="64"/>
    </row>
    <row r="275" spans="1:22" x14ac:dyDescent="0.3">
      <c r="A275" t="s">
        <v>574</v>
      </c>
      <c r="T275" s="63" t="s">
        <v>574</v>
      </c>
      <c r="V275" s="64"/>
    </row>
    <row r="276" spans="1:22" x14ac:dyDescent="0.3">
      <c r="A276" t="s">
        <v>575</v>
      </c>
      <c r="T276" s="63" t="s">
        <v>575</v>
      </c>
      <c r="V276" s="64"/>
    </row>
    <row r="277" spans="1:22" x14ac:dyDescent="0.3">
      <c r="A277" t="s">
        <v>576</v>
      </c>
      <c r="T277" s="63" t="s">
        <v>576</v>
      </c>
      <c r="V277" s="64"/>
    </row>
    <row r="278" spans="1:22" x14ac:dyDescent="0.3">
      <c r="A278" t="s">
        <v>576</v>
      </c>
      <c r="T278" s="63" t="s">
        <v>576</v>
      </c>
      <c r="V278" s="64"/>
    </row>
    <row r="279" spans="1:22" x14ac:dyDescent="0.3">
      <c r="A279" t="s">
        <v>577</v>
      </c>
      <c r="T279" s="63" t="s">
        <v>577</v>
      </c>
      <c r="V279" s="64"/>
    </row>
    <row r="280" spans="1:22" x14ac:dyDescent="0.3">
      <c r="A280" t="s">
        <v>577</v>
      </c>
      <c r="T280" s="63" t="s">
        <v>577</v>
      </c>
      <c r="V280" s="64"/>
    </row>
    <row r="281" spans="1:22" x14ac:dyDescent="0.3">
      <c r="A281" t="s">
        <v>577</v>
      </c>
      <c r="T281" s="63" t="s">
        <v>577</v>
      </c>
      <c r="V281" s="64"/>
    </row>
    <row r="282" spans="1:22" x14ac:dyDescent="0.3">
      <c r="A282" t="s">
        <v>578</v>
      </c>
      <c r="T282" s="63" t="s">
        <v>578</v>
      </c>
      <c r="V282" s="64"/>
    </row>
    <row r="283" spans="1:22" x14ac:dyDescent="0.3">
      <c r="A283" t="s">
        <v>578</v>
      </c>
      <c r="T283" s="63" t="s">
        <v>578</v>
      </c>
      <c r="V283" s="64"/>
    </row>
    <row r="284" spans="1:22" x14ac:dyDescent="0.3">
      <c r="A284" t="s">
        <v>578</v>
      </c>
      <c r="T284" s="63" t="s">
        <v>578</v>
      </c>
      <c r="V284" s="64"/>
    </row>
    <row r="285" spans="1:22" x14ac:dyDescent="0.3">
      <c r="A285" t="s">
        <v>578</v>
      </c>
      <c r="T285" s="63" t="s">
        <v>578</v>
      </c>
      <c r="V285" s="64"/>
    </row>
    <row r="286" spans="1:22" x14ac:dyDescent="0.3">
      <c r="A286" t="s">
        <v>579</v>
      </c>
      <c r="T286" s="63" t="s">
        <v>579</v>
      </c>
      <c r="V286" s="64"/>
    </row>
    <row r="287" spans="1:22" x14ac:dyDescent="0.3">
      <c r="A287" t="s">
        <v>580</v>
      </c>
      <c r="T287" s="63" t="s">
        <v>580</v>
      </c>
      <c r="V287" s="64"/>
    </row>
    <row r="288" spans="1:22" x14ac:dyDescent="0.3">
      <c r="A288" t="s">
        <v>580</v>
      </c>
      <c r="T288" s="63" t="s">
        <v>580</v>
      </c>
      <c r="V288" s="64"/>
    </row>
    <row r="289" spans="1:22" x14ac:dyDescent="0.3">
      <c r="A289" t="s">
        <v>580</v>
      </c>
      <c r="T289" s="63" t="s">
        <v>580</v>
      </c>
      <c r="V289" s="64"/>
    </row>
    <row r="290" spans="1:22" x14ac:dyDescent="0.3">
      <c r="A290" t="s">
        <v>580</v>
      </c>
      <c r="T290" s="63" t="s">
        <v>580</v>
      </c>
      <c r="V290" s="64"/>
    </row>
    <row r="291" spans="1:22" x14ac:dyDescent="0.3">
      <c r="A291" t="s">
        <v>581</v>
      </c>
      <c r="T291" s="63" t="s">
        <v>581</v>
      </c>
      <c r="V291" s="64"/>
    </row>
    <row r="292" spans="1:22" x14ac:dyDescent="0.3">
      <c r="A292" t="s">
        <v>581</v>
      </c>
      <c r="T292" s="63" t="s">
        <v>581</v>
      </c>
      <c r="V292" s="64"/>
    </row>
    <row r="293" spans="1:22" x14ac:dyDescent="0.3">
      <c r="A293" t="s">
        <v>581</v>
      </c>
      <c r="T293" s="63" t="s">
        <v>581</v>
      </c>
      <c r="V293" s="64"/>
    </row>
    <row r="294" spans="1:22" x14ac:dyDescent="0.3">
      <c r="A294" t="s">
        <v>582</v>
      </c>
      <c r="T294" s="63" t="s">
        <v>582</v>
      </c>
      <c r="V294" s="64"/>
    </row>
    <row r="295" spans="1:22" x14ac:dyDescent="0.3">
      <c r="A295" t="s">
        <v>583</v>
      </c>
      <c r="T295" s="63" t="s">
        <v>583</v>
      </c>
      <c r="V295" s="64"/>
    </row>
    <row r="296" spans="1:22" x14ac:dyDescent="0.3">
      <c r="A296" t="s">
        <v>583</v>
      </c>
      <c r="T296" s="63" t="s">
        <v>583</v>
      </c>
      <c r="V296" s="64"/>
    </row>
    <row r="297" spans="1:22" x14ac:dyDescent="0.3">
      <c r="A297" t="s">
        <v>583</v>
      </c>
      <c r="T297" s="63" t="s">
        <v>583</v>
      </c>
      <c r="V297" s="64"/>
    </row>
    <row r="298" spans="1:22" x14ac:dyDescent="0.3">
      <c r="A298" t="s">
        <v>584</v>
      </c>
      <c r="T298" s="63" t="s">
        <v>584</v>
      </c>
      <c r="V298" s="64"/>
    </row>
    <row r="299" spans="1:22" x14ac:dyDescent="0.3">
      <c r="A299" t="s">
        <v>584</v>
      </c>
      <c r="T299" s="63" t="s">
        <v>584</v>
      </c>
      <c r="V299" s="64"/>
    </row>
    <row r="300" spans="1:22" x14ac:dyDescent="0.3">
      <c r="A300" t="s">
        <v>584</v>
      </c>
      <c r="T300" s="63" t="s">
        <v>584</v>
      </c>
      <c r="V300" s="64"/>
    </row>
    <row r="301" spans="1:22" x14ac:dyDescent="0.3">
      <c r="A301" t="s">
        <v>584</v>
      </c>
      <c r="T301" s="63" t="s">
        <v>584</v>
      </c>
      <c r="V301" s="64"/>
    </row>
    <row r="302" spans="1:22" x14ac:dyDescent="0.3">
      <c r="A302" t="s">
        <v>585</v>
      </c>
      <c r="T302" s="63" t="s">
        <v>585</v>
      </c>
      <c r="V302" s="64"/>
    </row>
    <row r="303" spans="1:22" x14ac:dyDescent="0.3">
      <c r="A303" t="s">
        <v>586</v>
      </c>
      <c r="T303" s="63" t="s">
        <v>586</v>
      </c>
      <c r="V303" s="64"/>
    </row>
    <row r="304" spans="1:22" x14ac:dyDescent="0.3">
      <c r="A304" t="s">
        <v>586</v>
      </c>
      <c r="T304" s="63" t="s">
        <v>586</v>
      </c>
      <c r="V304" s="64"/>
    </row>
    <row r="305" spans="1:22" x14ac:dyDescent="0.3">
      <c r="A305" t="s">
        <v>587</v>
      </c>
      <c r="T305" s="63" t="s">
        <v>587</v>
      </c>
      <c r="V305" s="64"/>
    </row>
    <row r="306" spans="1:22" x14ac:dyDescent="0.3">
      <c r="A306" t="s">
        <v>587</v>
      </c>
      <c r="T306" s="63" t="s">
        <v>587</v>
      </c>
      <c r="V306" s="64"/>
    </row>
    <row r="307" spans="1:22" x14ac:dyDescent="0.3">
      <c r="A307" t="s">
        <v>588</v>
      </c>
      <c r="T307" s="63" t="s">
        <v>588</v>
      </c>
      <c r="V307" s="64"/>
    </row>
    <row r="308" spans="1:22" x14ac:dyDescent="0.3">
      <c r="A308" t="s">
        <v>589</v>
      </c>
      <c r="T308" s="63" t="s">
        <v>589</v>
      </c>
      <c r="V308" s="64"/>
    </row>
    <row r="309" spans="1:22" x14ac:dyDescent="0.3">
      <c r="A309" t="s">
        <v>590</v>
      </c>
      <c r="T309" s="63" t="s">
        <v>590</v>
      </c>
      <c r="V309" s="64"/>
    </row>
    <row r="310" spans="1:22" x14ac:dyDescent="0.3">
      <c r="A310" t="s">
        <v>591</v>
      </c>
      <c r="T310" s="63" t="s">
        <v>591</v>
      </c>
      <c r="V310" s="64"/>
    </row>
    <row r="311" spans="1:22" x14ac:dyDescent="0.3">
      <c r="A311" t="s">
        <v>592</v>
      </c>
      <c r="T311" s="63" t="s">
        <v>592</v>
      </c>
      <c r="V311" s="64"/>
    </row>
    <row r="312" spans="1:22" x14ac:dyDescent="0.3">
      <c r="A312" t="s">
        <v>593</v>
      </c>
      <c r="T312" s="63" t="s">
        <v>593</v>
      </c>
      <c r="V312" s="64"/>
    </row>
    <row r="313" spans="1:22" x14ac:dyDescent="0.3">
      <c r="A313" t="s">
        <v>594</v>
      </c>
      <c r="T313" s="63" t="s">
        <v>594</v>
      </c>
      <c r="V313" s="64"/>
    </row>
    <row r="314" spans="1:22" x14ac:dyDescent="0.3">
      <c r="A314" t="s">
        <v>595</v>
      </c>
      <c r="T314" s="63" t="s">
        <v>595</v>
      </c>
      <c r="V314" s="64"/>
    </row>
    <row r="315" spans="1:22" x14ac:dyDescent="0.3">
      <c r="A315" t="s">
        <v>596</v>
      </c>
      <c r="T315" s="63" t="s">
        <v>596</v>
      </c>
      <c r="V315" s="64"/>
    </row>
    <row r="316" spans="1:22" x14ac:dyDescent="0.3">
      <c r="A316" t="s">
        <v>597</v>
      </c>
      <c r="T316" s="63" t="s">
        <v>597</v>
      </c>
      <c r="V316" s="64"/>
    </row>
    <row r="317" spans="1:22" x14ac:dyDescent="0.3">
      <c r="A317" t="s">
        <v>598</v>
      </c>
      <c r="T317" s="63" t="s">
        <v>598</v>
      </c>
      <c r="V317" s="64"/>
    </row>
    <row r="318" spans="1:22" x14ac:dyDescent="0.3">
      <c r="A318" t="s">
        <v>599</v>
      </c>
      <c r="T318" s="63" t="s">
        <v>599</v>
      </c>
      <c r="V318" s="64"/>
    </row>
    <row r="319" spans="1:22" x14ac:dyDescent="0.3">
      <c r="A319" t="s">
        <v>600</v>
      </c>
      <c r="T319" s="63" t="s">
        <v>600</v>
      </c>
      <c r="V319" s="64"/>
    </row>
    <row r="320" spans="1:22" x14ac:dyDescent="0.3">
      <c r="A320" t="s">
        <v>601</v>
      </c>
      <c r="T320" s="63" t="s">
        <v>601</v>
      </c>
      <c r="V320" s="64"/>
    </row>
    <row r="321" spans="1:22" x14ac:dyDescent="0.3">
      <c r="A321" t="s">
        <v>602</v>
      </c>
      <c r="T321" s="63" t="s">
        <v>602</v>
      </c>
      <c r="V321" s="64"/>
    </row>
    <row r="322" spans="1:22" x14ac:dyDescent="0.3">
      <c r="A322" t="s">
        <v>602</v>
      </c>
      <c r="T322" s="63" t="s">
        <v>602</v>
      </c>
      <c r="V322" s="64"/>
    </row>
    <row r="323" spans="1:22" x14ac:dyDescent="0.3">
      <c r="A323" t="s">
        <v>603</v>
      </c>
      <c r="T323" s="63" t="s">
        <v>603</v>
      </c>
      <c r="V323" s="64"/>
    </row>
    <row r="324" spans="1:22" x14ac:dyDescent="0.3">
      <c r="A324" t="s">
        <v>604</v>
      </c>
      <c r="T324" s="63" t="s">
        <v>604</v>
      </c>
      <c r="V324" s="64"/>
    </row>
    <row r="325" spans="1:22" x14ac:dyDescent="0.3">
      <c r="A325" t="s">
        <v>605</v>
      </c>
      <c r="T325" s="63" t="s">
        <v>605</v>
      </c>
      <c r="V325" s="64"/>
    </row>
    <row r="326" spans="1:22" x14ac:dyDescent="0.3">
      <c r="A326" t="s">
        <v>606</v>
      </c>
      <c r="T326" s="63" t="s">
        <v>606</v>
      </c>
      <c r="V326" s="64"/>
    </row>
    <row r="327" spans="1:22" x14ac:dyDescent="0.3">
      <c r="A327" t="s">
        <v>607</v>
      </c>
      <c r="T327" s="63" t="s">
        <v>607</v>
      </c>
      <c r="V327" s="64"/>
    </row>
    <row r="328" spans="1:22" x14ac:dyDescent="0.3">
      <c r="A328" t="s">
        <v>608</v>
      </c>
      <c r="T328" s="63" t="s">
        <v>608</v>
      </c>
      <c r="V328" s="64"/>
    </row>
    <row r="329" spans="1:22" x14ac:dyDescent="0.3">
      <c r="A329" t="s">
        <v>609</v>
      </c>
      <c r="T329" s="63" t="s">
        <v>609</v>
      </c>
      <c r="V329" s="64"/>
    </row>
    <row r="330" spans="1:22" x14ac:dyDescent="0.3">
      <c r="A330" t="s">
        <v>610</v>
      </c>
      <c r="T330" s="63" t="s">
        <v>610</v>
      </c>
      <c r="V330" s="64"/>
    </row>
    <row r="331" spans="1:22" x14ac:dyDescent="0.3">
      <c r="A331" t="s">
        <v>611</v>
      </c>
      <c r="T331" s="63" t="s">
        <v>611</v>
      </c>
      <c r="V331" s="64"/>
    </row>
    <row r="332" spans="1:22" x14ac:dyDescent="0.3">
      <c r="A332" t="s">
        <v>612</v>
      </c>
      <c r="T332" s="63" t="s">
        <v>612</v>
      </c>
      <c r="V332" s="64"/>
    </row>
    <row r="333" spans="1:22" x14ac:dyDescent="0.3">
      <c r="A333" t="s">
        <v>613</v>
      </c>
      <c r="T333" s="63" t="s">
        <v>613</v>
      </c>
      <c r="V333" s="64"/>
    </row>
    <row r="334" spans="1:22" x14ac:dyDescent="0.3">
      <c r="A334" t="s">
        <v>614</v>
      </c>
      <c r="T334" s="63" t="s">
        <v>614</v>
      </c>
      <c r="V334" s="64"/>
    </row>
    <row r="335" spans="1:22" x14ac:dyDescent="0.3">
      <c r="A335" t="s">
        <v>615</v>
      </c>
      <c r="T335" s="63" t="s">
        <v>615</v>
      </c>
      <c r="V335" s="64"/>
    </row>
    <row r="336" spans="1:22" x14ac:dyDescent="0.3">
      <c r="A336" t="s">
        <v>615</v>
      </c>
      <c r="T336" s="63" t="s">
        <v>615</v>
      </c>
      <c r="V336" s="64"/>
    </row>
    <row r="337" spans="1:22" x14ac:dyDescent="0.3">
      <c r="A337" t="s">
        <v>616</v>
      </c>
      <c r="T337" s="63" t="s">
        <v>616</v>
      </c>
      <c r="V337" s="64"/>
    </row>
    <row r="338" spans="1:22" x14ac:dyDescent="0.3">
      <c r="A338" t="s">
        <v>617</v>
      </c>
      <c r="T338" s="63" t="s">
        <v>617</v>
      </c>
      <c r="V338" s="64"/>
    </row>
    <row r="339" spans="1:22" x14ac:dyDescent="0.3">
      <c r="A339" t="s">
        <v>618</v>
      </c>
      <c r="T339" s="63" t="s">
        <v>618</v>
      </c>
      <c r="V339" s="64"/>
    </row>
    <row r="340" spans="1:22" x14ac:dyDescent="0.3">
      <c r="A340" t="s">
        <v>619</v>
      </c>
      <c r="T340" s="63" t="s">
        <v>619</v>
      </c>
      <c r="V340" s="64"/>
    </row>
    <row r="341" spans="1:22" x14ac:dyDescent="0.3">
      <c r="A341" t="s">
        <v>620</v>
      </c>
      <c r="T341" s="63" t="s">
        <v>620</v>
      </c>
      <c r="V341" s="64"/>
    </row>
    <row r="342" spans="1:22" x14ac:dyDescent="0.3">
      <c r="A342" t="s">
        <v>621</v>
      </c>
      <c r="T342" s="63" t="s">
        <v>621</v>
      </c>
      <c r="V342" s="64"/>
    </row>
    <row r="343" spans="1:22" x14ac:dyDescent="0.3">
      <c r="A343" t="s">
        <v>622</v>
      </c>
      <c r="T343" s="63" t="s">
        <v>622</v>
      </c>
      <c r="V343" s="64"/>
    </row>
    <row r="344" spans="1:22" x14ac:dyDescent="0.3">
      <c r="A344" t="s">
        <v>623</v>
      </c>
      <c r="T344" s="63" t="s">
        <v>623</v>
      </c>
      <c r="V344" s="64"/>
    </row>
    <row r="345" spans="1:22" x14ac:dyDescent="0.3">
      <c r="A345" t="s">
        <v>624</v>
      </c>
      <c r="T345" s="63" t="s">
        <v>624</v>
      </c>
      <c r="V345" s="64"/>
    </row>
    <row r="346" spans="1:22" x14ac:dyDescent="0.3">
      <c r="A346" t="s">
        <v>625</v>
      </c>
      <c r="T346" s="63" t="s">
        <v>625</v>
      </c>
      <c r="V346" s="64"/>
    </row>
    <row r="347" spans="1:22" x14ac:dyDescent="0.3">
      <c r="A347" t="s">
        <v>626</v>
      </c>
      <c r="T347" s="63" t="s">
        <v>626</v>
      </c>
      <c r="V347" s="64"/>
    </row>
    <row r="348" spans="1:22" x14ac:dyDescent="0.3">
      <c r="A348" t="s">
        <v>627</v>
      </c>
      <c r="T348" s="63" t="s">
        <v>627</v>
      </c>
      <c r="V348" s="64"/>
    </row>
    <row r="349" spans="1:22" x14ac:dyDescent="0.3">
      <c r="A349" t="s">
        <v>628</v>
      </c>
      <c r="T349" s="63" t="s">
        <v>628</v>
      </c>
      <c r="V349" s="64"/>
    </row>
    <row r="350" spans="1:22" x14ac:dyDescent="0.3">
      <c r="A350" t="s">
        <v>629</v>
      </c>
      <c r="T350" s="63" t="s">
        <v>629</v>
      </c>
      <c r="V350" s="64"/>
    </row>
    <row r="351" spans="1:22" x14ac:dyDescent="0.3">
      <c r="A351" t="s">
        <v>630</v>
      </c>
      <c r="T351" s="63" t="s">
        <v>630</v>
      </c>
      <c r="V351" s="64"/>
    </row>
    <row r="352" spans="1:22" x14ac:dyDescent="0.3">
      <c r="A352" t="s">
        <v>631</v>
      </c>
      <c r="T352" s="63" t="s">
        <v>631</v>
      </c>
      <c r="V352" s="64"/>
    </row>
    <row r="353" spans="1:22" x14ac:dyDescent="0.3">
      <c r="A353" t="s">
        <v>631</v>
      </c>
      <c r="T353" s="63" t="s">
        <v>631</v>
      </c>
      <c r="V353" s="64"/>
    </row>
    <row r="354" spans="1:22" x14ac:dyDescent="0.3">
      <c r="A354" t="s">
        <v>632</v>
      </c>
      <c r="T354" s="63" t="s">
        <v>632</v>
      </c>
      <c r="V354" s="64"/>
    </row>
    <row r="355" spans="1:22" x14ac:dyDescent="0.3">
      <c r="A355" t="s">
        <v>633</v>
      </c>
      <c r="T355" s="63" t="s">
        <v>633</v>
      </c>
      <c r="V355" s="64"/>
    </row>
    <row r="356" spans="1:22" x14ac:dyDescent="0.3">
      <c r="A356" t="s">
        <v>633</v>
      </c>
      <c r="T356" s="63" t="s">
        <v>633</v>
      </c>
      <c r="V356" s="64"/>
    </row>
    <row r="357" spans="1:22" x14ac:dyDescent="0.3">
      <c r="A357" t="s">
        <v>634</v>
      </c>
      <c r="T357" s="63" t="s">
        <v>634</v>
      </c>
      <c r="V357" s="64"/>
    </row>
    <row r="358" spans="1:22" x14ac:dyDescent="0.3">
      <c r="A358" t="s">
        <v>635</v>
      </c>
      <c r="T358" s="63" t="s">
        <v>635</v>
      </c>
      <c r="V358" s="64"/>
    </row>
    <row r="359" spans="1:22" x14ac:dyDescent="0.3">
      <c r="A359" t="s">
        <v>636</v>
      </c>
      <c r="T359" s="63" t="s">
        <v>636</v>
      </c>
      <c r="V359" s="64"/>
    </row>
    <row r="360" spans="1:22" x14ac:dyDescent="0.3">
      <c r="A360" t="s">
        <v>637</v>
      </c>
      <c r="T360" s="63" t="s">
        <v>637</v>
      </c>
      <c r="V360" s="64"/>
    </row>
    <row r="361" spans="1:22" x14ac:dyDescent="0.3">
      <c r="A361" t="s">
        <v>638</v>
      </c>
      <c r="T361" s="63" t="s">
        <v>638</v>
      </c>
      <c r="V361" s="64"/>
    </row>
    <row r="362" spans="1:22" x14ac:dyDescent="0.3">
      <c r="A362" t="s">
        <v>639</v>
      </c>
      <c r="T362" s="63" t="s">
        <v>639</v>
      </c>
      <c r="V362" s="64"/>
    </row>
    <row r="363" spans="1:22" x14ac:dyDescent="0.3">
      <c r="A363" t="s">
        <v>640</v>
      </c>
      <c r="T363" s="63" t="s">
        <v>640</v>
      </c>
      <c r="V363" s="64"/>
    </row>
    <row r="364" spans="1:22" x14ac:dyDescent="0.3">
      <c r="A364" t="s">
        <v>641</v>
      </c>
      <c r="T364" s="63" t="s">
        <v>641</v>
      </c>
      <c r="V364" s="64"/>
    </row>
    <row r="365" spans="1:22" x14ac:dyDescent="0.3">
      <c r="A365" t="s">
        <v>642</v>
      </c>
      <c r="T365" s="63" t="s">
        <v>642</v>
      </c>
      <c r="V365" s="64"/>
    </row>
    <row r="366" spans="1:22" x14ac:dyDescent="0.3">
      <c r="A366" t="s">
        <v>643</v>
      </c>
      <c r="T366" s="63" t="s">
        <v>643</v>
      </c>
      <c r="V366" s="64"/>
    </row>
    <row r="367" spans="1:22" x14ac:dyDescent="0.3">
      <c r="A367" t="s">
        <v>644</v>
      </c>
      <c r="T367" s="63" t="s">
        <v>644</v>
      </c>
      <c r="V367" s="64"/>
    </row>
    <row r="368" spans="1:22" x14ac:dyDescent="0.3">
      <c r="A368" t="s">
        <v>644</v>
      </c>
      <c r="T368" s="63" t="s">
        <v>644</v>
      </c>
      <c r="V368" s="64"/>
    </row>
    <row r="369" spans="1:22" x14ac:dyDescent="0.3">
      <c r="A369" t="s">
        <v>645</v>
      </c>
      <c r="T369" s="63" t="s">
        <v>645</v>
      </c>
      <c r="V369" s="64"/>
    </row>
    <row r="370" spans="1:22" x14ac:dyDescent="0.3">
      <c r="A370" t="s">
        <v>646</v>
      </c>
      <c r="T370" s="63" t="s">
        <v>646</v>
      </c>
      <c r="V370" s="64"/>
    </row>
    <row r="371" spans="1:22" x14ac:dyDescent="0.3">
      <c r="A371" t="s">
        <v>647</v>
      </c>
      <c r="T371" s="63" t="s">
        <v>647</v>
      </c>
      <c r="V371" s="64"/>
    </row>
    <row r="372" spans="1:22" x14ac:dyDescent="0.3">
      <c r="A372" t="s">
        <v>648</v>
      </c>
      <c r="T372" s="63" t="s">
        <v>648</v>
      </c>
      <c r="V372" s="64"/>
    </row>
    <row r="373" spans="1:22" x14ac:dyDescent="0.3">
      <c r="A373" t="s">
        <v>649</v>
      </c>
      <c r="T373" s="63" t="s">
        <v>649</v>
      </c>
      <c r="V373" s="64"/>
    </row>
    <row r="374" spans="1:22" x14ac:dyDescent="0.3">
      <c r="A374" t="s">
        <v>650</v>
      </c>
      <c r="T374" s="63" t="s">
        <v>650</v>
      </c>
      <c r="V374" s="64"/>
    </row>
    <row r="375" spans="1:22" x14ac:dyDescent="0.3">
      <c r="A375" t="s">
        <v>651</v>
      </c>
      <c r="T375" s="63" t="s">
        <v>651</v>
      </c>
      <c r="V375" s="64"/>
    </row>
    <row r="376" spans="1:22" x14ac:dyDescent="0.3">
      <c r="A376" t="s">
        <v>652</v>
      </c>
      <c r="T376" s="63" t="s">
        <v>652</v>
      </c>
      <c r="V376" s="64"/>
    </row>
    <row r="377" spans="1:22" x14ac:dyDescent="0.3">
      <c r="A377" t="s">
        <v>653</v>
      </c>
      <c r="T377" s="63" t="s">
        <v>653</v>
      </c>
      <c r="V377" s="64"/>
    </row>
    <row r="378" spans="1:22" x14ac:dyDescent="0.3">
      <c r="A378" t="s">
        <v>654</v>
      </c>
      <c r="T378" s="63" t="s">
        <v>654</v>
      </c>
      <c r="V378" s="64"/>
    </row>
    <row r="379" spans="1:22" x14ac:dyDescent="0.3">
      <c r="A379" t="s">
        <v>655</v>
      </c>
      <c r="T379" s="63" t="s">
        <v>655</v>
      </c>
      <c r="V379" s="64"/>
    </row>
    <row r="380" spans="1:22" x14ac:dyDescent="0.3">
      <c r="A380" t="s">
        <v>656</v>
      </c>
      <c r="T380" s="63" t="s">
        <v>656</v>
      </c>
      <c r="V380" s="64"/>
    </row>
    <row r="381" spans="1:22" x14ac:dyDescent="0.3">
      <c r="A381" t="s">
        <v>656</v>
      </c>
      <c r="T381" s="63" t="s">
        <v>656</v>
      </c>
      <c r="V381" s="64"/>
    </row>
    <row r="382" spans="1:22" x14ac:dyDescent="0.3">
      <c r="A382" t="s">
        <v>657</v>
      </c>
      <c r="T382" s="63" t="s">
        <v>657</v>
      </c>
      <c r="V382" s="64"/>
    </row>
    <row r="383" spans="1:22" x14ac:dyDescent="0.3">
      <c r="A383" t="s">
        <v>657</v>
      </c>
      <c r="T383" s="63" t="s">
        <v>657</v>
      </c>
      <c r="V383" s="64"/>
    </row>
    <row r="384" spans="1:22" x14ac:dyDescent="0.3">
      <c r="A384" t="s">
        <v>657</v>
      </c>
      <c r="T384" s="63" t="s">
        <v>657</v>
      </c>
      <c r="V384" s="64"/>
    </row>
    <row r="385" spans="1:22" x14ac:dyDescent="0.3">
      <c r="A385" t="s">
        <v>657</v>
      </c>
      <c r="T385" s="63" t="s">
        <v>657</v>
      </c>
      <c r="V385" s="64"/>
    </row>
    <row r="386" spans="1:22" x14ac:dyDescent="0.3">
      <c r="A386" t="s">
        <v>658</v>
      </c>
      <c r="T386" s="63" t="s">
        <v>658</v>
      </c>
      <c r="V386" s="64"/>
    </row>
    <row r="387" spans="1:22" x14ac:dyDescent="0.3">
      <c r="A387" t="s">
        <v>659</v>
      </c>
      <c r="T387" s="63" t="s">
        <v>659</v>
      </c>
      <c r="V387" s="64"/>
    </row>
    <row r="388" spans="1:22" x14ac:dyDescent="0.3">
      <c r="A388" t="s">
        <v>660</v>
      </c>
      <c r="T388" s="63" t="s">
        <v>660</v>
      </c>
      <c r="V388" s="64"/>
    </row>
    <row r="389" spans="1:22" x14ac:dyDescent="0.3">
      <c r="A389" t="s">
        <v>661</v>
      </c>
      <c r="T389" s="63" t="s">
        <v>661</v>
      </c>
      <c r="V389" s="64"/>
    </row>
    <row r="390" spans="1:22" x14ac:dyDescent="0.3">
      <c r="A390" t="s">
        <v>662</v>
      </c>
      <c r="T390" s="63" t="s">
        <v>662</v>
      </c>
      <c r="V390" s="64"/>
    </row>
    <row r="391" spans="1:22" x14ac:dyDescent="0.3">
      <c r="A391" t="s">
        <v>663</v>
      </c>
      <c r="T391" s="63" t="s">
        <v>663</v>
      </c>
      <c r="V391" s="64"/>
    </row>
    <row r="392" spans="1:22" x14ac:dyDescent="0.3">
      <c r="A392" t="s">
        <v>664</v>
      </c>
      <c r="T392" s="63" t="s">
        <v>664</v>
      </c>
      <c r="V392" s="64"/>
    </row>
    <row r="393" spans="1:22" x14ac:dyDescent="0.3">
      <c r="A393" t="s">
        <v>665</v>
      </c>
      <c r="T393" s="63" t="s">
        <v>665</v>
      </c>
      <c r="V393" s="64"/>
    </row>
    <row r="394" spans="1:22" x14ac:dyDescent="0.3">
      <c r="A394" t="s">
        <v>665</v>
      </c>
      <c r="T394" s="63" t="s">
        <v>665</v>
      </c>
      <c r="V394" s="64"/>
    </row>
    <row r="395" spans="1:22" x14ac:dyDescent="0.3">
      <c r="A395" t="s">
        <v>666</v>
      </c>
      <c r="T395" s="63" t="s">
        <v>666</v>
      </c>
      <c r="V395" s="64"/>
    </row>
    <row r="396" spans="1:22" x14ac:dyDescent="0.3">
      <c r="A396" t="s">
        <v>666</v>
      </c>
      <c r="T396" s="63" t="s">
        <v>666</v>
      </c>
      <c r="V396" s="64"/>
    </row>
    <row r="397" spans="1:22" x14ac:dyDescent="0.3">
      <c r="A397" t="s">
        <v>667</v>
      </c>
      <c r="T397" s="63" t="s">
        <v>667</v>
      </c>
      <c r="V397" s="64"/>
    </row>
    <row r="398" spans="1:22" x14ac:dyDescent="0.3">
      <c r="A398" t="s">
        <v>667</v>
      </c>
      <c r="T398" s="63" t="s">
        <v>667</v>
      </c>
      <c r="V398" s="64"/>
    </row>
    <row r="399" spans="1:22" x14ac:dyDescent="0.3">
      <c r="A399" t="s">
        <v>668</v>
      </c>
      <c r="T399" s="63" t="s">
        <v>668</v>
      </c>
      <c r="V399" s="64"/>
    </row>
    <row r="400" spans="1:22" x14ac:dyDescent="0.3">
      <c r="A400" t="s">
        <v>669</v>
      </c>
      <c r="T400" s="63" t="s">
        <v>669</v>
      </c>
      <c r="V400" s="64"/>
    </row>
    <row r="401" spans="1:22" x14ac:dyDescent="0.3">
      <c r="A401" t="s">
        <v>670</v>
      </c>
      <c r="T401" s="63" t="s">
        <v>670</v>
      </c>
      <c r="V401" s="64"/>
    </row>
    <row r="402" spans="1:22" x14ac:dyDescent="0.3">
      <c r="A402" t="s">
        <v>671</v>
      </c>
      <c r="T402" s="63" t="s">
        <v>671</v>
      </c>
      <c r="V402" s="64"/>
    </row>
    <row r="403" spans="1:22" x14ac:dyDescent="0.3">
      <c r="A403" t="s">
        <v>672</v>
      </c>
      <c r="T403" s="63" t="s">
        <v>672</v>
      </c>
      <c r="V403" s="64"/>
    </row>
    <row r="404" spans="1:22" x14ac:dyDescent="0.3">
      <c r="A404" t="s">
        <v>673</v>
      </c>
      <c r="T404" s="63" t="s">
        <v>673</v>
      </c>
      <c r="V404" s="64"/>
    </row>
    <row r="405" spans="1:22" x14ac:dyDescent="0.3">
      <c r="A405" t="s">
        <v>674</v>
      </c>
      <c r="T405" s="63" t="s">
        <v>674</v>
      </c>
      <c r="V405" s="64"/>
    </row>
    <row r="406" spans="1:22" x14ac:dyDescent="0.3">
      <c r="A406" t="s">
        <v>675</v>
      </c>
      <c r="T406" s="63" t="s">
        <v>675</v>
      </c>
      <c r="V406" s="64"/>
    </row>
    <row r="407" spans="1:22" x14ac:dyDescent="0.3">
      <c r="A407" t="s">
        <v>676</v>
      </c>
      <c r="T407" s="63" t="s">
        <v>676</v>
      </c>
      <c r="V407" s="64"/>
    </row>
    <row r="408" spans="1:22" x14ac:dyDescent="0.3">
      <c r="A408" t="s">
        <v>676</v>
      </c>
      <c r="T408" s="63" t="s">
        <v>676</v>
      </c>
      <c r="V408" s="64"/>
    </row>
    <row r="409" spans="1:22" x14ac:dyDescent="0.3">
      <c r="A409" t="s">
        <v>677</v>
      </c>
      <c r="T409" s="63" t="s">
        <v>677</v>
      </c>
      <c r="V409" s="64"/>
    </row>
    <row r="410" spans="1:22" x14ac:dyDescent="0.3">
      <c r="A410" t="s">
        <v>678</v>
      </c>
      <c r="T410" s="63" t="s">
        <v>678</v>
      </c>
      <c r="V410" s="64"/>
    </row>
    <row r="411" spans="1:22" x14ac:dyDescent="0.3">
      <c r="A411" t="s">
        <v>679</v>
      </c>
      <c r="T411" s="63" t="s">
        <v>679</v>
      </c>
      <c r="V411" s="64"/>
    </row>
    <row r="412" spans="1:22" x14ac:dyDescent="0.3">
      <c r="A412" t="s">
        <v>680</v>
      </c>
      <c r="T412" s="63" t="s">
        <v>680</v>
      </c>
      <c r="V412" s="64"/>
    </row>
    <row r="413" spans="1:22" x14ac:dyDescent="0.3">
      <c r="A413" t="s">
        <v>681</v>
      </c>
      <c r="T413" s="63" t="s">
        <v>681</v>
      </c>
      <c r="V413" s="64"/>
    </row>
    <row r="414" spans="1:22" x14ac:dyDescent="0.3">
      <c r="A414" t="s">
        <v>682</v>
      </c>
      <c r="T414" s="63" t="s">
        <v>682</v>
      </c>
      <c r="V414" s="64"/>
    </row>
    <row r="415" spans="1:22" x14ac:dyDescent="0.3">
      <c r="A415" t="s">
        <v>682</v>
      </c>
      <c r="T415" s="63" t="s">
        <v>682</v>
      </c>
      <c r="V415" s="64"/>
    </row>
    <row r="416" spans="1:22" x14ac:dyDescent="0.3">
      <c r="A416" t="s">
        <v>683</v>
      </c>
      <c r="T416" s="63" t="s">
        <v>683</v>
      </c>
      <c r="V416" s="64"/>
    </row>
    <row r="417" spans="1:22" x14ac:dyDescent="0.3">
      <c r="A417" t="s">
        <v>684</v>
      </c>
      <c r="T417" s="63" t="s">
        <v>684</v>
      </c>
      <c r="V417" s="64"/>
    </row>
    <row r="418" spans="1:22" x14ac:dyDescent="0.3">
      <c r="A418" t="s">
        <v>685</v>
      </c>
      <c r="T418" s="63" t="s">
        <v>685</v>
      </c>
      <c r="V418" s="64"/>
    </row>
    <row r="419" spans="1:22" x14ac:dyDescent="0.3">
      <c r="A419" t="s">
        <v>686</v>
      </c>
      <c r="T419" s="63" t="s">
        <v>686</v>
      </c>
      <c r="V419" s="64"/>
    </row>
    <row r="420" spans="1:22" x14ac:dyDescent="0.3">
      <c r="A420" t="s">
        <v>687</v>
      </c>
      <c r="T420" s="63" t="s">
        <v>687</v>
      </c>
      <c r="V420" s="64"/>
    </row>
    <row r="421" spans="1:22" x14ac:dyDescent="0.3">
      <c r="A421" t="s">
        <v>688</v>
      </c>
      <c r="T421" s="63" t="s">
        <v>688</v>
      </c>
      <c r="V421" s="64"/>
    </row>
    <row r="422" spans="1:22" x14ac:dyDescent="0.3">
      <c r="A422" t="s">
        <v>689</v>
      </c>
      <c r="T422" s="63" t="s">
        <v>689</v>
      </c>
      <c r="V422" s="64"/>
    </row>
    <row r="423" spans="1:22" x14ac:dyDescent="0.3">
      <c r="A423" t="s">
        <v>690</v>
      </c>
      <c r="T423" s="63" t="s">
        <v>690</v>
      </c>
      <c r="V423" s="64"/>
    </row>
    <row r="424" spans="1:22" x14ac:dyDescent="0.3">
      <c r="A424" t="s">
        <v>691</v>
      </c>
      <c r="T424" s="63" t="s">
        <v>691</v>
      </c>
      <c r="V424" s="64"/>
    </row>
    <row r="425" spans="1:22" x14ac:dyDescent="0.3">
      <c r="A425" t="s">
        <v>692</v>
      </c>
      <c r="T425" s="63" t="s">
        <v>692</v>
      </c>
      <c r="V425" s="64"/>
    </row>
    <row r="426" spans="1:22" x14ac:dyDescent="0.3">
      <c r="A426" t="s">
        <v>693</v>
      </c>
      <c r="T426" s="63" t="s">
        <v>693</v>
      </c>
      <c r="V426" s="64"/>
    </row>
    <row r="427" spans="1:22" x14ac:dyDescent="0.3">
      <c r="A427" t="s">
        <v>694</v>
      </c>
      <c r="T427" s="63" t="s">
        <v>694</v>
      </c>
      <c r="V427" s="64"/>
    </row>
    <row r="428" spans="1:22" x14ac:dyDescent="0.3">
      <c r="A428" t="s">
        <v>695</v>
      </c>
      <c r="T428" s="63" t="s">
        <v>695</v>
      </c>
      <c r="V428" s="64"/>
    </row>
    <row r="429" spans="1:22" x14ac:dyDescent="0.3">
      <c r="A429" t="s">
        <v>696</v>
      </c>
      <c r="T429" s="63" t="s">
        <v>696</v>
      </c>
      <c r="V429" s="64"/>
    </row>
    <row r="430" spans="1:22" x14ac:dyDescent="0.3">
      <c r="A430" t="s">
        <v>697</v>
      </c>
      <c r="T430" s="63" t="s">
        <v>697</v>
      </c>
      <c r="V430" s="64"/>
    </row>
    <row r="431" spans="1:22" x14ac:dyDescent="0.3">
      <c r="A431" t="s">
        <v>698</v>
      </c>
      <c r="T431" s="63" t="s">
        <v>698</v>
      </c>
      <c r="V431" s="64"/>
    </row>
    <row r="432" spans="1:22" x14ac:dyDescent="0.3">
      <c r="A432" t="s">
        <v>699</v>
      </c>
      <c r="T432" s="63" t="s">
        <v>699</v>
      </c>
      <c r="V432" s="64"/>
    </row>
    <row r="433" spans="1:22" x14ac:dyDescent="0.3">
      <c r="A433" t="s">
        <v>700</v>
      </c>
      <c r="T433" s="63" t="s">
        <v>700</v>
      </c>
      <c r="V433" s="64"/>
    </row>
    <row r="434" spans="1:22" x14ac:dyDescent="0.3">
      <c r="A434" t="s">
        <v>701</v>
      </c>
      <c r="T434" s="63" t="s">
        <v>701</v>
      </c>
      <c r="V434" s="64"/>
    </row>
    <row r="435" spans="1:22" x14ac:dyDescent="0.3">
      <c r="A435" t="s">
        <v>702</v>
      </c>
      <c r="T435" s="63" t="s">
        <v>702</v>
      </c>
      <c r="V435" s="64"/>
    </row>
    <row r="436" spans="1:22" x14ac:dyDescent="0.3">
      <c r="A436" t="s">
        <v>703</v>
      </c>
      <c r="T436" s="63" t="s">
        <v>703</v>
      </c>
      <c r="V436" s="64"/>
    </row>
    <row r="437" spans="1:22" x14ac:dyDescent="0.3">
      <c r="A437" t="s">
        <v>704</v>
      </c>
      <c r="T437" s="63" t="s">
        <v>704</v>
      </c>
      <c r="V437" s="64"/>
    </row>
    <row r="438" spans="1:22" x14ac:dyDescent="0.3">
      <c r="A438" t="s">
        <v>705</v>
      </c>
      <c r="T438" s="63" t="s">
        <v>705</v>
      </c>
      <c r="V438" s="64"/>
    </row>
    <row r="439" spans="1:22" x14ac:dyDescent="0.3">
      <c r="A439" t="s">
        <v>706</v>
      </c>
      <c r="T439" s="63" t="s">
        <v>706</v>
      </c>
      <c r="V439" s="64"/>
    </row>
    <row r="440" spans="1:22" x14ac:dyDescent="0.3">
      <c r="A440" t="s">
        <v>707</v>
      </c>
      <c r="T440" s="63" t="s">
        <v>707</v>
      </c>
      <c r="V440" s="64"/>
    </row>
    <row r="441" spans="1:22" x14ac:dyDescent="0.3">
      <c r="A441" t="s">
        <v>708</v>
      </c>
      <c r="T441" s="63" t="s">
        <v>708</v>
      </c>
      <c r="V441" s="64"/>
    </row>
    <row r="442" spans="1:22" x14ac:dyDescent="0.3">
      <c r="A442" t="s">
        <v>709</v>
      </c>
      <c r="T442" s="63" t="s">
        <v>709</v>
      </c>
      <c r="V442" s="64"/>
    </row>
    <row r="443" spans="1:22" x14ac:dyDescent="0.3">
      <c r="A443" t="s">
        <v>710</v>
      </c>
      <c r="T443" s="63" t="s">
        <v>710</v>
      </c>
      <c r="V443" s="64"/>
    </row>
    <row r="444" spans="1:22" x14ac:dyDescent="0.3">
      <c r="A444" t="s">
        <v>711</v>
      </c>
      <c r="T444" s="63" t="s">
        <v>711</v>
      </c>
      <c r="V444" s="64"/>
    </row>
    <row r="445" spans="1:22" x14ac:dyDescent="0.3">
      <c r="A445" t="s">
        <v>712</v>
      </c>
      <c r="T445" s="63" t="s">
        <v>712</v>
      </c>
      <c r="V445" s="64"/>
    </row>
    <row r="446" spans="1:22" x14ac:dyDescent="0.3">
      <c r="A446" t="s">
        <v>713</v>
      </c>
      <c r="T446" s="63" t="s">
        <v>713</v>
      </c>
      <c r="V446" s="64"/>
    </row>
    <row r="447" spans="1:22" x14ac:dyDescent="0.3">
      <c r="A447" t="s">
        <v>714</v>
      </c>
      <c r="T447" s="63" t="s">
        <v>714</v>
      </c>
      <c r="V447" s="64"/>
    </row>
    <row r="448" spans="1:22" x14ac:dyDescent="0.3">
      <c r="A448" t="s">
        <v>715</v>
      </c>
      <c r="T448" s="63" t="s">
        <v>715</v>
      </c>
      <c r="V448" s="64"/>
    </row>
    <row r="449" spans="1:22" x14ac:dyDescent="0.3">
      <c r="A449" t="s">
        <v>716</v>
      </c>
      <c r="T449" s="63" t="s">
        <v>716</v>
      </c>
      <c r="V449" s="64"/>
    </row>
    <row r="450" spans="1:22" x14ac:dyDescent="0.3">
      <c r="A450" t="s">
        <v>717</v>
      </c>
      <c r="T450" s="63" t="s">
        <v>717</v>
      </c>
      <c r="V450" s="64"/>
    </row>
    <row r="451" spans="1:22" x14ac:dyDescent="0.3">
      <c r="A451" t="s">
        <v>717</v>
      </c>
      <c r="T451" s="63" t="s">
        <v>717</v>
      </c>
      <c r="V451" s="64"/>
    </row>
    <row r="452" spans="1:22" x14ac:dyDescent="0.3">
      <c r="A452" t="s">
        <v>718</v>
      </c>
      <c r="T452" s="63" t="s">
        <v>718</v>
      </c>
      <c r="V452" s="64"/>
    </row>
    <row r="453" spans="1:22" x14ac:dyDescent="0.3">
      <c r="A453" t="s">
        <v>719</v>
      </c>
      <c r="T453" s="63" t="s">
        <v>719</v>
      </c>
      <c r="V453" s="64"/>
    </row>
    <row r="454" spans="1:22" x14ac:dyDescent="0.3">
      <c r="A454" t="s">
        <v>720</v>
      </c>
      <c r="T454" s="63" t="s">
        <v>720</v>
      </c>
      <c r="V454" s="64"/>
    </row>
    <row r="455" spans="1:22" x14ac:dyDescent="0.3">
      <c r="A455" t="s">
        <v>721</v>
      </c>
      <c r="T455" s="63" t="s">
        <v>721</v>
      </c>
      <c r="V455" s="64"/>
    </row>
    <row r="456" spans="1:22" x14ac:dyDescent="0.3">
      <c r="A456" t="s">
        <v>722</v>
      </c>
      <c r="T456" s="63" t="s">
        <v>722</v>
      </c>
      <c r="V456" s="64"/>
    </row>
    <row r="457" spans="1:22" x14ac:dyDescent="0.3">
      <c r="A457" t="s">
        <v>723</v>
      </c>
      <c r="T457" s="63" t="s">
        <v>723</v>
      </c>
      <c r="V457" s="64"/>
    </row>
    <row r="458" spans="1:22" x14ac:dyDescent="0.3">
      <c r="A458" t="s">
        <v>723</v>
      </c>
      <c r="T458" s="63" t="s">
        <v>723</v>
      </c>
      <c r="V458" s="64"/>
    </row>
    <row r="459" spans="1:22" x14ac:dyDescent="0.3">
      <c r="A459" t="s">
        <v>723</v>
      </c>
      <c r="T459" s="63" t="s">
        <v>723</v>
      </c>
      <c r="V459" s="64"/>
    </row>
    <row r="460" spans="1:22" x14ac:dyDescent="0.3">
      <c r="A460" t="s">
        <v>724</v>
      </c>
      <c r="T460" s="63" t="s">
        <v>724</v>
      </c>
      <c r="V460" s="64"/>
    </row>
    <row r="461" spans="1:22" x14ac:dyDescent="0.3">
      <c r="A461" t="s">
        <v>725</v>
      </c>
      <c r="T461" s="63" t="s">
        <v>725</v>
      </c>
      <c r="V461" s="64"/>
    </row>
    <row r="462" spans="1:22" x14ac:dyDescent="0.3">
      <c r="A462" t="s">
        <v>726</v>
      </c>
      <c r="T462" s="63" t="s">
        <v>726</v>
      </c>
      <c r="V462" s="64"/>
    </row>
    <row r="463" spans="1:22" x14ac:dyDescent="0.3">
      <c r="A463" t="s">
        <v>727</v>
      </c>
      <c r="T463" s="63" t="s">
        <v>727</v>
      </c>
      <c r="V463" s="64"/>
    </row>
    <row r="464" spans="1:22" x14ac:dyDescent="0.3">
      <c r="A464" t="s">
        <v>728</v>
      </c>
      <c r="T464" s="63" t="s">
        <v>728</v>
      </c>
      <c r="V464" s="64"/>
    </row>
    <row r="465" spans="1:22" x14ac:dyDescent="0.3">
      <c r="A465" t="s">
        <v>729</v>
      </c>
      <c r="T465" s="63" t="s">
        <v>729</v>
      </c>
      <c r="V465" s="64"/>
    </row>
    <row r="466" spans="1:22" x14ac:dyDescent="0.3">
      <c r="A466" t="s">
        <v>730</v>
      </c>
      <c r="T466" s="63" t="s">
        <v>730</v>
      </c>
      <c r="V466" s="64"/>
    </row>
    <row r="467" spans="1:22" x14ac:dyDescent="0.3">
      <c r="A467" t="s">
        <v>731</v>
      </c>
      <c r="T467" s="63" t="s">
        <v>731</v>
      </c>
      <c r="V467" s="64"/>
    </row>
    <row r="468" spans="1:22" x14ac:dyDescent="0.3">
      <c r="A468" t="s">
        <v>732</v>
      </c>
      <c r="T468" s="63" t="s">
        <v>732</v>
      </c>
      <c r="V468" s="64"/>
    </row>
    <row r="469" spans="1:22" x14ac:dyDescent="0.3">
      <c r="A469" t="s">
        <v>733</v>
      </c>
      <c r="T469" s="63" t="s">
        <v>733</v>
      </c>
      <c r="V469" s="64"/>
    </row>
    <row r="470" spans="1:22" x14ac:dyDescent="0.3">
      <c r="A470" t="s">
        <v>734</v>
      </c>
      <c r="T470" s="63" t="s">
        <v>734</v>
      </c>
      <c r="V470" s="64"/>
    </row>
    <row r="471" spans="1:22" x14ac:dyDescent="0.3">
      <c r="A471" t="s">
        <v>735</v>
      </c>
      <c r="T471" s="63" t="s">
        <v>735</v>
      </c>
      <c r="V471" s="64"/>
    </row>
    <row r="472" spans="1:22" x14ac:dyDescent="0.3">
      <c r="A472" t="s">
        <v>736</v>
      </c>
      <c r="T472" s="63" t="s">
        <v>736</v>
      </c>
      <c r="V472" s="64"/>
    </row>
    <row r="473" spans="1:22" x14ac:dyDescent="0.3">
      <c r="A473" t="s">
        <v>736</v>
      </c>
      <c r="T473" s="63" t="s">
        <v>736</v>
      </c>
      <c r="V473" s="64"/>
    </row>
    <row r="474" spans="1:22" x14ac:dyDescent="0.3">
      <c r="A474" t="s">
        <v>737</v>
      </c>
      <c r="T474" s="63" t="s">
        <v>737</v>
      </c>
      <c r="V474" s="64"/>
    </row>
    <row r="475" spans="1:22" x14ac:dyDescent="0.3">
      <c r="A475" t="s">
        <v>737</v>
      </c>
      <c r="T475" s="63" t="s">
        <v>737</v>
      </c>
      <c r="V475" s="64"/>
    </row>
    <row r="476" spans="1:22" x14ac:dyDescent="0.3">
      <c r="A476" t="s">
        <v>737</v>
      </c>
      <c r="T476" s="63" t="s">
        <v>737</v>
      </c>
      <c r="V476" s="64"/>
    </row>
    <row r="477" spans="1:22" x14ac:dyDescent="0.3">
      <c r="A477" t="s">
        <v>737</v>
      </c>
      <c r="T477" s="63" t="s">
        <v>737</v>
      </c>
      <c r="V477" s="64"/>
    </row>
    <row r="478" spans="1:22" x14ac:dyDescent="0.3">
      <c r="A478" t="s">
        <v>737</v>
      </c>
      <c r="T478" s="63" t="s">
        <v>737</v>
      </c>
      <c r="V478" s="64"/>
    </row>
    <row r="479" spans="1:22" x14ac:dyDescent="0.3">
      <c r="A479" t="s">
        <v>737</v>
      </c>
      <c r="T479" s="63" t="s">
        <v>737</v>
      </c>
      <c r="V479" s="64"/>
    </row>
    <row r="480" spans="1:22" x14ac:dyDescent="0.3">
      <c r="A480" t="s">
        <v>737</v>
      </c>
      <c r="T480" s="63" t="s">
        <v>737</v>
      </c>
      <c r="V480" s="64"/>
    </row>
    <row r="481" spans="1:22" x14ac:dyDescent="0.3">
      <c r="A481" t="s">
        <v>738</v>
      </c>
      <c r="T481" s="63" t="s">
        <v>738</v>
      </c>
      <c r="V481" s="64"/>
    </row>
    <row r="482" spans="1:22" x14ac:dyDescent="0.3">
      <c r="A482" t="s">
        <v>738</v>
      </c>
      <c r="T482" s="63" t="s">
        <v>738</v>
      </c>
      <c r="V482" s="64"/>
    </row>
    <row r="483" spans="1:22" x14ac:dyDescent="0.3">
      <c r="A483" t="s">
        <v>739</v>
      </c>
      <c r="T483" s="63" t="s">
        <v>739</v>
      </c>
      <c r="V483" s="64"/>
    </row>
    <row r="484" spans="1:22" x14ac:dyDescent="0.3">
      <c r="A484" t="s">
        <v>739</v>
      </c>
      <c r="T484" s="63" t="s">
        <v>739</v>
      </c>
      <c r="V484" s="64"/>
    </row>
    <row r="485" spans="1:22" x14ac:dyDescent="0.3">
      <c r="A485" t="s">
        <v>740</v>
      </c>
      <c r="T485" s="63" t="s">
        <v>740</v>
      </c>
      <c r="V485" s="64"/>
    </row>
    <row r="486" spans="1:22" x14ac:dyDescent="0.3">
      <c r="A486" t="s">
        <v>741</v>
      </c>
      <c r="T486" s="63" t="s">
        <v>741</v>
      </c>
      <c r="V486" s="64"/>
    </row>
    <row r="487" spans="1:22" x14ac:dyDescent="0.3">
      <c r="A487" t="s">
        <v>741</v>
      </c>
      <c r="T487" s="63" t="s">
        <v>741</v>
      </c>
      <c r="V487" s="64"/>
    </row>
    <row r="488" spans="1:22" x14ac:dyDescent="0.3">
      <c r="A488" t="s">
        <v>741</v>
      </c>
      <c r="T488" s="63" t="s">
        <v>741</v>
      </c>
      <c r="V488" s="64"/>
    </row>
    <row r="489" spans="1:22" x14ac:dyDescent="0.3">
      <c r="A489" t="s">
        <v>741</v>
      </c>
      <c r="T489" s="63" t="s">
        <v>741</v>
      </c>
      <c r="V489" s="64"/>
    </row>
    <row r="490" spans="1:22" x14ac:dyDescent="0.3">
      <c r="A490" t="s">
        <v>742</v>
      </c>
      <c r="T490" s="63" t="s">
        <v>742</v>
      </c>
      <c r="V490" s="64"/>
    </row>
    <row r="491" spans="1:22" x14ac:dyDescent="0.3">
      <c r="A491" t="s">
        <v>743</v>
      </c>
      <c r="T491" s="63" t="s">
        <v>743</v>
      </c>
      <c r="V491" s="64"/>
    </row>
    <row r="492" spans="1:22" x14ac:dyDescent="0.3">
      <c r="A492" t="s">
        <v>743</v>
      </c>
      <c r="T492" s="63" t="s">
        <v>743</v>
      </c>
      <c r="V492" s="64"/>
    </row>
    <row r="493" spans="1:22" x14ac:dyDescent="0.3">
      <c r="A493" t="s">
        <v>743</v>
      </c>
      <c r="T493" s="63" t="s">
        <v>743</v>
      </c>
      <c r="V493" s="64"/>
    </row>
    <row r="494" spans="1:22" x14ac:dyDescent="0.3">
      <c r="A494" t="s">
        <v>744</v>
      </c>
      <c r="T494" s="63" t="s">
        <v>744</v>
      </c>
      <c r="V494" s="64"/>
    </row>
    <row r="495" spans="1:22" x14ac:dyDescent="0.3">
      <c r="A495" t="s">
        <v>744</v>
      </c>
      <c r="T495" s="63" t="s">
        <v>744</v>
      </c>
      <c r="V495" s="64"/>
    </row>
    <row r="496" spans="1:22" x14ac:dyDescent="0.3">
      <c r="A496" t="s">
        <v>745</v>
      </c>
      <c r="T496" s="63" t="s">
        <v>745</v>
      </c>
      <c r="V496" s="64"/>
    </row>
    <row r="497" spans="1:22" x14ac:dyDescent="0.3">
      <c r="A497" t="s">
        <v>746</v>
      </c>
      <c r="T497" s="63" t="s">
        <v>746</v>
      </c>
      <c r="V497" s="64"/>
    </row>
    <row r="498" spans="1:22" x14ac:dyDescent="0.3">
      <c r="A498" t="s">
        <v>747</v>
      </c>
      <c r="T498" s="63" t="s">
        <v>747</v>
      </c>
      <c r="V498" s="64"/>
    </row>
    <row r="499" spans="1:22" x14ac:dyDescent="0.3">
      <c r="A499" t="s">
        <v>747</v>
      </c>
      <c r="T499" s="63" t="s">
        <v>747</v>
      </c>
      <c r="V499" s="64"/>
    </row>
    <row r="500" spans="1:22" x14ac:dyDescent="0.3">
      <c r="A500" t="s">
        <v>747</v>
      </c>
      <c r="T500" s="63" t="s">
        <v>747</v>
      </c>
      <c r="V500" s="64"/>
    </row>
    <row r="501" spans="1:22" x14ac:dyDescent="0.3">
      <c r="A501" t="s">
        <v>748</v>
      </c>
      <c r="T501" s="63" t="s">
        <v>748</v>
      </c>
      <c r="V501" s="64"/>
    </row>
    <row r="502" spans="1:22" x14ac:dyDescent="0.3">
      <c r="A502" t="s">
        <v>748</v>
      </c>
      <c r="T502" s="63" t="s">
        <v>748</v>
      </c>
      <c r="V502" s="64"/>
    </row>
    <row r="503" spans="1:22" x14ac:dyDescent="0.3">
      <c r="A503" t="s">
        <v>748</v>
      </c>
      <c r="T503" s="63" t="s">
        <v>748</v>
      </c>
      <c r="V503" s="64"/>
    </row>
    <row r="504" spans="1:22" x14ac:dyDescent="0.3">
      <c r="A504" t="s">
        <v>749</v>
      </c>
      <c r="T504" s="63" t="s">
        <v>749</v>
      </c>
      <c r="V504" s="64"/>
    </row>
    <row r="505" spans="1:22" x14ac:dyDescent="0.3">
      <c r="A505" t="s">
        <v>750</v>
      </c>
      <c r="T505" s="63" t="s">
        <v>750</v>
      </c>
      <c r="V505" s="64"/>
    </row>
    <row r="506" spans="1:22" x14ac:dyDescent="0.3">
      <c r="A506" t="s">
        <v>751</v>
      </c>
      <c r="T506" s="63" t="s">
        <v>751</v>
      </c>
      <c r="V506" s="64"/>
    </row>
    <row r="507" spans="1:22" x14ac:dyDescent="0.3">
      <c r="A507" t="s">
        <v>751</v>
      </c>
      <c r="T507" s="63" t="s">
        <v>751</v>
      </c>
      <c r="V507" s="64"/>
    </row>
    <row r="508" spans="1:22" x14ac:dyDescent="0.3">
      <c r="A508" t="s">
        <v>752</v>
      </c>
      <c r="T508" s="63" t="s">
        <v>752</v>
      </c>
      <c r="V508" s="64"/>
    </row>
    <row r="509" spans="1:22" x14ac:dyDescent="0.3">
      <c r="A509" t="s">
        <v>753</v>
      </c>
      <c r="T509" s="63" t="s">
        <v>753</v>
      </c>
      <c r="V509" s="64"/>
    </row>
    <row r="510" spans="1:22" x14ac:dyDescent="0.3">
      <c r="A510" t="s">
        <v>753</v>
      </c>
      <c r="T510" s="63" t="s">
        <v>753</v>
      </c>
      <c r="V510" s="64"/>
    </row>
    <row r="511" spans="1:22" x14ac:dyDescent="0.3">
      <c r="A511" t="s">
        <v>754</v>
      </c>
      <c r="T511" s="63" t="s">
        <v>754</v>
      </c>
      <c r="V511" s="64"/>
    </row>
    <row r="512" spans="1:22" x14ac:dyDescent="0.3">
      <c r="A512" t="s">
        <v>755</v>
      </c>
      <c r="T512" s="63" t="s">
        <v>755</v>
      </c>
      <c r="V512" s="64"/>
    </row>
    <row r="513" spans="1:22" x14ac:dyDescent="0.3">
      <c r="A513" t="s">
        <v>755</v>
      </c>
      <c r="T513" s="63" t="s">
        <v>755</v>
      </c>
      <c r="V513" s="64"/>
    </row>
    <row r="514" spans="1:22" x14ac:dyDescent="0.3">
      <c r="A514" t="s">
        <v>756</v>
      </c>
      <c r="T514" s="63" t="s">
        <v>756</v>
      </c>
      <c r="V514" s="64"/>
    </row>
    <row r="515" spans="1:22" x14ac:dyDescent="0.3">
      <c r="A515" t="s">
        <v>756</v>
      </c>
      <c r="T515" s="63" t="s">
        <v>756</v>
      </c>
      <c r="V515" s="64"/>
    </row>
    <row r="516" spans="1:22" x14ac:dyDescent="0.3">
      <c r="A516" t="s">
        <v>756</v>
      </c>
      <c r="T516" s="63" t="s">
        <v>756</v>
      </c>
      <c r="V516" s="64"/>
    </row>
    <row r="517" spans="1:22" x14ac:dyDescent="0.3">
      <c r="A517" t="s">
        <v>757</v>
      </c>
      <c r="T517" s="63" t="s">
        <v>757</v>
      </c>
      <c r="V517" s="64"/>
    </row>
    <row r="518" spans="1:22" x14ac:dyDescent="0.3">
      <c r="A518" t="s">
        <v>758</v>
      </c>
      <c r="T518" s="63" t="s">
        <v>758</v>
      </c>
      <c r="V518" s="64"/>
    </row>
    <row r="519" spans="1:22" x14ac:dyDescent="0.3">
      <c r="A519" t="s">
        <v>758</v>
      </c>
      <c r="T519" s="63" t="s">
        <v>758</v>
      </c>
      <c r="V519" s="64"/>
    </row>
    <row r="520" spans="1:22" x14ac:dyDescent="0.3">
      <c r="A520" t="s">
        <v>759</v>
      </c>
      <c r="T520" s="63" t="s">
        <v>759</v>
      </c>
      <c r="V520" s="64"/>
    </row>
    <row r="521" spans="1:22" x14ac:dyDescent="0.3">
      <c r="A521" t="s">
        <v>760</v>
      </c>
      <c r="T521" s="63" t="s">
        <v>760</v>
      </c>
      <c r="V521" s="64"/>
    </row>
    <row r="522" spans="1:22" x14ac:dyDescent="0.3">
      <c r="A522" t="s">
        <v>760</v>
      </c>
      <c r="T522" s="63" t="s">
        <v>760</v>
      </c>
      <c r="V522" s="64"/>
    </row>
    <row r="523" spans="1:22" x14ac:dyDescent="0.3">
      <c r="A523" t="s">
        <v>761</v>
      </c>
      <c r="T523" s="63" t="s">
        <v>761</v>
      </c>
      <c r="V523" s="64"/>
    </row>
    <row r="524" spans="1:22" x14ac:dyDescent="0.3">
      <c r="A524" t="s">
        <v>761</v>
      </c>
      <c r="T524" s="63" t="s">
        <v>761</v>
      </c>
      <c r="V524" s="64"/>
    </row>
    <row r="525" spans="1:22" x14ac:dyDescent="0.3">
      <c r="A525" t="s">
        <v>761</v>
      </c>
      <c r="T525" s="63" t="s">
        <v>761</v>
      </c>
      <c r="V525" s="64"/>
    </row>
    <row r="526" spans="1:22" x14ac:dyDescent="0.3">
      <c r="A526" t="s">
        <v>761</v>
      </c>
      <c r="T526" s="63" t="s">
        <v>761</v>
      </c>
      <c r="V526" s="64"/>
    </row>
    <row r="527" spans="1:22" x14ac:dyDescent="0.3">
      <c r="A527" t="s">
        <v>762</v>
      </c>
      <c r="T527" s="63" t="s">
        <v>762</v>
      </c>
      <c r="V527" s="64"/>
    </row>
    <row r="528" spans="1:22" x14ac:dyDescent="0.3">
      <c r="A528" t="s">
        <v>762</v>
      </c>
      <c r="T528" s="63" t="s">
        <v>762</v>
      </c>
      <c r="V528" s="64"/>
    </row>
    <row r="529" spans="1:22" x14ac:dyDescent="0.3">
      <c r="A529" t="s">
        <v>762</v>
      </c>
      <c r="T529" s="63" t="s">
        <v>762</v>
      </c>
      <c r="V529" s="64"/>
    </row>
    <row r="530" spans="1:22" x14ac:dyDescent="0.3">
      <c r="A530" t="s">
        <v>762</v>
      </c>
      <c r="T530" s="63" t="s">
        <v>762</v>
      </c>
      <c r="V530" s="64"/>
    </row>
    <row r="531" spans="1:22" x14ac:dyDescent="0.3">
      <c r="A531" t="s">
        <v>762</v>
      </c>
      <c r="T531" s="63" t="s">
        <v>762</v>
      </c>
      <c r="V531" s="64"/>
    </row>
    <row r="532" spans="1:22" x14ac:dyDescent="0.3">
      <c r="A532" t="s">
        <v>762</v>
      </c>
      <c r="T532" s="63" t="s">
        <v>762</v>
      </c>
      <c r="V532" s="64"/>
    </row>
    <row r="533" spans="1:22" x14ac:dyDescent="0.3">
      <c r="A533" t="s">
        <v>763</v>
      </c>
      <c r="T533" s="63" t="s">
        <v>763</v>
      </c>
      <c r="V533" s="64"/>
    </row>
    <row r="534" spans="1:22" x14ac:dyDescent="0.3">
      <c r="A534" t="s">
        <v>763</v>
      </c>
      <c r="T534" s="63" t="s">
        <v>763</v>
      </c>
      <c r="V534" s="64"/>
    </row>
    <row r="535" spans="1:22" x14ac:dyDescent="0.3">
      <c r="A535" t="s">
        <v>763</v>
      </c>
      <c r="T535" s="63" t="s">
        <v>763</v>
      </c>
      <c r="V535" s="64"/>
    </row>
    <row r="536" spans="1:22" x14ac:dyDescent="0.3">
      <c r="A536" t="s">
        <v>763</v>
      </c>
      <c r="T536" s="63" t="s">
        <v>763</v>
      </c>
      <c r="V536" s="64"/>
    </row>
    <row r="537" spans="1:22" x14ac:dyDescent="0.3">
      <c r="A537" t="s">
        <v>763</v>
      </c>
      <c r="T537" s="63" t="s">
        <v>763</v>
      </c>
      <c r="V537" s="64"/>
    </row>
    <row r="538" spans="1:22" x14ac:dyDescent="0.3">
      <c r="A538" t="s">
        <v>763</v>
      </c>
      <c r="T538" s="63" t="s">
        <v>763</v>
      </c>
      <c r="V538" s="64"/>
    </row>
    <row r="539" spans="1:22" x14ac:dyDescent="0.3">
      <c r="A539" t="s">
        <v>763</v>
      </c>
      <c r="T539" s="63" t="s">
        <v>763</v>
      </c>
      <c r="V539" s="64"/>
    </row>
    <row r="540" spans="1:22" x14ac:dyDescent="0.3">
      <c r="A540" t="s">
        <v>763</v>
      </c>
      <c r="T540" s="63" t="s">
        <v>763</v>
      </c>
      <c r="V540" s="64"/>
    </row>
    <row r="541" spans="1:22" x14ac:dyDescent="0.3">
      <c r="A541" t="s">
        <v>763</v>
      </c>
      <c r="T541" s="63" t="s">
        <v>763</v>
      </c>
      <c r="V541" s="64"/>
    </row>
    <row r="542" spans="1:22" x14ac:dyDescent="0.3">
      <c r="A542" t="s">
        <v>763</v>
      </c>
      <c r="T542" s="63" t="s">
        <v>763</v>
      </c>
      <c r="V542" s="64"/>
    </row>
    <row r="543" spans="1:22" x14ac:dyDescent="0.3">
      <c r="A543" t="s">
        <v>764</v>
      </c>
      <c r="T543" s="63" t="s">
        <v>764</v>
      </c>
      <c r="V543" s="64"/>
    </row>
    <row r="544" spans="1:22" x14ac:dyDescent="0.3">
      <c r="A544" t="s">
        <v>764</v>
      </c>
      <c r="T544" s="63" t="s">
        <v>764</v>
      </c>
      <c r="V544" s="64"/>
    </row>
    <row r="545" spans="1:22" x14ac:dyDescent="0.3">
      <c r="A545" t="s">
        <v>764</v>
      </c>
      <c r="T545" s="63" t="s">
        <v>764</v>
      </c>
      <c r="V545" s="64"/>
    </row>
    <row r="546" spans="1:22" x14ac:dyDescent="0.3">
      <c r="A546" t="s">
        <v>764</v>
      </c>
      <c r="T546" s="63" t="s">
        <v>764</v>
      </c>
      <c r="V546" s="64"/>
    </row>
    <row r="547" spans="1:22" x14ac:dyDescent="0.3">
      <c r="A547" t="s">
        <v>765</v>
      </c>
      <c r="T547" s="63" t="s">
        <v>765</v>
      </c>
      <c r="V547" s="64"/>
    </row>
    <row r="548" spans="1:22" x14ac:dyDescent="0.3">
      <c r="A548" t="s">
        <v>765</v>
      </c>
      <c r="T548" s="63" t="s">
        <v>765</v>
      </c>
      <c r="V548" s="64"/>
    </row>
    <row r="549" spans="1:22" x14ac:dyDescent="0.3">
      <c r="A549" t="s">
        <v>766</v>
      </c>
      <c r="T549" s="63" t="s">
        <v>766</v>
      </c>
      <c r="V549" s="64"/>
    </row>
    <row r="550" spans="1:22" x14ac:dyDescent="0.3">
      <c r="A550" t="s">
        <v>766</v>
      </c>
      <c r="T550" s="63" t="s">
        <v>766</v>
      </c>
      <c r="V550" s="64"/>
    </row>
    <row r="551" spans="1:22" x14ac:dyDescent="0.3">
      <c r="A551" t="s">
        <v>766</v>
      </c>
      <c r="T551" s="63" t="s">
        <v>766</v>
      </c>
      <c r="V551" s="64"/>
    </row>
    <row r="552" spans="1:22" x14ac:dyDescent="0.3">
      <c r="A552" t="s">
        <v>766</v>
      </c>
      <c r="T552" s="63" t="s">
        <v>766</v>
      </c>
      <c r="V552" s="64"/>
    </row>
    <row r="553" spans="1:22" x14ac:dyDescent="0.3">
      <c r="A553" t="s">
        <v>766</v>
      </c>
      <c r="T553" s="63" t="s">
        <v>766</v>
      </c>
      <c r="V553" s="64"/>
    </row>
    <row r="554" spans="1:22" x14ac:dyDescent="0.3">
      <c r="A554" t="s">
        <v>766</v>
      </c>
      <c r="T554" s="63" t="s">
        <v>766</v>
      </c>
      <c r="V554" s="64"/>
    </row>
    <row r="555" spans="1:22" x14ac:dyDescent="0.3">
      <c r="A555" t="s">
        <v>767</v>
      </c>
      <c r="T555" s="63" t="s">
        <v>767</v>
      </c>
      <c r="V555" s="64"/>
    </row>
    <row r="556" spans="1:22" x14ac:dyDescent="0.3">
      <c r="A556" t="s">
        <v>767</v>
      </c>
      <c r="T556" s="63" t="s">
        <v>767</v>
      </c>
      <c r="V556" s="64"/>
    </row>
    <row r="557" spans="1:22" x14ac:dyDescent="0.3">
      <c r="A557" t="s">
        <v>767</v>
      </c>
      <c r="T557" s="63" t="s">
        <v>767</v>
      </c>
      <c r="V557" s="64"/>
    </row>
    <row r="558" spans="1:22" x14ac:dyDescent="0.3">
      <c r="A558" t="s">
        <v>767</v>
      </c>
      <c r="T558" s="63" t="s">
        <v>767</v>
      </c>
      <c r="V558" s="64"/>
    </row>
    <row r="559" spans="1:22" x14ac:dyDescent="0.3">
      <c r="A559" t="s">
        <v>768</v>
      </c>
      <c r="T559" s="63" t="s">
        <v>768</v>
      </c>
      <c r="V559" s="64"/>
    </row>
    <row r="560" spans="1:22" x14ac:dyDescent="0.3">
      <c r="A560" t="s">
        <v>768</v>
      </c>
      <c r="T560" s="63" t="s">
        <v>768</v>
      </c>
      <c r="V560" s="64"/>
    </row>
    <row r="561" spans="1:22" x14ac:dyDescent="0.3">
      <c r="A561" t="s">
        <v>768</v>
      </c>
      <c r="T561" s="63" t="s">
        <v>768</v>
      </c>
      <c r="V561" s="64"/>
    </row>
    <row r="562" spans="1:22" x14ac:dyDescent="0.3">
      <c r="A562" t="s">
        <v>768</v>
      </c>
      <c r="T562" s="63" t="s">
        <v>768</v>
      </c>
      <c r="V562" s="64"/>
    </row>
    <row r="563" spans="1:22" x14ac:dyDescent="0.3">
      <c r="A563" t="s">
        <v>768</v>
      </c>
      <c r="T563" s="63" t="s">
        <v>768</v>
      </c>
      <c r="V563" s="64"/>
    </row>
    <row r="564" spans="1:22" x14ac:dyDescent="0.3">
      <c r="A564" t="s">
        <v>768</v>
      </c>
      <c r="T564" s="63" t="s">
        <v>768</v>
      </c>
      <c r="V564" s="64"/>
    </row>
    <row r="565" spans="1:22" x14ac:dyDescent="0.3">
      <c r="A565" t="s">
        <v>768</v>
      </c>
      <c r="T565" s="63" t="s">
        <v>768</v>
      </c>
      <c r="V565" s="64"/>
    </row>
    <row r="566" spans="1:22" x14ac:dyDescent="0.3">
      <c r="A566" t="s">
        <v>768</v>
      </c>
      <c r="T566" s="63" t="s">
        <v>768</v>
      </c>
      <c r="V566" s="64"/>
    </row>
    <row r="567" spans="1:22" x14ac:dyDescent="0.3">
      <c r="A567" t="s">
        <v>768</v>
      </c>
      <c r="T567" s="63" t="s">
        <v>768</v>
      </c>
      <c r="V567" s="64"/>
    </row>
    <row r="568" spans="1:22" x14ac:dyDescent="0.3">
      <c r="A568" t="s">
        <v>768</v>
      </c>
      <c r="T568" s="63" t="s">
        <v>768</v>
      </c>
      <c r="V568" s="64"/>
    </row>
    <row r="569" spans="1:22" x14ac:dyDescent="0.3">
      <c r="A569" t="s">
        <v>768</v>
      </c>
      <c r="T569" s="63" t="s">
        <v>768</v>
      </c>
      <c r="V569" s="64"/>
    </row>
    <row r="570" spans="1:22" x14ac:dyDescent="0.3">
      <c r="A570" t="s">
        <v>768</v>
      </c>
      <c r="T570" s="63" t="s">
        <v>768</v>
      </c>
      <c r="V570" s="64"/>
    </row>
    <row r="571" spans="1:22" x14ac:dyDescent="0.3">
      <c r="A571" t="s">
        <v>768</v>
      </c>
      <c r="T571" s="63" t="s">
        <v>768</v>
      </c>
      <c r="V571" s="64"/>
    </row>
    <row r="572" spans="1:22" x14ac:dyDescent="0.3">
      <c r="A572" t="s">
        <v>769</v>
      </c>
      <c r="T572" s="63" t="s">
        <v>769</v>
      </c>
      <c r="V572" s="64"/>
    </row>
    <row r="573" spans="1:22" x14ac:dyDescent="0.3">
      <c r="A573" t="s">
        <v>769</v>
      </c>
      <c r="T573" s="63" t="s">
        <v>769</v>
      </c>
      <c r="V573" s="64"/>
    </row>
    <row r="574" spans="1:22" x14ac:dyDescent="0.3">
      <c r="A574" t="s">
        <v>769</v>
      </c>
      <c r="T574" s="63" t="s">
        <v>769</v>
      </c>
      <c r="V574" s="64"/>
    </row>
    <row r="575" spans="1:22" x14ac:dyDescent="0.3">
      <c r="A575" t="s">
        <v>769</v>
      </c>
      <c r="T575" s="63" t="s">
        <v>769</v>
      </c>
      <c r="V575" s="64"/>
    </row>
    <row r="576" spans="1:22" x14ac:dyDescent="0.3">
      <c r="A576" t="s">
        <v>769</v>
      </c>
      <c r="T576" s="63" t="s">
        <v>769</v>
      </c>
      <c r="V576" s="64"/>
    </row>
    <row r="577" spans="1:22" x14ac:dyDescent="0.3">
      <c r="A577" t="s">
        <v>770</v>
      </c>
      <c r="T577" s="63" t="s">
        <v>770</v>
      </c>
      <c r="V577" s="64"/>
    </row>
    <row r="578" spans="1:22" x14ac:dyDescent="0.3">
      <c r="A578" t="s">
        <v>770</v>
      </c>
      <c r="T578" s="63" t="s">
        <v>770</v>
      </c>
      <c r="V578" s="64"/>
    </row>
    <row r="579" spans="1:22" x14ac:dyDescent="0.3">
      <c r="A579" t="s">
        <v>770</v>
      </c>
      <c r="T579" s="63" t="s">
        <v>770</v>
      </c>
      <c r="V579" s="64"/>
    </row>
    <row r="580" spans="1:22" x14ac:dyDescent="0.3">
      <c r="A580" t="s">
        <v>770</v>
      </c>
      <c r="T580" s="63" t="s">
        <v>770</v>
      </c>
      <c r="V580" s="64"/>
    </row>
    <row r="581" spans="1:22" x14ac:dyDescent="0.3">
      <c r="A581" t="s">
        <v>770</v>
      </c>
      <c r="T581" s="63" t="s">
        <v>770</v>
      </c>
      <c r="V581" s="64"/>
    </row>
    <row r="582" spans="1:22" x14ac:dyDescent="0.3">
      <c r="A582" t="s">
        <v>770</v>
      </c>
      <c r="T582" s="63" t="s">
        <v>770</v>
      </c>
      <c r="V582" s="64"/>
    </row>
    <row r="583" spans="1:22" x14ac:dyDescent="0.3">
      <c r="A583" t="s">
        <v>770</v>
      </c>
      <c r="T583" s="63" t="s">
        <v>770</v>
      </c>
      <c r="V583" s="64"/>
    </row>
    <row r="584" spans="1:22" x14ac:dyDescent="0.3">
      <c r="A584" t="s">
        <v>770</v>
      </c>
      <c r="T584" s="63" t="s">
        <v>770</v>
      </c>
      <c r="V584" s="64"/>
    </row>
    <row r="585" spans="1:22" x14ac:dyDescent="0.3">
      <c r="A585" t="s">
        <v>770</v>
      </c>
      <c r="T585" s="63" t="s">
        <v>770</v>
      </c>
      <c r="V585" s="64"/>
    </row>
    <row r="586" spans="1:22" x14ac:dyDescent="0.3">
      <c r="A586" t="s">
        <v>770</v>
      </c>
      <c r="T586" s="63" t="s">
        <v>770</v>
      </c>
      <c r="V586" s="64"/>
    </row>
    <row r="587" spans="1:22" x14ac:dyDescent="0.3">
      <c r="A587" t="s">
        <v>771</v>
      </c>
      <c r="T587" s="63" t="s">
        <v>771</v>
      </c>
      <c r="V587" s="64"/>
    </row>
    <row r="588" spans="1:22" x14ac:dyDescent="0.3">
      <c r="A588" t="s">
        <v>771</v>
      </c>
      <c r="T588" s="63" t="s">
        <v>771</v>
      </c>
      <c r="V588" s="64"/>
    </row>
    <row r="589" spans="1:22" x14ac:dyDescent="0.3">
      <c r="A589" t="s">
        <v>771</v>
      </c>
      <c r="T589" s="63" t="s">
        <v>771</v>
      </c>
      <c r="V589" s="64"/>
    </row>
    <row r="590" spans="1:22" x14ac:dyDescent="0.3">
      <c r="A590" t="s">
        <v>771</v>
      </c>
      <c r="T590" s="63" t="s">
        <v>771</v>
      </c>
      <c r="V590" s="64"/>
    </row>
    <row r="591" spans="1:22" x14ac:dyDescent="0.3">
      <c r="A591" t="s">
        <v>771</v>
      </c>
      <c r="T591" s="63" t="s">
        <v>771</v>
      </c>
      <c r="V591" s="64"/>
    </row>
    <row r="592" spans="1:22" x14ac:dyDescent="0.3">
      <c r="A592" t="s">
        <v>771</v>
      </c>
      <c r="T592" s="63" t="s">
        <v>771</v>
      </c>
      <c r="V592" s="64"/>
    </row>
    <row r="593" spans="1:22" x14ac:dyDescent="0.3">
      <c r="A593" t="s">
        <v>772</v>
      </c>
      <c r="T593" s="63" t="s">
        <v>772</v>
      </c>
      <c r="V593" s="64"/>
    </row>
    <row r="594" spans="1:22" x14ac:dyDescent="0.3">
      <c r="A594" t="s">
        <v>773</v>
      </c>
      <c r="T594" s="63" t="s">
        <v>773</v>
      </c>
      <c r="V594" s="64"/>
    </row>
    <row r="595" spans="1:22" x14ac:dyDescent="0.3">
      <c r="A595" t="s">
        <v>774</v>
      </c>
      <c r="T595" s="63" t="s">
        <v>774</v>
      </c>
      <c r="V595" s="64"/>
    </row>
    <row r="596" spans="1:22" x14ac:dyDescent="0.3">
      <c r="A596" t="s">
        <v>775</v>
      </c>
      <c r="T596" s="63" t="s">
        <v>775</v>
      </c>
      <c r="V596" s="64"/>
    </row>
    <row r="597" spans="1:22" x14ac:dyDescent="0.3">
      <c r="A597" t="s">
        <v>776</v>
      </c>
      <c r="T597" s="63" t="s">
        <v>776</v>
      </c>
      <c r="V597" s="64"/>
    </row>
    <row r="598" spans="1:22" x14ac:dyDescent="0.3">
      <c r="A598" t="s">
        <v>777</v>
      </c>
      <c r="T598" s="63" t="s">
        <v>777</v>
      </c>
      <c r="V598" s="64"/>
    </row>
    <row r="599" spans="1:22" x14ac:dyDescent="0.3">
      <c r="A599" t="s">
        <v>778</v>
      </c>
      <c r="T599" s="63" t="s">
        <v>778</v>
      </c>
      <c r="V599" s="64"/>
    </row>
    <row r="600" spans="1:22" x14ac:dyDescent="0.3">
      <c r="A600" t="s">
        <v>779</v>
      </c>
      <c r="T600" s="63" t="s">
        <v>779</v>
      </c>
      <c r="V600" s="64"/>
    </row>
    <row r="601" spans="1:22" x14ac:dyDescent="0.3">
      <c r="A601" t="s">
        <v>780</v>
      </c>
      <c r="T601" s="63" t="s">
        <v>780</v>
      </c>
      <c r="V601" s="64"/>
    </row>
    <row r="602" spans="1:22" x14ac:dyDescent="0.3">
      <c r="A602" t="s">
        <v>781</v>
      </c>
      <c r="T602" s="63" t="s">
        <v>781</v>
      </c>
      <c r="V602" s="64"/>
    </row>
    <row r="603" spans="1:22" x14ac:dyDescent="0.3">
      <c r="A603" t="s">
        <v>782</v>
      </c>
      <c r="T603" s="63" t="s">
        <v>782</v>
      </c>
      <c r="V603" s="64"/>
    </row>
    <row r="604" spans="1:22" x14ac:dyDescent="0.3">
      <c r="A604" t="s">
        <v>783</v>
      </c>
      <c r="T604" s="63" t="s">
        <v>783</v>
      </c>
      <c r="V604" s="64"/>
    </row>
    <row r="605" spans="1:22" x14ac:dyDescent="0.3">
      <c r="A605" t="s">
        <v>784</v>
      </c>
      <c r="T605" s="63" t="s">
        <v>784</v>
      </c>
      <c r="V605" s="64"/>
    </row>
    <row r="606" spans="1:22" x14ac:dyDescent="0.3">
      <c r="A606" t="s">
        <v>785</v>
      </c>
      <c r="T606" s="63" t="s">
        <v>785</v>
      </c>
      <c r="V606" s="64"/>
    </row>
    <row r="607" spans="1:22" x14ac:dyDescent="0.3">
      <c r="A607" t="s">
        <v>786</v>
      </c>
      <c r="T607" s="63" t="s">
        <v>786</v>
      </c>
      <c r="V607" s="64"/>
    </row>
    <row r="608" spans="1:22" x14ac:dyDescent="0.3">
      <c r="A608" t="s">
        <v>787</v>
      </c>
      <c r="T608" s="63" t="s">
        <v>787</v>
      </c>
      <c r="V608" s="64"/>
    </row>
    <row r="609" spans="1:22" x14ac:dyDescent="0.3">
      <c r="A609" t="s">
        <v>788</v>
      </c>
      <c r="T609" s="63" t="s">
        <v>788</v>
      </c>
      <c r="V609" s="64"/>
    </row>
    <row r="610" spans="1:22" x14ac:dyDescent="0.3">
      <c r="A610" t="s">
        <v>789</v>
      </c>
      <c r="T610" s="63" t="s">
        <v>789</v>
      </c>
      <c r="V610" s="64"/>
    </row>
    <row r="611" spans="1:22" x14ac:dyDescent="0.3">
      <c r="A611" t="s">
        <v>790</v>
      </c>
      <c r="T611" s="63" t="s">
        <v>790</v>
      </c>
      <c r="V611" s="64"/>
    </row>
    <row r="612" spans="1:22" x14ac:dyDescent="0.3">
      <c r="A612" t="s">
        <v>791</v>
      </c>
      <c r="T612" s="63" t="s">
        <v>791</v>
      </c>
      <c r="V612" s="64"/>
    </row>
    <row r="613" spans="1:22" x14ac:dyDescent="0.3">
      <c r="A613" t="s">
        <v>792</v>
      </c>
      <c r="T613" s="63" t="s">
        <v>792</v>
      </c>
      <c r="V613" s="64"/>
    </row>
    <row r="614" spans="1:22" x14ac:dyDescent="0.3">
      <c r="A614" t="s">
        <v>793</v>
      </c>
      <c r="T614" s="63" t="s">
        <v>793</v>
      </c>
      <c r="V614" s="64"/>
    </row>
    <row r="615" spans="1:22" x14ac:dyDescent="0.3">
      <c r="A615" t="s">
        <v>794</v>
      </c>
      <c r="T615" s="63" t="s">
        <v>794</v>
      </c>
      <c r="V615" s="64"/>
    </row>
    <row r="616" spans="1:22" x14ac:dyDescent="0.3">
      <c r="A616" t="s">
        <v>795</v>
      </c>
      <c r="T616" s="63" t="s">
        <v>795</v>
      </c>
      <c r="V616" s="64"/>
    </row>
    <row r="617" spans="1:22" x14ac:dyDescent="0.3">
      <c r="A617" t="s">
        <v>796</v>
      </c>
      <c r="T617" s="63" t="s">
        <v>796</v>
      </c>
      <c r="V617" s="64"/>
    </row>
    <row r="618" spans="1:22" x14ac:dyDescent="0.3">
      <c r="A618" t="s">
        <v>797</v>
      </c>
      <c r="T618" s="63" t="s">
        <v>797</v>
      </c>
      <c r="V618" s="64"/>
    </row>
    <row r="619" spans="1:22" x14ac:dyDescent="0.3">
      <c r="A619" t="s">
        <v>797</v>
      </c>
      <c r="T619" s="63" t="s">
        <v>797</v>
      </c>
      <c r="V619" s="64"/>
    </row>
    <row r="620" spans="1:22" x14ac:dyDescent="0.3">
      <c r="A620" t="s">
        <v>798</v>
      </c>
      <c r="T620" s="63" t="s">
        <v>798</v>
      </c>
      <c r="V620" s="64"/>
    </row>
    <row r="621" spans="1:22" x14ac:dyDescent="0.3">
      <c r="A621" t="s">
        <v>799</v>
      </c>
      <c r="T621" s="63" t="s">
        <v>799</v>
      </c>
      <c r="V621" s="64"/>
    </row>
    <row r="622" spans="1:22" x14ac:dyDescent="0.3">
      <c r="A622" t="s">
        <v>800</v>
      </c>
      <c r="T622" s="63" t="s">
        <v>800</v>
      </c>
      <c r="V622" s="64"/>
    </row>
    <row r="623" spans="1:22" x14ac:dyDescent="0.3">
      <c r="A623" t="s">
        <v>800</v>
      </c>
      <c r="T623" s="63" t="s">
        <v>800</v>
      </c>
      <c r="V623" s="64"/>
    </row>
    <row r="624" spans="1:22" x14ac:dyDescent="0.3">
      <c r="A624" t="s">
        <v>800</v>
      </c>
      <c r="T624" s="63" t="s">
        <v>800</v>
      </c>
      <c r="V624" s="64"/>
    </row>
    <row r="625" spans="1:22" x14ac:dyDescent="0.3">
      <c r="A625" t="s">
        <v>800</v>
      </c>
      <c r="T625" s="63" t="s">
        <v>800</v>
      </c>
      <c r="V625" s="64"/>
    </row>
    <row r="626" spans="1:22" x14ac:dyDescent="0.3">
      <c r="A626" t="s">
        <v>800</v>
      </c>
      <c r="T626" s="63" t="s">
        <v>800</v>
      </c>
      <c r="V626" s="64"/>
    </row>
    <row r="627" spans="1:22" x14ac:dyDescent="0.3">
      <c r="A627" t="s">
        <v>800</v>
      </c>
      <c r="T627" s="63" t="s">
        <v>800</v>
      </c>
      <c r="V627" s="64"/>
    </row>
    <row r="628" spans="1:22" x14ac:dyDescent="0.3">
      <c r="A628" t="s">
        <v>800</v>
      </c>
      <c r="T628" s="63" t="s">
        <v>800</v>
      </c>
      <c r="V628" s="64"/>
    </row>
    <row r="629" spans="1:22" x14ac:dyDescent="0.3">
      <c r="A629" t="s">
        <v>800</v>
      </c>
      <c r="T629" s="63" t="s">
        <v>800</v>
      </c>
      <c r="V629" s="64"/>
    </row>
    <row r="630" spans="1:22" x14ac:dyDescent="0.3">
      <c r="A630" t="s">
        <v>801</v>
      </c>
      <c r="T630" s="63" t="s">
        <v>801</v>
      </c>
      <c r="V630" s="64"/>
    </row>
    <row r="631" spans="1:22" x14ac:dyDescent="0.3">
      <c r="A631" t="s">
        <v>801</v>
      </c>
      <c r="T631" s="63" t="s">
        <v>801</v>
      </c>
      <c r="V631" s="64"/>
    </row>
    <row r="632" spans="1:22" x14ac:dyDescent="0.3">
      <c r="A632" t="s">
        <v>802</v>
      </c>
      <c r="T632" s="63" t="s">
        <v>802</v>
      </c>
      <c r="V632" s="64"/>
    </row>
    <row r="633" spans="1:22" x14ac:dyDescent="0.3">
      <c r="A633" t="s">
        <v>803</v>
      </c>
      <c r="T633" s="63" t="s">
        <v>803</v>
      </c>
      <c r="V633" s="64"/>
    </row>
    <row r="634" spans="1:22" x14ac:dyDescent="0.3">
      <c r="A634" t="s">
        <v>804</v>
      </c>
      <c r="T634" s="63" t="s">
        <v>804</v>
      </c>
      <c r="V634" s="64"/>
    </row>
    <row r="635" spans="1:22" x14ac:dyDescent="0.3">
      <c r="A635" t="s">
        <v>804</v>
      </c>
      <c r="T635" s="63" t="s">
        <v>804</v>
      </c>
      <c r="V635" s="64"/>
    </row>
    <row r="636" spans="1:22" x14ac:dyDescent="0.3">
      <c r="A636" t="s">
        <v>804</v>
      </c>
      <c r="T636" s="63" t="s">
        <v>804</v>
      </c>
      <c r="V636" s="64"/>
    </row>
    <row r="637" spans="1:22" x14ac:dyDescent="0.3">
      <c r="A637" t="s">
        <v>805</v>
      </c>
      <c r="T637" s="63" t="s">
        <v>805</v>
      </c>
      <c r="V637" s="64"/>
    </row>
    <row r="638" spans="1:22" x14ac:dyDescent="0.3">
      <c r="A638" t="s">
        <v>806</v>
      </c>
      <c r="T638" s="63" t="s">
        <v>806</v>
      </c>
      <c r="V638" s="64"/>
    </row>
    <row r="639" spans="1:22" x14ac:dyDescent="0.3">
      <c r="A639" t="s">
        <v>807</v>
      </c>
      <c r="T639" s="63" t="s">
        <v>807</v>
      </c>
      <c r="V639" s="64"/>
    </row>
    <row r="640" spans="1:22" x14ac:dyDescent="0.3">
      <c r="A640" t="s">
        <v>808</v>
      </c>
      <c r="T640" s="63" t="s">
        <v>808</v>
      </c>
      <c r="V640" s="64"/>
    </row>
    <row r="641" spans="1:22" x14ac:dyDescent="0.3">
      <c r="A641" t="s">
        <v>809</v>
      </c>
      <c r="T641" s="63" t="s">
        <v>809</v>
      </c>
      <c r="V641" s="64"/>
    </row>
    <row r="642" spans="1:22" x14ac:dyDescent="0.3">
      <c r="A642" t="s">
        <v>810</v>
      </c>
      <c r="T642" s="63" t="s">
        <v>810</v>
      </c>
      <c r="V642" s="64"/>
    </row>
    <row r="643" spans="1:22" x14ac:dyDescent="0.3">
      <c r="A643" t="s">
        <v>811</v>
      </c>
      <c r="T643" s="63" t="s">
        <v>811</v>
      </c>
      <c r="V643" s="64"/>
    </row>
    <row r="644" spans="1:22" x14ac:dyDescent="0.3">
      <c r="A644" t="s">
        <v>811</v>
      </c>
      <c r="T644" s="63" t="s">
        <v>811</v>
      </c>
      <c r="V644" s="64"/>
    </row>
    <row r="645" spans="1:22" x14ac:dyDescent="0.3">
      <c r="A645" t="s">
        <v>812</v>
      </c>
      <c r="T645" s="63" t="s">
        <v>812</v>
      </c>
      <c r="V645" s="64"/>
    </row>
    <row r="646" spans="1:22" x14ac:dyDescent="0.3">
      <c r="A646" t="s">
        <v>813</v>
      </c>
      <c r="T646" s="63" t="s">
        <v>813</v>
      </c>
      <c r="V646" s="64"/>
    </row>
    <row r="647" spans="1:22" x14ac:dyDescent="0.3">
      <c r="A647" t="s">
        <v>814</v>
      </c>
      <c r="T647" s="63" t="s">
        <v>814</v>
      </c>
      <c r="V647" s="64"/>
    </row>
    <row r="648" spans="1:22" x14ac:dyDescent="0.3">
      <c r="A648" t="s">
        <v>815</v>
      </c>
      <c r="T648" s="63" t="s">
        <v>815</v>
      </c>
      <c r="V648" s="64"/>
    </row>
    <row r="649" spans="1:22" x14ac:dyDescent="0.3">
      <c r="A649" t="s">
        <v>816</v>
      </c>
      <c r="T649" s="63" t="s">
        <v>816</v>
      </c>
      <c r="V649" s="64"/>
    </row>
    <row r="650" spans="1:22" x14ac:dyDescent="0.3">
      <c r="A650" t="s">
        <v>816</v>
      </c>
      <c r="T650" s="63" t="s">
        <v>816</v>
      </c>
      <c r="V650" s="64"/>
    </row>
    <row r="651" spans="1:22" x14ac:dyDescent="0.3">
      <c r="A651" t="s">
        <v>816</v>
      </c>
      <c r="T651" s="63" t="s">
        <v>816</v>
      </c>
      <c r="V651" s="64"/>
    </row>
    <row r="652" spans="1:22" x14ac:dyDescent="0.3">
      <c r="A652" t="s">
        <v>816</v>
      </c>
      <c r="T652" s="63" t="s">
        <v>816</v>
      </c>
      <c r="V652" s="64"/>
    </row>
    <row r="653" spans="1:22" x14ac:dyDescent="0.3">
      <c r="A653" t="s">
        <v>816</v>
      </c>
      <c r="T653" s="63" t="s">
        <v>816</v>
      </c>
      <c r="V653" s="64"/>
    </row>
    <row r="654" spans="1:22" x14ac:dyDescent="0.3">
      <c r="A654" t="s">
        <v>816</v>
      </c>
      <c r="T654" s="63" t="s">
        <v>816</v>
      </c>
      <c r="V654" s="64"/>
    </row>
    <row r="655" spans="1:22" x14ac:dyDescent="0.3">
      <c r="A655" t="s">
        <v>816</v>
      </c>
      <c r="T655" s="63" t="s">
        <v>816</v>
      </c>
      <c r="V655" s="64"/>
    </row>
    <row r="656" spans="1:22" x14ac:dyDescent="0.3">
      <c r="A656" t="s">
        <v>816</v>
      </c>
      <c r="T656" s="63" t="s">
        <v>816</v>
      </c>
      <c r="V656" s="64"/>
    </row>
    <row r="657" spans="1:22" x14ac:dyDescent="0.3">
      <c r="A657" t="s">
        <v>816</v>
      </c>
      <c r="T657" s="63" t="s">
        <v>816</v>
      </c>
      <c r="V657" s="64"/>
    </row>
    <row r="658" spans="1:22" x14ac:dyDescent="0.3">
      <c r="A658" t="s">
        <v>816</v>
      </c>
      <c r="T658" s="63" t="s">
        <v>816</v>
      </c>
      <c r="V658" s="64"/>
    </row>
    <row r="659" spans="1:22" x14ac:dyDescent="0.3">
      <c r="A659" t="s">
        <v>817</v>
      </c>
      <c r="T659" s="63" t="s">
        <v>817</v>
      </c>
      <c r="V659" s="64"/>
    </row>
    <row r="660" spans="1:22" x14ac:dyDescent="0.3">
      <c r="A660" t="s">
        <v>818</v>
      </c>
      <c r="T660" s="63" t="s">
        <v>818</v>
      </c>
      <c r="V660" s="64"/>
    </row>
    <row r="661" spans="1:22" x14ac:dyDescent="0.3">
      <c r="A661" t="s">
        <v>819</v>
      </c>
      <c r="T661" s="63" t="s">
        <v>819</v>
      </c>
      <c r="V661" s="64"/>
    </row>
    <row r="662" spans="1:22" x14ac:dyDescent="0.3">
      <c r="A662" t="s">
        <v>820</v>
      </c>
      <c r="T662" s="63" t="s">
        <v>820</v>
      </c>
      <c r="V662" s="64"/>
    </row>
    <row r="663" spans="1:22" x14ac:dyDescent="0.3">
      <c r="A663" t="s">
        <v>821</v>
      </c>
      <c r="T663" s="63" t="s">
        <v>821</v>
      </c>
      <c r="V663" s="64"/>
    </row>
    <row r="664" spans="1:22" x14ac:dyDescent="0.3">
      <c r="A664" t="s">
        <v>821</v>
      </c>
      <c r="T664" s="63" t="s">
        <v>821</v>
      </c>
      <c r="V664" s="64"/>
    </row>
    <row r="665" spans="1:22" x14ac:dyDescent="0.3">
      <c r="A665" t="s">
        <v>821</v>
      </c>
      <c r="T665" s="63" t="s">
        <v>821</v>
      </c>
      <c r="V665" s="64"/>
    </row>
    <row r="666" spans="1:22" x14ac:dyDescent="0.3">
      <c r="A666" t="s">
        <v>821</v>
      </c>
      <c r="T666" s="63" t="s">
        <v>821</v>
      </c>
      <c r="V666" s="64"/>
    </row>
    <row r="667" spans="1:22" x14ac:dyDescent="0.3">
      <c r="A667" t="s">
        <v>822</v>
      </c>
      <c r="T667" s="63" t="s">
        <v>822</v>
      </c>
      <c r="V667" s="64"/>
    </row>
    <row r="668" spans="1:22" x14ac:dyDescent="0.3">
      <c r="A668" t="s">
        <v>822</v>
      </c>
      <c r="T668" s="63" t="s">
        <v>822</v>
      </c>
      <c r="V668" s="64"/>
    </row>
    <row r="669" spans="1:22" x14ac:dyDescent="0.3">
      <c r="A669" t="s">
        <v>822</v>
      </c>
      <c r="T669" s="63" t="s">
        <v>822</v>
      </c>
      <c r="V669" s="64"/>
    </row>
    <row r="670" spans="1:22" x14ac:dyDescent="0.3">
      <c r="A670" t="s">
        <v>822</v>
      </c>
      <c r="T670" s="63" t="s">
        <v>822</v>
      </c>
      <c r="V670" s="64"/>
    </row>
    <row r="671" spans="1:22" x14ac:dyDescent="0.3">
      <c r="A671" t="s">
        <v>823</v>
      </c>
      <c r="T671" s="63" t="s">
        <v>823</v>
      </c>
      <c r="V671" s="64"/>
    </row>
    <row r="672" spans="1:22" x14ac:dyDescent="0.3">
      <c r="A672" t="s">
        <v>824</v>
      </c>
      <c r="T672" s="63" t="s">
        <v>824</v>
      </c>
      <c r="V672" s="64"/>
    </row>
    <row r="673" spans="1:22" x14ac:dyDescent="0.3">
      <c r="A673" t="s">
        <v>824</v>
      </c>
      <c r="T673" s="63" t="s">
        <v>824</v>
      </c>
      <c r="V673" s="64"/>
    </row>
    <row r="674" spans="1:22" x14ac:dyDescent="0.3">
      <c r="A674" t="s">
        <v>824</v>
      </c>
      <c r="T674" s="63" t="s">
        <v>824</v>
      </c>
      <c r="V674" s="64"/>
    </row>
    <row r="675" spans="1:22" x14ac:dyDescent="0.3">
      <c r="A675" t="s">
        <v>824</v>
      </c>
      <c r="T675" s="63" t="s">
        <v>824</v>
      </c>
      <c r="V675" s="64"/>
    </row>
    <row r="676" spans="1:22" x14ac:dyDescent="0.3">
      <c r="A676" t="s">
        <v>824</v>
      </c>
      <c r="T676" s="63" t="s">
        <v>824</v>
      </c>
      <c r="V676" s="64"/>
    </row>
    <row r="677" spans="1:22" x14ac:dyDescent="0.3">
      <c r="A677" t="s">
        <v>824</v>
      </c>
      <c r="T677" s="63" t="s">
        <v>824</v>
      </c>
      <c r="V677" s="64"/>
    </row>
    <row r="678" spans="1:22" x14ac:dyDescent="0.3">
      <c r="A678" t="s">
        <v>824</v>
      </c>
      <c r="T678" s="63" t="s">
        <v>824</v>
      </c>
      <c r="V678" s="64"/>
    </row>
    <row r="679" spans="1:22" x14ac:dyDescent="0.3">
      <c r="A679" t="s">
        <v>824</v>
      </c>
      <c r="T679" s="63" t="s">
        <v>824</v>
      </c>
      <c r="V679" s="64"/>
    </row>
    <row r="680" spans="1:22" x14ac:dyDescent="0.3">
      <c r="A680" t="s">
        <v>824</v>
      </c>
      <c r="T680" s="63" t="s">
        <v>824</v>
      </c>
      <c r="V680" s="64"/>
    </row>
    <row r="681" spans="1:22" x14ac:dyDescent="0.3">
      <c r="A681" t="s">
        <v>824</v>
      </c>
      <c r="T681" s="63" t="s">
        <v>824</v>
      </c>
      <c r="V681" s="64"/>
    </row>
    <row r="682" spans="1:22" x14ac:dyDescent="0.3">
      <c r="A682" t="s">
        <v>824</v>
      </c>
      <c r="T682" s="63" t="s">
        <v>824</v>
      </c>
      <c r="V682" s="64"/>
    </row>
    <row r="683" spans="1:22" x14ac:dyDescent="0.3">
      <c r="A683" t="s">
        <v>824</v>
      </c>
      <c r="T683" s="63" t="s">
        <v>824</v>
      </c>
      <c r="V683" s="64"/>
    </row>
    <row r="684" spans="1:22" x14ac:dyDescent="0.3">
      <c r="A684" t="s">
        <v>825</v>
      </c>
      <c r="T684" s="63" t="s">
        <v>825</v>
      </c>
      <c r="V684" s="64"/>
    </row>
    <row r="685" spans="1:22" x14ac:dyDescent="0.3">
      <c r="A685" t="s">
        <v>826</v>
      </c>
      <c r="T685" s="63" t="s">
        <v>826</v>
      </c>
      <c r="V685" s="64"/>
    </row>
    <row r="686" spans="1:22" x14ac:dyDescent="0.3">
      <c r="A686" t="s">
        <v>826</v>
      </c>
      <c r="T686" s="63" t="s">
        <v>826</v>
      </c>
      <c r="V686" s="64"/>
    </row>
    <row r="687" spans="1:22" x14ac:dyDescent="0.3">
      <c r="A687" t="s">
        <v>826</v>
      </c>
      <c r="T687" s="63" t="s">
        <v>826</v>
      </c>
      <c r="V687" s="64"/>
    </row>
    <row r="688" spans="1:22" x14ac:dyDescent="0.3">
      <c r="A688" t="s">
        <v>827</v>
      </c>
      <c r="T688" s="63" t="s">
        <v>827</v>
      </c>
      <c r="V688" s="64"/>
    </row>
    <row r="689" spans="1:22" x14ac:dyDescent="0.3">
      <c r="A689" t="s">
        <v>828</v>
      </c>
      <c r="T689" s="63" t="s">
        <v>828</v>
      </c>
      <c r="V689" s="64"/>
    </row>
    <row r="690" spans="1:22" x14ac:dyDescent="0.3">
      <c r="A690" t="s">
        <v>829</v>
      </c>
      <c r="T690" s="63" t="s">
        <v>829</v>
      </c>
      <c r="V690" s="64"/>
    </row>
    <row r="691" spans="1:22" x14ac:dyDescent="0.3">
      <c r="A691" t="s">
        <v>829</v>
      </c>
      <c r="T691" s="63" t="s">
        <v>829</v>
      </c>
      <c r="V691" s="64"/>
    </row>
    <row r="692" spans="1:22" x14ac:dyDescent="0.3">
      <c r="A692" t="s">
        <v>829</v>
      </c>
      <c r="T692" s="63" t="s">
        <v>829</v>
      </c>
      <c r="V692" s="64"/>
    </row>
    <row r="693" spans="1:22" x14ac:dyDescent="0.3">
      <c r="A693" t="s">
        <v>829</v>
      </c>
      <c r="T693" s="63" t="s">
        <v>829</v>
      </c>
      <c r="V693" s="64"/>
    </row>
    <row r="694" spans="1:22" x14ac:dyDescent="0.3">
      <c r="A694" t="s">
        <v>829</v>
      </c>
      <c r="T694" s="63" t="s">
        <v>829</v>
      </c>
      <c r="V694" s="64"/>
    </row>
    <row r="695" spans="1:22" x14ac:dyDescent="0.3">
      <c r="A695" t="s">
        <v>829</v>
      </c>
      <c r="T695" s="63" t="s">
        <v>829</v>
      </c>
      <c r="V695" s="64"/>
    </row>
    <row r="696" spans="1:22" x14ac:dyDescent="0.3">
      <c r="A696" t="s">
        <v>829</v>
      </c>
      <c r="T696" s="63" t="s">
        <v>829</v>
      </c>
      <c r="V696" s="64"/>
    </row>
    <row r="697" spans="1:22" x14ac:dyDescent="0.3">
      <c r="A697" t="s">
        <v>829</v>
      </c>
      <c r="T697" s="63" t="s">
        <v>829</v>
      </c>
      <c r="V697" s="64"/>
    </row>
    <row r="698" spans="1:22" x14ac:dyDescent="0.3">
      <c r="A698" t="s">
        <v>829</v>
      </c>
      <c r="T698" s="63" t="s">
        <v>829</v>
      </c>
      <c r="V698" s="64"/>
    </row>
    <row r="699" spans="1:22" x14ac:dyDescent="0.3">
      <c r="A699" t="s">
        <v>829</v>
      </c>
      <c r="T699" s="63" t="s">
        <v>829</v>
      </c>
      <c r="V699" s="64"/>
    </row>
    <row r="700" spans="1:22" x14ac:dyDescent="0.3">
      <c r="A700" t="s">
        <v>830</v>
      </c>
      <c r="T700" s="63" t="s">
        <v>830</v>
      </c>
      <c r="V700" s="64"/>
    </row>
    <row r="701" spans="1:22" x14ac:dyDescent="0.3">
      <c r="A701" t="s">
        <v>830</v>
      </c>
      <c r="T701" s="63" t="s">
        <v>830</v>
      </c>
      <c r="V701" s="64"/>
    </row>
    <row r="702" spans="1:22" x14ac:dyDescent="0.3">
      <c r="A702" t="s">
        <v>831</v>
      </c>
      <c r="T702" s="63" t="s">
        <v>831</v>
      </c>
      <c r="V702" s="64"/>
    </row>
    <row r="703" spans="1:22" x14ac:dyDescent="0.3">
      <c r="A703" t="s">
        <v>832</v>
      </c>
      <c r="T703" s="63" t="s">
        <v>832</v>
      </c>
      <c r="V703" s="64"/>
    </row>
    <row r="704" spans="1:22" x14ac:dyDescent="0.3">
      <c r="A704" t="s">
        <v>833</v>
      </c>
      <c r="T704" s="63" t="s">
        <v>833</v>
      </c>
      <c r="V704" s="64"/>
    </row>
    <row r="705" spans="1:22" x14ac:dyDescent="0.3">
      <c r="A705" t="s">
        <v>834</v>
      </c>
      <c r="T705" s="63" t="s">
        <v>834</v>
      </c>
      <c r="V705" s="64"/>
    </row>
    <row r="706" spans="1:22" x14ac:dyDescent="0.3">
      <c r="A706" t="s">
        <v>835</v>
      </c>
      <c r="T706" s="63" t="s">
        <v>835</v>
      </c>
      <c r="V706" s="64"/>
    </row>
    <row r="707" spans="1:22" x14ac:dyDescent="0.3">
      <c r="A707" t="s">
        <v>835</v>
      </c>
      <c r="T707" s="63" t="s">
        <v>835</v>
      </c>
      <c r="V707" s="64"/>
    </row>
    <row r="708" spans="1:22" x14ac:dyDescent="0.3">
      <c r="A708" t="s">
        <v>835</v>
      </c>
      <c r="T708" s="63" t="s">
        <v>835</v>
      </c>
      <c r="V708" s="64"/>
    </row>
    <row r="709" spans="1:22" x14ac:dyDescent="0.3">
      <c r="A709" t="s">
        <v>835</v>
      </c>
      <c r="T709" s="63" t="s">
        <v>835</v>
      </c>
      <c r="V709" s="64"/>
    </row>
    <row r="710" spans="1:22" x14ac:dyDescent="0.3">
      <c r="A710" t="s">
        <v>835</v>
      </c>
      <c r="T710" s="63" t="s">
        <v>835</v>
      </c>
      <c r="V710" s="64"/>
    </row>
    <row r="711" spans="1:22" x14ac:dyDescent="0.3">
      <c r="A711" t="s">
        <v>835</v>
      </c>
      <c r="T711" s="63" t="s">
        <v>835</v>
      </c>
      <c r="V711" s="64"/>
    </row>
    <row r="712" spans="1:22" x14ac:dyDescent="0.3">
      <c r="A712" t="s">
        <v>835</v>
      </c>
      <c r="T712" s="63" t="s">
        <v>835</v>
      </c>
      <c r="V712" s="64"/>
    </row>
    <row r="713" spans="1:22" x14ac:dyDescent="0.3">
      <c r="A713" t="s">
        <v>835</v>
      </c>
      <c r="T713" s="63" t="s">
        <v>835</v>
      </c>
      <c r="V713" s="64"/>
    </row>
    <row r="714" spans="1:22" x14ac:dyDescent="0.3">
      <c r="A714" t="s">
        <v>835</v>
      </c>
      <c r="T714" s="63" t="s">
        <v>835</v>
      </c>
      <c r="V714" s="64"/>
    </row>
    <row r="715" spans="1:22" x14ac:dyDescent="0.3">
      <c r="A715" t="s">
        <v>835</v>
      </c>
      <c r="T715" s="63" t="s">
        <v>835</v>
      </c>
      <c r="V715" s="64"/>
    </row>
    <row r="716" spans="1:22" x14ac:dyDescent="0.3">
      <c r="A716" t="s">
        <v>835</v>
      </c>
      <c r="T716" s="63" t="s">
        <v>835</v>
      </c>
      <c r="V716" s="64"/>
    </row>
    <row r="717" spans="1:22" x14ac:dyDescent="0.3">
      <c r="A717" t="s">
        <v>835</v>
      </c>
      <c r="T717" s="63" t="s">
        <v>835</v>
      </c>
      <c r="V717" s="64"/>
    </row>
    <row r="718" spans="1:22" x14ac:dyDescent="0.3">
      <c r="A718" t="s">
        <v>835</v>
      </c>
      <c r="T718" s="63" t="s">
        <v>835</v>
      </c>
      <c r="V718" s="64"/>
    </row>
    <row r="719" spans="1:22" x14ac:dyDescent="0.3">
      <c r="A719" t="s">
        <v>835</v>
      </c>
      <c r="T719" s="63" t="s">
        <v>835</v>
      </c>
      <c r="V719" s="64"/>
    </row>
    <row r="720" spans="1:22" x14ac:dyDescent="0.3">
      <c r="A720" t="s">
        <v>836</v>
      </c>
      <c r="T720" s="63" t="s">
        <v>836</v>
      </c>
      <c r="V720" s="64"/>
    </row>
    <row r="721" spans="1:22" x14ac:dyDescent="0.3">
      <c r="A721" t="s">
        <v>837</v>
      </c>
      <c r="T721" s="63" t="s">
        <v>837</v>
      </c>
      <c r="V721" s="64"/>
    </row>
    <row r="722" spans="1:22" x14ac:dyDescent="0.3">
      <c r="A722" t="s">
        <v>837</v>
      </c>
      <c r="T722" s="63" t="s">
        <v>837</v>
      </c>
      <c r="V722" s="64"/>
    </row>
    <row r="723" spans="1:22" x14ac:dyDescent="0.3">
      <c r="A723" t="s">
        <v>837</v>
      </c>
      <c r="T723" s="63" t="s">
        <v>837</v>
      </c>
      <c r="V723" s="64"/>
    </row>
    <row r="724" spans="1:22" x14ac:dyDescent="0.3">
      <c r="A724" t="s">
        <v>838</v>
      </c>
      <c r="T724" s="63" t="s">
        <v>838</v>
      </c>
      <c r="V724" s="64"/>
    </row>
    <row r="725" spans="1:22" x14ac:dyDescent="0.3">
      <c r="A725" t="s">
        <v>839</v>
      </c>
      <c r="T725" s="63" t="s">
        <v>839</v>
      </c>
      <c r="V725" s="64"/>
    </row>
    <row r="726" spans="1:22" x14ac:dyDescent="0.3">
      <c r="A726" t="s">
        <v>840</v>
      </c>
      <c r="T726" s="63" t="s">
        <v>840</v>
      </c>
      <c r="V726" s="64"/>
    </row>
    <row r="727" spans="1:22" x14ac:dyDescent="0.3">
      <c r="A727" t="s">
        <v>840</v>
      </c>
      <c r="T727" s="63" t="s">
        <v>840</v>
      </c>
      <c r="V727" s="64"/>
    </row>
    <row r="728" spans="1:22" x14ac:dyDescent="0.3">
      <c r="A728" t="s">
        <v>840</v>
      </c>
      <c r="T728" s="63" t="s">
        <v>840</v>
      </c>
      <c r="V728" s="64"/>
    </row>
    <row r="729" spans="1:22" x14ac:dyDescent="0.3">
      <c r="A729" t="s">
        <v>840</v>
      </c>
      <c r="T729" s="63" t="s">
        <v>840</v>
      </c>
      <c r="V729" s="64"/>
    </row>
    <row r="730" spans="1:22" x14ac:dyDescent="0.3">
      <c r="A730" t="s">
        <v>840</v>
      </c>
      <c r="T730" s="63" t="s">
        <v>840</v>
      </c>
      <c r="V730" s="64"/>
    </row>
    <row r="731" spans="1:22" x14ac:dyDescent="0.3">
      <c r="A731" t="s">
        <v>840</v>
      </c>
      <c r="T731" s="63" t="s">
        <v>840</v>
      </c>
      <c r="V731" s="64"/>
    </row>
    <row r="732" spans="1:22" x14ac:dyDescent="0.3">
      <c r="A732" t="s">
        <v>840</v>
      </c>
      <c r="T732" s="63" t="s">
        <v>840</v>
      </c>
      <c r="V732" s="64"/>
    </row>
    <row r="733" spans="1:22" x14ac:dyDescent="0.3">
      <c r="A733" t="s">
        <v>840</v>
      </c>
      <c r="T733" s="63" t="s">
        <v>840</v>
      </c>
      <c r="V733" s="64"/>
    </row>
    <row r="734" spans="1:22" x14ac:dyDescent="0.3">
      <c r="A734" t="s">
        <v>840</v>
      </c>
      <c r="T734" s="63" t="s">
        <v>840</v>
      </c>
      <c r="V734" s="64"/>
    </row>
    <row r="735" spans="1:22" x14ac:dyDescent="0.3">
      <c r="A735" t="s">
        <v>840</v>
      </c>
      <c r="T735" s="63" t="s">
        <v>840</v>
      </c>
      <c r="V735" s="64"/>
    </row>
    <row r="736" spans="1:22" x14ac:dyDescent="0.3">
      <c r="A736" t="s">
        <v>840</v>
      </c>
      <c r="T736" s="63" t="s">
        <v>840</v>
      </c>
      <c r="V736" s="64"/>
    </row>
    <row r="737" spans="1:22" x14ac:dyDescent="0.3">
      <c r="A737" t="s">
        <v>840</v>
      </c>
      <c r="T737" s="63" t="s">
        <v>840</v>
      </c>
      <c r="V737" s="64"/>
    </row>
    <row r="738" spans="1:22" x14ac:dyDescent="0.3">
      <c r="A738" t="s">
        <v>840</v>
      </c>
      <c r="T738" s="63" t="s">
        <v>840</v>
      </c>
      <c r="V738" s="64"/>
    </row>
    <row r="739" spans="1:22" x14ac:dyDescent="0.3">
      <c r="A739" t="s">
        <v>840</v>
      </c>
      <c r="T739" s="63" t="s">
        <v>840</v>
      </c>
      <c r="V739" s="64"/>
    </row>
    <row r="740" spans="1:22" x14ac:dyDescent="0.3">
      <c r="A740" t="s">
        <v>841</v>
      </c>
      <c r="T740" s="63" t="s">
        <v>841</v>
      </c>
      <c r="V740" s="64"/>
    </row>
    <row r="741" spans="1:22" x14ac:dyDescent="0.3">
      <c r="A741" t="s">
        <v>842</v>
      </c>
      <c r="T741" s="63" t="s">
        <v>842</v>
      </c>
      <c r="V741" s="64"/>
    </row>
    <row r="742" spans="1:22" x14ac:dyDescent="0.3">
      <c r="A742" t="s">
        <v>842</v>
      </c>
      <c r="T742" s="63" t="s">
        <v>842</v>
      </c>
      <c r="V742" s="64"/>
    </row>
    <row r="743" spans="1:22" x14ac:dyDescent="0.3">
      <c r="A743" t="s">
        <v>843</v>
      </c>
      <c r="T743" s="63" t="s">
        <v>843</v>
      </c>
      <c r="V743" s="64"/>
    </row>
    <row r="744" spans="1:22" x14ac:dyDescent="0.3">
      <c r="A744" t="s">
        <v>844</v>
      </c>
      <c r="T744" s="63" t="s">
        <v>844</v>
      </c>
      <c r="V744" s="64"/>
    </row>
    <row r="745" spans="1:22" x14ac:dyDescent="0.3">
      <c r="A745" t="s">
        <v>845</v>
      </c>
      <c r="T745" s="63" t="s">
        <v>845</v>
      </c>
      <c r="V745" s="64"/>
    </row>
    <row r="746" spans="1:22" x14ac:dyDescent="0.3">
      <c r="A746" t="s">
        <v>846</v>
      </c>
      <c r="T746" s="63" t="s">
        <v>846</v>
      </c>
      <c r="V746" s="64"/>
    </row>
    <row r="747" spans="1:22" x14ac:dyDescent="0.3">
      <c r="A747" t="s">
        <v>846</v>
      </c>
      <c r="T747" s="63" t="s">
        <v>846</v>
      </c>
      <c r="V747" s="64"/>
    </row>
    <row r="748" spans="1:22" x14ac:dyDescent="0.3">
      <c r="A748" t="s">
        <v>846</v>
      </c>
      <c r="T748" s="63" t="s">
        <v>846</v>
      </c>
      <c r="V748" s="64"/>
    </row>
    <row r="749" spans="1:22" x14ac:dyDescent="0.3">
      <c r="A749" t="s">
        <v>846</v>
      </c>
      <c r="T749" s="63" t="s">
        <v>846</v>
      </c>
      <c r="V749" s="64"/>
    </row>
    <row r="750" spans="1:22" x14ac:dyDescent="0.3">
      <c r="A750" t="s">
        <v>846</v>
      </c>
      <c r="T750" s="63" t="s">
        <v>846</v>
      </c>
      <c r="V750" s="64"/>
    </row>
    <row r="751" spans="1:22" x14ac:dyDescent="0.3">
      <c r="A751" t="s">
        <v>846</v>
      </c>
      <c r="T751" s="63" t="s">
        <v>846</v>
      </c>
      <c r="V751" s="64"/>
    </row>
    <row r="752" spans="1:22" x14ac:dyDescent="0.3">
      <c r="A752" t="s">
        <v>846</v>
      </c>
      <c r="T752" s="63" t="s">
        <v>846</v>
      </c>
      <c r="V752" s="64"/>
    </row>
    <row r="753" spans="1:22" x14ac:dyDescent="0.3">
      <c r="A753" t="s">
        <v>846</v>
      </c>
      <c r="T753" s="63" t="s">
        <v>846</v>
      </c>
      <c r="V753" s="64"/>
    </row>
    <row r="754" spans="1:22" x14ac:dyDescent="0.3">
      <c r="A754" t="s">
        <v>846</v>
      </c>
      <c r="T754" s="63" t="s">
        <v>846</v>
      </c>
      <c r="V754" s="64"/>
    </row>
    <row r="755" spans="1:22" x14ac:dyDescent="0.3">
      <c r="A755" t="s">
        <v>846</v>
      </c>
      <c r="T755" s="63" t="s">
        <v>846</v>
      </c>
      <c r="V755" s="64"/>
    </row>
    <row r="756" spans="1:22" x14ac:dyDescent="0.3">
      <c r="A756" t="s">
        <v>846</v>
      </c>
      <c r="T756" s="63" t="s">
        <v>846</v>
      </c>
      <c r="V756" s="64"/>
    </row>
    <row r="757" spans="1:22" x14ac:dyDescent="0.3">
      <c r="A757" t="s">
        <v>846</v>
      </c>
      <c r="T757" s="63" t="s">
        <v>846</v>
      </c>
      <c r="V757" s="64"/>
    </row>
    <row r="758" spans="1:22" x14ac:dyDescent="0.3">
      <c r="A758" t="s">
        <v>847</v>
      </c>
      <c r="T758" s="63" t="s">
        <v>847</v>
      </c>
      <c r="V758" s="64"/>
    </row>
    <row r="759" spans="1:22" x14ac:dyDescent="0.3">
      <c r="A759" t="s">
        <v>847</v>
      </c>
      <c r="T759" s="63" t="s">
        <v>847</v>
      </c>
      <c r="V759" s="64"/>
    </row>
    <row r="760" spans="1:22" x14ac:dyDescent="0.3">
      <c r="A760" t="s">
        <v>847</v>
      </c>
      <c r="T760" s="63" t="s">
        <v>847</v>
      </c>
      <c r="V760" s="64"/>
    </row>
    <row r="761" spans="1:22" x14ac:dyDescent="0.3">
      <c r="A761" t="s">
        <v>848</v>
      </c>
      <c r="T761" s="63" t="s">
        <v>848</v>
      </c>
      <c r="V761" s="64"/>
    </row>
    <row r="762" spans="1:22" x14ac:dyDescent="0.3">
      <c r="A762" t="s">
        <v>849</v>
      </c>
      <c r="T762" s="63" t="s">
        <v>849</v>
      </c>
      <c r="V762" s="64"/>
    </row>
    <row r="763" spans="1:22" x14ac:dyDescent="0.3">
      <c r="A763" t="s">
        <v>850</v>
      </c>
      <c r="T763" s="63" t="s">
        <v>850</v>
      </c>
      <c r="V763" s="64"/>
    </row>
    <row r="764" spans="1:22" x14ac:dyDescent="0.3">
      <c r="A764" t="s">
        <v>850</v>
      </c>
      <c r="T764" s="63" t="s">
        <v>850</v>
      </c>
      <c r="V764" s="64"/>
    </row>
    <row r="765" spans="1:22" x14ac:dyDescent="0.3">
      <c r="A765" t="s">
        <v>850</v>
      </c>
      <c r="T765" s="63" t="s">
        <v>850</v>
      </c>
      <c r="V765" s="64"/>
    </row>
    <row r="766" spans="1:22" x14ac:dyDescent="0.3">
      <c r="A766" t="s">
        <v>850</v>
      </c>
      <c r="T766" s="63" t="s">
        <v>850</v>
      </c>
      <c r="V766" s="64"/>
    </row>
    <row r="767" spans="1:22" x14ac:dyDescent="0.3">
      <c r="A767" t="s">
        <v>850</v>
      </c>
      <c r="T767" s="63" t="s">
        <v>850</v>
      </c>
      <c r="V767" s="64"/>
    </row>
    <row r="768" spans="1:22" x14ac:dyDescent="0.3">
      <c r="A768" t="s">
        <v>850</v>
      </c>
      <c r="T768" s="63" t="s">
        <v>850</v>
      </c>
      <c r="V768" s="64"/>
    </row>
    <row r="769" spans="1:22" x14ac:dyDescent="0.3">
      <c r="A769" t="s">
        <v>850</v>
      </c>
      <c r="T769" s="63" t="s">
        <v>850</v>
      </c>
      <c r="V769" s="64"/>
    </row>
    <row r="770" spans="1:22" x14ac:dyDescent="0.3">
      <c r="A770" t="s">
        <v>851</v>
      </c>
      <c r="T770" s="63" t="s">
        <v>851</v>
      </c>
      <c r="V770" s="64"/>
    </row>
    <row r="771" spans="1:22" x14ac:dyDescent="0.3">
      <c r="A771" t="s">
        <v>852</v>
      </c>
      <c r="T771" s="63" t="s">
        <v>852</v>
      </c>
      <c r="V771" s="64"/>
    </row>
    <row r="772" spans="1:22" x14ac:dyDescent="0.3">
      <c r="A772" t="s">
        <v>853</v>
      </c>
      <c r="T772" s="63" t="s">
        <v>853</v>
      </c>
      <c r="V772" s="64"/>
    </row>
    <row r="773" spans="1:22" x14ac:dyDescent="0.3">
      <c r="A773" t="s">
        <v>854</v>
      </c>
      <c r="T773" s="63" t="s">
        <v>854</v>
      </c>
      <c r="V773" s="64"/>
    </row>
    <row r="774" spans="1:22" x14ac:dyDescent="0.3">
      <c r="A774" t="s">
        <v>854</v>
      </c>
      <c r="T774" s="63" t="s">
        <v>854</v>
      </c>
      <c r="V774" s="64"/>
    </row>
    <row r="775" spans="1:22" x14ac:dyDescent="0.3">
      <c r="A775" t="s">
        <v>855</v>
      </c>
      <c r="T775" s="63" t="s">
        <v>855</v>
      </c>
      <c r="V775" s="64"/>
    </row>
    <row r="776" spans="1:22" x14ac:dyDescent="0.3">
      <c r="A776" t="s">
        <v>856</v>
      </c>
      <c r="T776" s="63" t="s">
        <v>856</v>
      </c>
      <c r="V776" s="64"/>
    </row>
    <row r="777" spans="1:22" x14ac:dyDescent="0.3">
      <c r="A777" t="s">
        <v>857</v>
      </c>
      <c r="T777" s="63" t="s">
        <v>857</v>
      </c>
      <c r="V777" s="64"/>
    </row>
    <row r="778" spans="1:22" x14ac:dyDescent="0.3">
      <c r="A778" t="s">
        <v>858</v>
      </c>
      <c r="T778" s="63" t="s">
        <v>858</v>
      </c>
      <c r="V778" s="64"/>
    </row>
    <row r="779" spans="1:22" x14ac:dyDescent="0.3">
      <c r="A779" t="s">
        <v>859</v>
      </c>
      <c r="T779" s="63" t="s">
        <v>859</v>
      </c>
      <c r="V779" s="64"/>
    </row>
    <row r="780" spans="1:22" x14ac:dyDescent="0.3">
      <c r="A780" t="s">
        <v>860</v>
      </c>
      <c r="T780" s="63" t="s">
        <v>860</v>
      </c>
      <c r="V780" s="64"/>
    </row>
    <row r="781" spans="1:22" x14ac:dyDescent="0.3">
      <c r="A781" t="s">
        <v>861</v>
      </c>
      <c r="T781" s="63" t="s">
        <v>861</v>
      </c>
      <c r="V781" s="64"/>
    </row>
    <row r="782" spans="1:22" x14ac:dyDescent="0.3">
      <c r="A782" t="s">
        <v>862</v>
      </c>
      <c r="T782" s="63" t="s">
        <v>862</v>
      </c>
      <c r="V782" s="64"/>
    </row>
    <row r="783" spans="1:22" x14ac:dyDescent="0.3">
      <c r="A783" t="s">
        <v>862</v>
      </c>
      <c r="T783" s="63" t="s">
        <v>862</v>
      </c>
      <c r="V783" s="64"/>
    </row>
    <row r="784" spans="1:22" x14ac:dyDescent="0.3">
      <c r="A784" t="s">
        <v>862</v>
      </c>
      <c r="T784" s="63" t="s">
        <v>862</v>
      </c>
      <c r="V784" s="64"/>
    </row>
    <row r="785" spans="1:22" x14ac:dyDescent="0.3">
      <c r="A785" t="s">
        <v>862</v>
      </c>
      <c r="T785" s="63" t="s">
        <v>862</v>
      </c>
      <c r="V785" s="64"/>
    </row>
    <row r="786" spans="1:22" x14ac:dyDescent="0.3">
      <c r="A786" t="s">
        <v>862</v>
      </c>
      <c r="T786" s="63" t="s">
        <v>862</v>
      </c>
      <c r="V786" s="64"/>
    </row>
    <row r="787" spans="1:22" x14ac:dyDescent="0.3">
      <c r="A787" t="s">
        <v>862</v>
      </c>
      <c r="T787" s="63" t="s">
        <v>862</v>
      </c>
      <c r="V787" s="64"/>
    </row>
    <row r="788" spans="1:22" x14ac:dyDescent="0.3">
      <c r="A788" t="s">
        <v>863</v>
      </c>
      <c r="T788" s="63" t="s">
        <v>863</v>
      </c>
      <c r="V788" s="64"/>
    </row>
    <row r="789" spans="1:22" x14ac:dyDescent="0.3">
      <c r="A789" t="s">
        <v>864</v>
      </c>
      <c r="T789" s="63" t="s">
        <v>864</v>
      </c>
      <c r="V789" s="64"/>
    </row>
    <row r="790" spans="1:22" x14ac:dyDescent="0.3">
      <c r="A790" t="s">
        <v>865</v>
      </c>
      <c r="T790" s="63" t="s">
        <v>865</v>
      </c>
      <c r="V790" s="64"/>
    </row>
    <row r="791" spans="1:22" x14ac:dyDescent="0.3">
      <c r="A791" t="s">
        <v>866</v>
      </c>
      <c r="T791" s="63" t="s">
        <v>866</v>
      </c>
      <c r="V791" s="64"/>
    </row>
    <row r="792" spans="1:22" x14ac:dyDescent="0.3">
      <c r="A792" t="s">
        <v>866</v>
      </c>
      <c r="T792" s="63" t="s">
        <v>866</v>
      </c>
      <c r="V792" s="64"/>
    </row>
    <row r="793" spans="1:22" x14ac:dyDescent="0.3">
      <c r="A793" t="s">
        <v>866</v>
      </c>
      <c r="T793" s="63" t="s">
        <v>866</v>
      </c>
      <c r="V793" s="64"/>
    </row>
    <row r="794" spans="1:22" x14ac:dyDescent="0.3">
      <c r="A794" t="s">
        <v>867</v>
      </c>
      <c r="T794" s="63" t="s">
        <v>867</v>
      </c>
      <c r="V794" s="64"/>
    </row>
    <row r="795" spans="1:22" x14ac:dyDescent="0.3">
      <c r="A795" t="s">
        <v>868</v>
      </c>
      <c r="T795" s="63" t="s">
        <v>868</v>
      </c>
      <c r="V795" s="64"/>
    </row>
    <row r="796" spans="1:22" x14ac:dyDescent="0.3">
      <c r="A796" t="s">
        <v>868</v>
      </c>
      <c r="T796" s="63" t="s">
        <v>868</v>
      </c>
      <c r="V796" s="64"/>
    </row>
    <row r="797" spans="1:22" x14ac:dyDescent="0.3">
      <c r="A797" t="s">
        <v>868</v>
      </c>
      <c r="T797" s="63" t="s">
        <v>868</v>
      </c>
      <c r="V797" s="64"/>
    </row>
    <row r="798" spans="1:22" x14ac:dyDescent="0.3">
      <c r="A798" t="s">
        <v>868</v>
      </c>
      <c r="T798" s="63" t="s">
        <v>868</v>
      </c>
      <c r="V798" s="64"/>
    </row>
    <row r="799" spans="1:22" x14ac:dyDescent="0.3">
      <c r="A799" t="s">
        <v>868</v>
      </c>
      <c r="T799" s="63" t="s">
        <v>868</v>
      </c>
      <c r="V799" s="64"/>
    </row>
    <row r="800" spans="1:22" x14ac:dyDescent="0.3">
      <c r="A800" t="s">
        <v>868</v>
      </c>
      <c r="T800" s="63" t="s">
        <v>868</v>
      </c>
      <c r="V800" s="64"/>
    </row>
    <row r="801" spans="1:22" x14ac:dyDescent="0.3">
      <c r="A801" t="s">
        <v>869</v>
      </c>
      <c r="T801" s="63" t="s">
        <v>869</v>
      </c>
      <c r="V801" s="64"/>
    </row>
    <row r="802" spans="1:22" x14ac:dyDescent="0.3">
      <c r="A802" t="s">
        <v>869</v>
      </c>
      <c r="T802" s="63" t="s">
        <v>869</v>
      </c>
      <c r="V802" s="64"/>
    </row>
    <row r="803" spans="1:22" x14ac:dyDescent="0.3">
      <c r="A803" t="s">
        <v>869</v>
      </c>
      <c r="T803" s="63" t="s">
        <v>869</v>
      </c>
      <c r="V803" s="64"/>
    </row>
    <row r="804" spans="1:22" x14ac:dyDescent="0.3">
      <c r="A804" t="s">
        <v>869</v>
      </c>
      <c r="T804" s="63" t="s">
        <v>869</v>
      </c>
      <c r="V804" s="64"/>
    </row>
    <row r="805" spans="1:22" x14ac:dyDescent="0.3">
      <c r="A805" t="s">
        <v>869</v>
      </c>
      <c r="T805" s="63" t="s">
        <v>869</v>
      </c>
      <c r="V805" s="64"/>
    </row>
    <row r="806" spans="1:22" x14ac:dyDescent="0.3">
      <c r="A806" t="s">
        <v>869</v>
      </c>
      <c r="T806" s="63" t="s">
        <v>869</v>
      </c>
      <c r="V806" s="64"/>
    </row>
    <row r="807" spans="1:22" x14ac:dyDescent="0.3">
      <c r="A807" t="s">
        <v>870</v>
      </c>
      <c r="T807" s="63" t="s">
        <v>870</v>
      </c>
      <c r="V807" s="64"/>
    </row>
    <row r="808" spans="1:22" x14ac:dyDescent="0.3">
      <c r="A808" t="s">
        <v>870</v>
      </c>
      <c r="T808" s="63" t="s">
        <v>870</v>
      </c>
      <c r="V808" s="64"/>
    </row>
    <row r="809" spans="1:22" x14ac:dyDescent="0.3">
      <c r="A809" t="s">
        <v>870</v>
      </c>
      <c r="T809" s="63" t="s">
        <v>870</v>
      </c>
      <c r="V809" s="64"/>
    </row>
    <row r="810" spans="1:22" x14ac:dyDescent="0.3">
      <c r="A810" t="s">
        <v>870</v>
      </c>
      <c r="T810" s="63" t="s">
        <v>870</v>
      </c>
      <c r="V810" s="64"/>
    </row>
    <row r="811" spans="1:22" x14ac:dyDescent="0.3">
      <c r="A811" t="s">
        <v>870</v>
      </c>
      <c r="T811" s="63" t="s">
        <v>870</v>
      </c>
      <c r="V811" s="64"/>
    </row>
    <row r="812" spans="1:22" x14ac:dyDescent="0.3">
      <c r="A812" t="s">
        <v>870</v>
      </c>
      <c r="T812" s="63" t="s">
        <v>870</v>
      </c>
      <c r="V812" s="64"/>
    </row>
    <row r="813" spans="1:22" x14ac:dyDescent="0.3">
      <c r="A813" t="s">
        <v>871</v>
      </c>
      <c r="T813" s="63" t="s">
        <v>871</v>
      </c>
      <c r="V813" s="64"/>
    </row>
    <row r="814" spans="1:22" x14ac:dyDescent="0.3">
      <c r="A814" t="s">
        <v>872</v>
      </c>
      <c r="T814" s="63" t="s">
        <v>872</v>
      </c>
      <c r="V814" s="64"/>
    </row>
    <row r="815" spans="1:22" x14ac:dyDescent="0.3">
      <c r="A815" t="s">
        <v>873</v>
      </c>
      <c r="T815" s="63" t="s">
        <v>873</v>
      </c>
      <c r="V815" s="64"/>
    </row>
    <row r="816" spans="1:22" x14ac:dyDescent="0.3">
      <c r="A816" t="s">
        <v>874</v>
      </c>
      <c r="T816" s="63" t="s">
        <v>874</v>
      </c>
      <c r="V816" s="64"/>
    </row>
    <row r="817" spans="1:22" x14ac:dyDescent="0.3">
      <c r="A817" t="s">
        <v>874</v>
      </c>
      <c r="T817" s="63" t="s">
        <v>874</v>
      </c>
      <c r="V817" s="64"/>
    </row>
    <row r="818" spans="1:22" x14ac:dyDescent="0.3">
      <c r="A818" t="s">
        <v>874</v>
      </c>
      <c r="T818" s="63" t="s">
        <v>874</v>
      </c>
      <c r="V818" s="64"/>
    </row>
    <row r="819" spans="1:22" x14ac:dyDescent="0.3">
      <c r="A819" t="s">
        <v>874</v>
      </c>
      <c r="T819" s="63" t="s">
        <v>874</v>
      </c>
      <c r="V819" s="64"/>
    </row>
    <row r="820" spans="1:22" x14ac:dyDescent="0.3">
      <c r="A820" t="s">
        <v>874</v>
      </c>
      <c r="T820" s="63" t="s">
        <v>874</v>
      </c>
      <c r="V820" s="64"/>
    </row>
    <row r="821" spans="1:22" x14ac:dyDescent="0.3">
      <c r="A821" t="s">
        <v>875</v>
      </c>
      <c r="T821" s="63" t="s">
        <v>875</v>
      </c>
      <c r="V821" s="64"/>
    </row>
    <row r="822" spans="1:22" x14ac:dyDescent="0.3">
      <c r="A822" t="s">
        <v>876</v>
      </c>
      <c r="T822" s="63" t="s">
        <v>876</v>
      </c>
      <c r="V822" s="64"/>
    </row>
    <row r="823" spans="1:22" x14ac:dyDescent="0.3">
      <c r="A823" t="s">
        <v>877</v>
      </c>
      <c r="T823" s="63" t="s">
        <v>877</v>
      </c>
      <c r="V823" s="64"/>
    </row>
    <row r="824" spans="1:22" x14ac:dyDescent="0.3">
      <c r="A824" t="s">
        <v>878</v>
      </c>
      <c r="T824" s="63" t="s">
        <v>878</v>
      </c>
      <c r="V824" s="64"/>
    </row>
    <row r="825" spans="1:22" x14ac:dyDescent="0.3">
      <c r="A825" t="s">
        <v>879</v>
      </c>
      <c r="T825" s="63" t="s">
        <v>879</v>
      </c>
      <c r="V825" s="64"/>
    </row>
    <row r="826" spans="1:22" x14ac:dyDescent="0.3">
      <c r="A826" t="s">
        <v>880</v>
      </c>
      <c r="T826" s="63" t="s">
        <v>880</v>
      </c>
      <c r="V826" s="64"/>
    </row>
    <row r="827" spans="1:22" x14ac:dyDescent="0.3">
      <c r="A827" t="s">
        <v>880</v>
      </c>
      <c r="T827" s="63" t="s">
        <v>880</v>
      </c>
      <c r="V827" s="64"/>
    </row>
    <row r="828" spans="1:22" x14ac:dyDescent="0.3">
      <c r="A828" t="s">
        <v>881</v>
      </c>
      <c r="T828" s="63" t="s">
        <v>881</v>
      </c>
      <c r="V828" s="64"/>
    </row>
    <row r="829" spans="1:22" x14ac:dyDescent="0.3">
      <c r="A829" t="s">
        <v>882</v>
      </c>
      <c r="T829" s="63" t="s">
        <v>882</v>
      </c>
      <c r="V829" s="64"/>
    </row>
    <row r="830" spans="1:22" x14ac:dyDescent="0.3">
      <c r="A830" t="s">
        <v>882</v>
      </c>
      <c r="T830" s="63" t="s">
        <v>882</v>
      </c>
      <c r="V830" s="64"/>
    </row>
    <row r="831" spans="1:22" x14ac:dyDescent="0.3">
      <c r="A831" t="s">
        <v>882</v>
      </c>
      <c r="T831" s="63" t="s">
        <v>882</v>
      </c>
      <c r="V831" s="64"/>
    </row>
    <row r="832" spans="1:22" x14ac:dyDescent="0.3">
      <c r="A832" t="s">
        <v>883</v>
      </c>
      <c r="T832" s="63" t="s">
        <v>883</v>
      </c>
      <c r="V832" s="64"/>
    </row>
    <row r="833" spans="1:22" x14ac:dyDescent="0.3">
      <c r="A833" t="s">
        <v>884</v>
      </c>
      <c r="T833" s="63" t="s">
        <v>884</v>
      </c>
      <c r="V833" s="64"/>
    </row>
    <row r="834" spans="1:22" x14ac:dyDescent="0.3">
      <c r="A834" t="s">
        <v>885</v>
      </c>
      <c r="T834" s="63" t="s">
        <v>885</v>
      </c>
      <c r="V834" s="64"/>
    </row>
    <row r="835" spans="1:22" x14ac:dyDescent="0.3">
      <c r="A835" t="s">
        <v>886</v>
      </c>
      <c r="T835" s="63" t="s">
        <v>886</v>
      </c>
      <c r="V835" s="64"/>
    </row>
    <row r="836" spans="1:22" x14ac:dyDescent="0.3">
      <c r="A836" t="s">
        <v>887</v>
      </c>
      <c r="T836" s="63" t="s">
        <v>887</v>
      </c>
      <c r="V836" s="64"/>
    </row>
    <row r="837" spans="1:22" x14ac:dyDescent="0.3">
      <c r="A837" t="s">
        <v>887</v>
      </c>
      <c r="T837" s="63" t="s">
        <v>887</v>
      </c>
      <c r="V837" s="64"/>
    </row>
    <row r="838" spans="1:22" x14ac:dyDescent="0.3">
      <c r="A838" t="s">
        <v>887</v>
      </c>
      <c r="T838" s="63" t="s">
        <v>887</v>
      </c>
      <c r="V838" s="64"/>
    </row>
    <row r="839" spans="1:22" x14ac:dyDescent="0.3">
      <c r="A839" t="s">
        <v>887</v>
      </c>
      <c r="T839" s="63" t="s">
        <v>887</v>
      </c>
      <c r="V839" s="64"/>
    </row>
    <row r="840" spans="1:22" x14ac:dyDescent="0.3">
      <c r="A840" t="s">
        <v>888</v>
      </c>
      <c r="T840" s="63" t="s">
        <v>888</v>
      </c>
      <c r="V840" s="64"/>
    </row>
    <row r="841" spans="1:22" x14ac:dyDescent="0.3">
      <c r="A841" t="s">
        <v>888</v>
      </c>
      <c r="T841" s="63" t="s">
        <v>888</v>
      </c>
      <c r="V841" s="64"/>
    </row>
    <row r="842" spans="1:22" x14ac:dyDescent="0.3">
      <c r="A842" t="s">
        <v>888</v>
      </c>
      <c r="T842" s="63" t="s">
        <v>888</v>
      </c>
      <c r="V842" s="64"/>
    </row>
    <row r="843" spans="1:22" x14ac:dyDescent="0.3">
      <c r="A843" t="s">
        <v>888</v>
      </c>
      <c r="T843" s="63" t="s">
        <v>888</v>
      </c>
      <c r="V843" s="64"/>
    </row>
    <row r="844" spans="1:22" x14ac:dyDescent="0.3">
      <c r="A844" t="s">
        <v>889</v>
      </c>
      <c r="T844" s="63" t="s">
        <v>889</v>
      </c>
      <c r="V844" s="64"/>
    </row>
    <row r="845" spans="1:22" x14ac:dyDescent="0.3">
      <c r="A845" t="s">
        <v>890</v>
      </c>
      <c r="T845" s="63" t="s">
        <v>890</v>
      </c>
      <c r="V845" s="64"/>
    </row>
    <row r="846" spans="1:22" x14ac:dyDescent="0.3">
      <c r="A846" t="s">
        <v>890</v>
      </c>
      <c r="T846" s="63" t="s">
        <v>890</v>
      </c>
      <c r="V846" s="64"/>
    </row>
    <row r="847" spans="1:22" x14ac:dyDescent="0.3">
      <c r="A847" t="s">
        <v>891</v>
      </c>
      <c r="T847" s="63" t="s">
        <v>891</v>
      </c>
      <c r="V847" s="64"/>
    </row>
    <row r="848" spans="1:22" x14ac:dyDescent="0.3">
      <c r="A848" t="s">
        <v>891</v>
      </c>
      <c r="T848" s="63" t="s">
        <v>891</v>
      </c>
      <c r="V848" s="64"/>
    </row>
    <row r="849" spans="1:22" x14ac:dyDescent="0.3">
      <c r="A849" t="s">
        <v>891</v>
      </c>
      <c r="T849" s="63" t="s">
        <v>891</v>
      </c>
      <c r="V849" s="64"/>
    </row>
    <row r="850" spans="1:22" x14ac:dyDescent="0.3">
      <c r="A850" t="s">
        <v>891</v>
      </c>
      <c r="T850" s="63" t="s">
        <v>891</v>
      </c>
      <c r="V850" s="64"/>
    </row>
    <row r="851" spans="1:22" x14ac:dyDescent="0.3">
      <c r="A851" t="s">
        <v>891</v>
      </c>
      <c r="T851" s="63" t="s">
        <v>891</v>
      </c>
      <c r="V851" s="64"/>
    </row>
    <row r="852" spans="1:22" x14ac:dyDescent="0.3">
      <c r="A852" t="s">
        <v>891</v>
      </c>
      <c r="T852" s="63" t="s">
        <v>891</v>
      </c>
      <c r="V852" s="64"/>
    </row>
    <row r="853" spans="1:22" x14ac:dyDescent="0.3">
      <c r="A853" t="s">
        <v>891</v>
      </c>
      <c r="T853" s="63" t="s">
        <v>891</v>
      </c>
      <c r="V853" s="64"/>
    </row>
    <row r="854" spans="1:22" x14ac:dyDescent="0.3">
      <c r="A854" t="s">
        <v>891</v>
      </c>
      <c r="T854" s="63" t="s">
        <v>891</v>
      </c>
      <c r="V854" s="64"/>
    </row>
    <row r="855" spans="1:22" x14ac:dyDescent="0.3">
      <c r="A855" t="s">
        <v>891</v>
      </c>
      <c r="T855" s="63" t="s">
        <v>891</v>
      </c>
      <c r="V855" s="64"/>
    </row>
    <row r="856" spans="1:22" x14ac:dyDescent="0.3">
      <c r="A856" t="s">
        <v>892</v>
      </c>
      <c r="T856" s="63" t="s">
        <v>892</v>
      </c>
      <c r="V856" s="64"/>
    </row>
    <row r="857" spans="1:22" x14ac:dyDescent="0.3">
      <c r="A857" t="s">
        <v>893</v>
      </c>
      <c r="T857" s="63" t="s">
        <v>893</v>
      </c>
      <c r="V857" s="64"/>
    </row>
    <row r="858" spans="1:22" x14ac:dyDescent="0.3">
      <c r="A858" t="s">
        <v>893</v>
      </c>
      <c r="T858" s="63" t="s">
        <v>893</v>
      </c>
      <c r="V858" s="64"/>
    </row>
    <row r="859" spans="1:22" x14ac:dyDescent="0.3">
      <c r="A859" t="s">
        <v>894</v>
      </c>
      <c r="T859" s="63" t="s">
        <v>894</v>
      </c>
      <c r="V859" s="64"/>
    </row>
    <row r="860" spans="1:22" x14ac:dyDescent="0.3">
      <c r="A860" t="s">
        <v>895</v>
      </c>
      <c r="T860" s="63" t="s">
        <v>895</v>
      </c>
      <c r="V860" s="64"/>
    </row>
    <row r="861" spans="1:22" x14ac:dyDescent="0.3">
      <c r="A861" t="s">
        <v>895</v>
      </c>
      <c r="T861" s="63" t="s">
        <v>895</v>
      </c>
      <c r="V861" s="64"/>
    </row>
    <row r="862" spans="1:22" x14ac:dyDescent="0.3">
      <c r="A862" t="s">
        <v>895</v>
      </c>
      <c r="T862" s="63" t="s">
        <v>895</v>
      </c>
      <c r="V862" s="64"/>
    </row>
    <row r="863" spans="1:22" x14ac:dyDescent="0.3">
      <c r="A863" t="s">
        <v>895</v>
      </c>
      <c r="T863" s="63" t="s">
        <v>895</v>
      </c>
      <c r="V863" s="64"/>
    </row>
    <row r="864" spans="1:22" x14ac:dyDescent="0.3">
      <c r="A864" t="s">
        <v>895</v>
      </c>
      <c r="T864" s="63" t="s">
        <v>895</v>
      </c>
      <c r="V864" s="64"/>
    </row>
    <row r="865" spans="1:22" x14ac:dyDescent="0.3">
      <c r="A865" t="s">
        <v>895</v>
      </c>
      <c r="T865" s="63" t="s">
        <v>895</v>
      </c>
      <c r="V865" s="64"/>
    </row>
    <row r="866" spans="1:22" x14ac:dyDescent="0.3">
      <c r="A866" t="s">
        <v>895</v>
      </c>
      <c r="T866" s="63" t="s">
        <v>895</v>
      </c>
      <c r="V866" s="64"/>
    </row>
    <row r="867" spans="1:22" x14ac:dyDescent="0.3">
      <c r="A867" t="s">
        <v>895</v>
      </c>
      <c r="T867" s="63" t="s">
        <v>895</v>
      </c>
      <c r="V867" s="64"/>
    </row>
    <row r="868" spans="1:22" x14ac:dyDescent="0.3">
      <c r="A868" t="s">
        <v>896</v>
      </c>
      <c r="T868" s="63" t="s">
        <v>896</v>
      </c>
      <c r="V868" s="64"/>
    </row>
    <row r="869" spans="1:22" x14ac:dyDescent="0.3">
      <c r="A869" t="s">
        <v>897</v>
      </c>
      <c r="T869" s="63" t="s">
        <v>897</v>
      </c>
      <c r="V869" s="64"/>
    </row>
    <row r="870" spans="1:22" x14ac:dyDescent="0.3">
      <c r="A870" t="s">
        <v>897</v>
      </c>
      <c r="T870" s="63" t="s">
        <v>897</v>
      </c>
      <c r="V870" s="64"/>
    </row>
    <row r="871" spans="1:22" x14ac:dyDescent="0.3">
      <c r="A871" t="s">
        <v>897</v>
      </c>
      <c r="T871" s="63" t="s">
        <v>897</v>
      </c>
      <c r="V871" s="64"/>
    </row>
    <row r="872" spans="1:22" x14ac:dyDescent="0.3">
      <c r="A872" t="s">
        <v>897</v>
      </c>
      <c r="T872" s="63" t="s">
        <v>897</v>
      </c>
      <c r="V872" s="64"/>
    </row>
    <row r="873" spans="1:22" x14ac:dyDescent="0.3">
      <c r="A873" t="s">
        <v>897</v>
      </c>
      <c r="T873" s="63" t="s">
        <v>897</v>
      </c>
      <c r="V873" s="64"/>
    </row>
    <row r="874" spans="1:22" x14ac:dyDescent="0.3">
      <c r="A874" t="s">
        <v>897</v>
      </c>
      <c r="T874" s="63" t="s">
        <v>897</v>
      </c>
      <c r="V874" s="64"/>
    </row>
    <row r="875" spans="1:22" x14ac:dyDescent="0.3">
      <c r="A875" t="s">
        <v>897</v>
      </c>
      <c r="T875" s="63" t="s">
        <v>897</v>
      </c>
      <c r="V875" s="64"/>
    </row>
    <row r="876" spans="1:22" x14ac:dyDescent="0.3">
      <c r="A876" t="s">
        <v>897</v>
      </c>
      <c r="T876" s="63" t="s">
        <v>897</v>
      </c>
      <c r="V876" s="64"/>
    </row>
    <row r="877" spans="1:22" x14ac:dyDescent="0.3">
      <c r="A877" t="s">
        <v>897</v>
      </c>
      <c r="T877" s="63" t="s">
        <v>897</v>
      </c>
      <c r="V877" s="64"/>
    </row>
    <row r="878" spans="1:22" x14ac:dyDescent="0.3">
      <c r="A878" t="s">
        <v>898</v>
      </c>
      <c r="T878" s="63" t="s">
        <v>898</v>
      </c>
      <c r="V878" s="64"/>
    </row>
    <row r="879" spans="1:22" x14ac:dyDescent="0.3">
      <c r="A879" t="s">
        <v>898</v>
      </c>
      <c r="T879" s="63" t="s">
        <v>898</v>
      </c>
      <c r="V879" s="64"/>
    </row>
    <row r="880" spans="1:22" x14ac:dyDescent="0.3">
      <c r="A880" t="s">
        <v>899</v>
      </c>
      <c r="T880" s="63" t="s">
        <v>899</v>
      </c>
      <c r="V880" s="64"/>
    </row>
    <row r="881" spans="1:22" x14ac:dyDescent="0.3">
      <c r="A881" t="s">
        <v>900</v>
      </c>
      <c r="T881" s="63" t="s">
        <v>900</v>
      </c>
      <c r="V881" s="64"/>
    </row>
    <row r="882" spans="1:22" x14ac:dyDescent="0.3">
      <c r="A882" t="s">
        <v>900</v>
      </c>
      <c r="T882" s="63" t="s">
        <v>900</v>
      </c>
      <c r="V882" s="64"/>
    </row>
    <row r="883" spans="1:22" x14ac:dyDescent="0.3">
      <c r="A883" t="s">
        <v>900</v>
      </c>
      <c r="T883" s="63" t="s">
        <v>900</v>
      </c>
      <c r="V883" s="64"/>
    </row>
    <row r="884" spans="1:22" x14ac:dyDescent="0.3">
      <c r="A884" t="s">
        <v>900</v>
      </c>
      <c r="T884" s="63" t="s">
        <v>900</v>
      </c>
      <c r="V884" s="64"/>
    </row>
    <row r="885" spans="1:22" x14ac:dyDescent="0.3">
      <c r="A885" t="s">
        <v>900</v>
      </c>
      <c r="T885" s="63" t="s">
        <v>900</v>
      </c>
      <c r="V885" s="64"/>
    </row>
    <row r="886" spans="1:22" x14ac:dyDescent="0.3">
      <c r="A886" t="s">
        <v>901</v>
      </c>
      <c r="T886" s="63" t="s">
        <v>901</v>
      </c>
      <c r="V886" s="64"/>
    </row>
    <row r="887" spans="1:22" x14ac:dyDescent="0.3">
      <c r="A887" t="s">
        <v>902</v>
      </c>
      <c r="T887" s="63" t="s">
        <v>902</v>
      </c>
      <c r="V887" s="64"/>
    </row>
    <row r="888" spans="1:22" x14ac:dyDescent="0.3">
      <c r="A888" t="s">
        <v>902</v>
      </c>
      <c r="T888" s="63" t="s">
        <v>902</v>
      </c>
      <c r="V888" s="64"/>
    </row>
    <row r="889" spans="1:22" x14ac:dyDescent="0.3">
      <c r="A889" t="s">
        <v>902</v>
      </c>
      <c r="T889" s="63" t="s">
        <v>902</v>
      </c>
      <c r="V889" s="64"/>
    </row>
    <row r="890" spans="1:22" x14ac:dyDescent="0.3">
      <c r="A890" t="s">
        <v>902</v>
      </c>
      <c r="T890" s="63" t="s">
        <v>902</v>
      </c>
      <c r="V890" s="64"/>
    </row>
    <row r="891" spans="1:22" x14ac:dyDescent="0.3">
      <c r="A891" t="s">
        <v>902</v>
      </c>
      <c r="T891" s="63" t="s">
        <v>902</v>
      </c>
      <c r="V891" s="64"/>
    </row>
    <row r="892" spans="1:22" x14ac:dyDescent="0.3">
      <c r="A892" t="s">
        <v>902</v>
      </c>
      <c r="T892" s="63" t="s">
        <v>902</v>
      </c>
      <c r="V892" s="64"/>
    </row>
    <row r="893" spans="1:22" x14ac:dyDescent="0.3">
      <c r="A893" t="s">
        <v>902</v>
      </c>
      <c r="T893" s="63" t="s">
        <v>902</v>
      </c>
      <c r="V893" s="64"/>
    </row>
    <row r="894" spans="1:22" x14ac:dyDescent="0.3">
      <c r="A894" t="s">
        <v>903</v>
      </c>
      <c r="T894" s="63" t="s">
        <v>903</v>
      </c>
      <c r="V894" s="64"/>
    </row>
    <row r="895" spans="1:22" x14ac:dyDescent="0.3">
      <c r="A895" t="s">
        <v>903</v>
      </c>
      <c r="T895" s="63" t="s">
        <v>903</v>
      </c>
      <c r="V895" s="64"/>
    </row>
    <row r="896" spans="1:22" x14ac:dyDescent="0.3">
      <c r="A896" t="s">
        <v>903</v>
      </c>
      <c r="T896" s="63" t="s">
        <v>903</v>
      </c>
      <c r="V896" s="64"/>
    </row>
    <row r="897" spans="1:22" x14ac:dyDescent="0.3">
      <c r="A897" t="s">
        <v>903</v>
      </c>
      <c r="T897" s="63" t="s">
        <v>903</v>
      </c>
      <c r="V897" s="64"/>
    </row>
    <row r="898" spans="1:22" x14ac:dyDescent="0.3">
      <c r="A898" t="s">
        <v>903</v>
      </c>
      <c r="T898" s="63" t="s">
        <v>903</v>
      </c>
      <c r="V898" s="64"/>
    </row>
    <row r="899" spans="1:22" x14ac:dyDescent="0.3">
      <c r="A899" t="s">
        <v>903</v>
      </c>
      <c r="T899" s="63" t="s">
        <v>903</v>
      </c>
      <c r="V899" s="64"/>
    </row>
    <row r="900" spans="1:22" x14ac:dyDescent="0.3">
      <c r="A900" t="s">
        <v>904</v>
      </c>
      <c r="T900" s="63" t="s">
        <v>904</v>
      </c>
      <c r="V900" s="64"/>
    </row>
    <row r="901" spans="1:22" x14ac:dyDescent="0.3">
      <c r="A901" t="s">
        <v>905</v>
      </c>
      <c r="T901" s="63" t="s">
        <v>905</v>
      </c>
      <c r="V901" s="64"/>
    </row>
    <row r="902" spans="1:22" x14ac:dyDescent="0.3">
      <c r="A902" t="s">
        <v>905</v>
      </c>
      <c r="T902" s="63" t="s">
        <v>905</v>
      </c>
      <c r="V902" s="64"/>
    </row>
    <row r="903" spans="1:22" x14ac:dyDescent="0.3">
      <c r="A903" t="s">
        <v>906</v>
      </c>
      <c r="T903" s="63" t="s">
        <v>906</v>
      </c>
      <c r="V903" s="64"/>
    </row>
    <row r="904" spans="1:22" x14ac:dyDescent="0.3">
      <c r="A904" t="s">
        <v>906</v>
      </c>
      <c r="T904" s="63" t="s">
        <v>906</v>
      </c>
      <c r="V904" s="64"/>
    </row>
    <row r="905" spans="1:22" x14ac:dyDescent="0.3">
      <c r="A905" t="s">
        <v>907</v>
      </c>
      <c r="T905" s="63" t="s">
        <v>907</v>
      </c>
      <c r="V905" s="64"/>
    </row>
    <row r="906" spans="1:22" x14ac:dyDescent="0.3">
      <c r="A906" t="s">
        <v>908</v>
      </c>
      <c r="T906" s="63" t="s">
        <v>908</v>
      </c>
      <c r="V906" s="64"/>
    </row>
    <row r="907" spans="1:22" x14ac:dyDescent="0.3">
      <c r="A907" t="s">
        <v>909</v>
      </c>
      <c r="T907" s="63" t="s">
        <v>909</v>
      </c>
      <c r="V907" s="64"/>
    </row>
    <row r="908" spans="1:22" x14ac:dyDescent="0.3">
      <c r="A908" t="s">
        <v>910</v>
      </c>
      <c r="T908" s="63" t="s">
        <v>910</v>
      </c>
      <c r="V908" s="64"/>
    </row>
    <row r="909" spans="1:22" x14ac:dyDescent="0.3">
      <c r="A909" t="s">
        <v>911</v>
      </c>
      <c r="T909" s="63" t="s">
        <v>911</v>
      </c>
      <c r="V909" s="64"/>
    </row>
    <row r="910" spans="1:22" x14ac:dyDescent="0.3">
      <c r="A910" t="s">
        <v>912</v>
      </c>
      <c r="T910" s="63" t="s">
        <v>912</v>
      </c>
      <c r="V910" s="64"/>
    </row>
    <row r="911" spans="1:22" x14ac:dyDescent="0.3">
      <c r="A911" t="s">
        <v>913</v>
      </c>
      <c r="T911" s="63" t="s">
        <v>913</v>
      </c>
      <c r="V911" s="64"/>
    </row>
    <row r="912" spans="1:22" x14ac:dyDescent="0.3">
      <c r="A912" t="s">
        <v>914</v>
      </c>
      <c r="T912" s="63" t="s">
        <v>914</v>
      </c>
      <c r="V912" s="64"/>
    </row>
    <row r="913" spans="1:22" x14ac:dyDescent="0.3">
      <c r="A913" t="s">
        <v>915</v>
      </c>
      <c r="T913" s="63" t="s">
        <v>915</v>
      </c>
      <c r="V913" s="64"/>
    </row>
    <row r="914" spans="1:22" x14ac:dyDescent="0.3">
      <c r="A914" t="s">
        <v>916</v>
      </c>
      <c r="T914" s="63" t="s">
        <v>916</v>
      </c>
      <c r="V914" s="64"/>
    </row>
    <row r="915" spans="1:22" x14ac:dyDescent="0.3">
      <c r="A915" t="s">
        <v>916</v>
      </c>
      <c r="T915" s="63" t="s">
        <v>916</v>
      </c>
      <c r="V915" s="64"/>
    </row>
    <row r="916" spans="1:22" x14ac:dyDescent="0.3">
      <c r="A916" t="s">
        <v>916</v>
      </c>
      <c r="T916" s="63" t="s">
        <v>916</v>
      </c>
      <c r="V916" s="64"/>
    </row>
    <row r="917" spans="1:22" x14ac:dyDescent="0.3">
      <c r="A917" t="s">
        <v>916</v>
      </c>
      <c r="T917" s="63" t="s">
        <v>916</v>
      </c>
      <c r="V917" s="64"/>
    </row>
    <row r="918" spans="1:22" x14ac:dyDescent="0.3">
      <c r="A918" t="s">
        <v>916</v>
      </c>
      <c r="T918" s="63" t="s">
        <v>916</v>
      </c>
      <c r="V918" s="64"/>
    </row>
    <row r="919" spans="1:22" x14ac:dyDescent="0.3">
      <c r="A919" t="s">
        <v>917</v>
      </c>
      <c r="T919" s="63" t="s">
        <v>917</v>
      </c>
      <c r="V919" s="64"/>
    </row>
    <row r="920" spans="1:22" x14ac:dyDescent="0.3">
      <c r="A920" t="s">
        <v>917</v>
      </c>
      <c r="T920" s="63" t="s">
        <v>917</v>
      </c>
      <c r="V920" s="64"/>
    </row>
    <row r="921" spans="1:22" x14ac:dyDescent="0.3">
      <c r="A921" t="s">
        <v>918</v>
      </c>
      <c r="T921" s="63" t="s">
        <v>918</v>
      </c>
      <c r="V921" s="64"/>
    </row>
    <row r="922" spans="1:22" x14ac:dyDescent="0.3">
      <c r="A922" t="s">
        <v>918</v>
      </c>
      <c r="T922" s="63" t="s">
        <v>918</v>
      </c>
      <c r="V922" s="64"/>
    </row>
    <row r="923" spans="1:22" x14ac:dyDescent="0.3">
      <c r="A923" t="s">
        <v>919</v>
      </c>
      <c r="T923" s="63" t="s">
        <v>919</v>
      </c>
      <c r="V923" s="64"/>
    </row>
    <row r="924" spans="1:22" x14ac:dyDescent="0.3">
      <c r="A924" t="s">
        <v>919</v>
      </c>
      <c r="T924" s="63" t="s">
        <v>919</v>
      </c>
      <c r="V924" s="64"/>
    </row>
    <row r="925" spans="1:22" x14ac:dyDescent="0.3">
      <c r="A925" t="s">
        <v>920</v>
      </c>
      <c r="T925" s="63" t="s">
        <v>920</v>
      </c>
      <c r="V925" s="64"/>
    </row>
    <row r="926" spans="1:22" x14ac:dyDescent="0.3">
      <c r="A926" t="s">
        <v>921</v>
      </c>
      <c r="T926" s="63" t="s">
        <v>921</v>
      </c>
      <c r="V926" s="64"/>
    </row>
    <row r="927" spans="1:22" x14ac:dyDescent="0.3">
      <c r="A927" t="s">
        <v>921</v>
      </c>
      <c r="T927" s="63" t="s">
        <v>921</v>
      </c>
      <c r="V927" s="64"/>
    </row>
    <row r="928" spans="1:22" x14ac:dyDescent="0.3">
      <c r="A928" t="s">
        <v>922</v>
      </c>
      <c r="T928" s="63" t="s">
        <v>922</v>
      </c>
      <c r="V928" s="64"/>
    </row>
    <row r="929" spans="1:22" x14ac:dyDescent="0.3">
      <c r="A929" t="s">
        <v>923</v>
      </c>
      <c r="T929" s="63" t="s">
        <v>923</v>
      </c>
      <c r="V929" s="64"/>
    </row>
    <row r="930" spans="1:22" x14ac:dyDescent="0.3">
      <c r="A930" t="s">
        <v>924</v>
      </c>
      <c r="T930" s="63" t="s">
        <v>924</v>
      </c>
      <c r="V930" s="64"/>
    </row>
    <row r="931" spans="1:22" x14ac:dyDescent="0.3">
      <c r="A931" t="s">
        <v>924</v>
      </c>
      <c r="T931" s="63" t="s">
        <v>924</v>
      </c>
      <c r="V931" s="64"/>
    </row>
    <row r="932" spans="1:22" x14ac:dyDescent="0.3">
      <c r="A932" t="s">
        <v>925</v>
      </c>
      <c r="T932" s="63" t="s">
        <v>925</v>
      </c>
      <c r="V932" s="64"/>
    </row>
    <row r="933" spans="1:22" x14ac:dyDescent="0.3">
      <c r="A933" t="s">
        <v>926</v>
      </c>
      <c r="T933" s="63" t="s">
        <v>926</v>
      </c>
      <c r="V933" s="64"/>
    </row>
    <row r="934" spans="1:22" x14ac:dyDescent="0.3">
      <c r="A934" t="s">
        <v>927</v>
      </c>
      <c r="T934" s="63" t="s">
        <v>927</v>
      </c>
      <c r="V934" s="64"/>
    </row>
    <row r="935" spans="1:22" x14ac:dyDescent="0.3">
      <c r="A935" t="s">
        <v>928</v>
      </c>
      <c r="T935" s="63" t="s">
        <v>928</v>
      </c>
      <c r="V935" s="64"/>
    </row>
    <row r="936" spans="1:22" x14ac:dyDescent="0.3">
      <c r="A936" t="s">
        <v>929</v>
      </c>
      <c r="T936" s="63" t="s">
        <v>929</v>
      </c>
      <c r="V936" s="64"/>
    </row>
    <row r="937" spans="1:22" x14ac:dyDescent="0.3">
      <c r="A937" t="s">
        <v>930</v>
      </c>
      <c r="T937" s="63" t="s">
        <v>930</v>
      </c>
      <c r="V937" s="64"/>
    </row>
    <row r="938" spans="1:22" x14ac:dyDescent="0.3">
      <c r="A938" t="s">
        <v>931</v>
      </c>
      <c r="T938" s="63" t="s">
        <v>931</v>
      </c>
      <c r="V938" s="64"/>
    </row>
    <row r="939" spans="1:22" x14ac:dyDescent="0.3">
      <c r="A939" t="s">
        <v>932</v>
      </c>
      <c r="T939" s="63" t="s">
        <v>932</v>
      </c>
      <c r="V939" s="64"/>
    </row>
    <row r="940" spans="1:22" x14ac:dyDescent="0.3">
      <c r="A940" t="s">
        <v>932</v>
      </c>
      <c r="T940" s="63" t="s">
        <v>932</v>
      </c>
      <c r="V940" s="64"/>
    </row>
    <row r="941" spans="1:22" x14ac:dyDescent="0.3">
      <c r="A941" t="s">
        <v>933</v>
      </c>
      <c r="T941" s="63" t="s">
        <v>933</v>
      </c>
      <c r="V941" s="64"/>
    </row>
    <row r="942" spans="1:22" x14ac:dyDescent="0.3">
      <c r="A942" t="s">
        <v>934</v>
      </c>
      <c r="T942" s="63" t="s">
        <v>934</v>
      </c>
      <c r="V942" s="64"/>
    </row>
    <row r="943" spans="1:22" x14ac:dyDescent="0.3">
      <c r="A943" t="s">
        <v>934</v>
      </c>
      <c r="T943" s="63" t="s">
        <v>934</v>
      </c>
      <c r="V943" s="64"/>
    </row>
    <row r="944" spans="1:22" x14ac:dyDescent="0.3">
      <c r="A944" t="s">
        <v>934</v>
      </c>
      <c r="T944" s="63" t="s">
        <v>934</v>
      </c>
      <c r="V944" s="64"/>
    </row>
    <row r="945" spans="1:22" x14ac:dyDescent="0.3">
      <c r="A945" t="s">
        <v>934</v>
      </c>
      <c r="T945" s="63" t="s">
        <v>934</v>
      </c>
      <c r="V945" s="64"/>
    </row>
    <row r="946" spans="1:22" x14ac:dyDescent="0.3">
      <c r="A946" t="s">
        <v>934</v>
      </c>
      <c r="T946" s="63" t="s">
        <v>934</v>
      </c>
      <c r="V946" s="64"/>
    </row>
    <row r="947" spans="1:22" x14ac:dyDescent="0.3">
      <c r="A947" t="s">
        <v>934</v>
      </c>
      <c r="T947" s="63" t="s">
        <v>934</v>
      </c>
      <c r="V947" s="64"/>
    </row>
    <row r="948" spans="1:22" x14ac:dyDescent="0.3">
      <c r="A948" t="s">
        <v>934</v>
      </c>
      <c r="T948" s="63" t="s">
        <v>934</v>
      </c>
      <c r="V948" s="64"/>
    </row>
    <row r="949" spans="1:22" x14ac:dyDescent="0.3">
      <c r="A949" t="s">
        <v>934</v>
      </c>
      <c r="T949" s="63" t="s">
        <v>934</v>
      </c>
      <c r="V949" s="64"/>
    </row>
    <row r="950" spans="1:22" x14ac:dyDescent="0.3">
      <c r="A950" t="s">
        <v>934</v>
      </c>
      <c r="T950" s="63" t="s">
        <v>934</v>
      </c>
      <c r="V950" s="64"/>
    </row>
    <row r="951" spans="1:22" x14ac:dyDescent="0.3">
      <c r="A951" t="s">
        <v>934</v>
      </c>
      <c r="T951" s="63" t="s">
        <v>934</v>
      </c>
      <c r="V951" s="64"/>
    </row>
    <row r="952" spans="1:22" x14ac:dyDescent="0.3">
      <c r="A952" t="s">
        <v>934</v>
      </c>
      <c r="T952" s="63" t="s">
        <v>934</v>
      </c>
      <c r="V952" s="64"/>
    </row>
    <row r="953" spans="1:22" x14ac:dyDescent="0.3">
      <c r="A953" t="s">
        <v>935</v>
      </c>
      <c r="T953" s="63" t="s">
        <v>935</v>
      </c>
      <c r="V953" s="64"/>
    </row>
    <row r="954" spans="1:22" x14ac:dyDescent="0.3">
      <c r="A954" t="s">
        <v>935</v>
      </c>
      <c r="T954" s="63" t="s">
        <v>935</v>
      </c>
      <c r="V954" s="64"/>
    </row>
    <row r="955" spans="1:22" x14ac:dyDescent="0.3">
      <c r="A955" t="s">
        <v>935</v>
      </c>
      <c r="T955" s="63" t="s">
        <v>935</v>
      </c>
      <c r="V955" s="64"/>
    </row>
    <row r="956" spans="1:22" x14ac:dyDescent="0.3">
      <c r="A956" t="s">
        <v>936</v>
      </c>
      <c r="T956" s="63" t="s">
        <v>936</v>
      </c>
      <c r="V956" s="64"/>
    </row>
    <row r="957" spans="1:22" x14ac:dyDescent="0.3">
      <c r="A957" t="s">
        <v>937</v>
      </c>
      <c r="T957" s="63" t="s">
        <v>937</v>
      </c>
      <c r="V957" s="64"/>
    </row>
    <row r="958" spans="1:22" x14ac:dyDescent="0.3">
      <c r="A958" t="s">
        <v>938</v>
      </c>
      <c r="T958" s="63" t="s">
        <v>938</v>
      </c>
      <c r="V958" s="64"/>
    </row>
    <row r="959" spans="1:22" x14ac:dyDescent="0.3">
      <c r="A959" t="s">
        <v>938</v>
      </c>
      <c r="T959" s="63" t="s">
        <v>938</v>
      </c>
      <c r="V959" s="64"/>
    </row>
    <row r="960" spans="1:22" x14ac:dyDescent="0.3">
      <c r="A960" t="s">
        <v>938</v>
      </c>
      <c r="T960" s="63" t="s">
        <v>938</v>
      </c>
      <c r="V960" s="64"/>
    </row>
    <row r="961" spans="1:22" x14ac:dyDescent="0.3">
      <c r="A961" t="s">
        <v>938</v>
      </c>
      <c r="T961" s="63" t="s">
        <v>938</v>
      </c>
      <c r="V961" s="64"/>
    </row>
    <row r="962" spans="1:22" x14ac:dyDescent="0.3">
      <c r="A962" t="s">
        <v>938</v>
      </c>
      <c r="T962" s="63" t="s">
        <v>938</v>
      </c>
      <c r="V962" s="64"/>
    </row>
    <row r="963" spans="1:22" x14ac:dyDescent="0.3">
      <c r="A963" t="s">
        <v>938</v>
      </c>
      <c r="T963" s="63" t="s">
        <v>938</v>
      </c>
      <c r="V963" s="64"/>
    </row>
    <row r="964" spans="1:22" x14ac:dyDescent="0.3">
      <c r="A964" t="s">
        <v>938</v>
      </c>
      <c r="T964" s="63" t="s">
        <v>938</v>
      </c>
      <c r="V964" s="64"/>
    </row>
    <row r="965" spans="1:22" x14ac:dyDescent="0.3">
      <c r="A965" t="s">
        <v>938</v>
      </c>
      <c r="T965" s="63" t="s">
        <v>938</v>
      </c>
      <c r="V965" s="64"/>
    </row>
    <row r="966" spans="1:22" x14ac:dyDescent="0.3">
      <c r="A966" t="s">
        <v>938</v>
      </c>
      <c r="T966" s="63" t="s">
        <v>938</v>
      </c>
      <c r="V966" s="64"/>
    </row>
    <row r="967" spans="1:22" x14ac:dyDescent="0.3">
      <c r="A967" t="s">
        <v>939</v>
      </c>
      <c r="T967" s="63" t="s">
        <v>939</v>
      </c>
      <c r="V967" s="64"/>
    </row>
    <row r="968" spans="1:22" x14ac:dyDescent="0.3">
      <c r="A968" t="s">
        <v>940</v>
      </c>
      <c r="T968" s="63" t="s">
        <v>940</v>
      </c>
      <c r="V968" s="64"/>
    </row>
    <row r="969" spans="1:22" x14ac:dyDescent="0.3">
      <c r="A969" t="s">
        <v>940</v>
      </c>
      <c r="T969" s="63" t="s">
        <v>940</v>
      </c>
      <c r="V969" s="64"/>
    </row>
    <row r="970" spans="1:22" x14ac:dyDescent="0.3">
      <c r="A970" t="s">
        <v>941</v>
      </c>
      <c r="T970" s="63" t="s">
        <v>941</v>
      </c>
      <c r="V970" s="64"/>
    </row>
    <row r="971" spans="1:22" x14ac:dyDescent="0.3">
      <c r="A971" t="s">
        <v>942</v>
      </c>
      <c r="T971" s="63" t="s">
        <v>942</v>
      </c>
      <c r="V971" s="64"/>
    </row>
    <row r="972" spans="1:22" x14ac:dyDescent="0.3">
      <c r="A972" t="s">
        <v>942</v>
      </c>
      <c r="T972" s="63" t="s">
        <v>942</v>
      </c>
      <c r="V972" s="64"/>
    </row>
    <row r="973" spans="1:22" x14ac:dyDescent="0.3">
      <c r="A973" t="s">
        <v>942</v>
      </c>
      <c r="T973" s="63" t="s">
        <v>942</v>
      </c>
      <c r="V973" s="64"/>
    </row>
    <row r="974" spans="1:22" x14ac:dyDescent="0.3">
      <c r="A974" t="s">
        <v>942</v>
      </c>
      <c r="T974" s="63" t="s">
        <v>942</v>
      </c>
      <c r="V974" s="64"/>
    </row>
    <row r="975" spans="1:22" x14ac:dyDescent="0.3">
      <c r="A975" t="s">
        <v>942</v>
      </c>
      <c r="T975" s="63" t="s">
        <v>942</v>
      </c>
      <c r="V975" s="64"/>
    </row>
    <row r="976" spans="1:22" x14ac:dyDescent="0.3">
      <c r="A976" t="s">
        <v>942</v>
      </c>
      <c r="T976" s="63" t="s">
        <v>942</v>
      </c>
      <c r="V976" s="64"/>
    </row>
    <row r="977" spans="1:22" x14ac:dyDescent="0.3">
      <c r="A977" t="s">
        <v>942</v>
      </c>
      <c r="T977" s="63" t="s">
        <v>942</v>
      </c>
      <c r="V977" s="64"/>
    </row>
    <row r="978" spans="1:22" x14ac:dyDescent="0.3">
      <c r="A978" t="s">
        <v>942</v>
      </c>
      <c r="T978" s="63" t="s">
        <v>942</v>
      </c>
      <c r="V978" s="64"/>
    </row>
    <row r="979" spans="1:22" x14ac:dyDescent="0.3">
      <c r="A979" t="s">
        <v>942</v>
      </c>
      <c r="T979" s="63" t="s">
        <v>942</v>
      </c>
      <c r="V979" s="64"/>
    </row>
    <row r="980" spans="1:22" x14ac:dyDescent="0.3">
      <c r="A980" t="s">
        <v>943</v>
      </c>
      <c r="T980" s="63" t="s">
        <v>943</v>
      </c>
      <c r="V980" s="64"/>
    </row>
    <row r="981" spans="1:22" x14ac:dyDescent="0.3">
      <c r="A981" t="s">
        <v>943</v>
      </c>
      <c r="T981" s="63" t="s">
        <v>943</v>
      </c>
      <c r="V981" s="64"/>
    </row>
    <row r="982" spans="1:22" x14ac:dyDescent="0.3">
      <c r="A982" t="s">
        <v>944</v>
      </c>
      <c r="T982" s="63" t="s">
        <v>944</v>
      </c>
      <c r="V982" s="64"/>
    </row>
    <row r="983" spans="1:22" x14ac:dyDescent="0.3">
      <c r="A983" t="s">
        <v>945</v>
      </c>
      <c r="T983" s="63" t="s">
        <v>945</v>
      </c>
      <c r="V983" s="64"/>
    </row>
    <row r="984" spans="1:22" x14ac:dyDescent="0.3">
      <c r="A984" t="s">
        <v>946</v>
      </c>
      <c r="T984" s="63" t="s">
        <v>946</v>
      </c>
      <c r="V984" s="64"/>
    </row>
    <row r="985" spans="1:22" x14ac:dyDescent="0.3">
      <c r="A985" t="s">
        <v>946</v>
      </c>
      <c r="T985" s="63" t="s">
        <v>946</v>
      </c>
      <c r="V985" s="64"/>
    </row>
    <row r="986" spans="1:22" x14ac:dyDescent="0.3">
      <c r="A986" t="s">
        <v>946</v>
      </c>
      <c r="T986" s="63" t="s">
        <v>946</v>
      </c>
      <c r="V986" s="64"/>
    </row>
    <row r="987" spans="1:22" x14ac:dyDescent="0.3">
      <c r="A987" t="s">
        <v>946</v>
      </c>
      <c r="T987" s="63" t="s">
        <v>946</v>
      </c>
      <c r="V987" s="64"/>
    </row>
    <row r="988" spans="1:22" x14ac:dyDescent="0.3">
      <c r="A988" t="s">
        <v>946</v>
      </c>
      <c r="T988" s="63" t="s">
        <v>946</v>
      </c>
      <c r="V988" s="64"/>
    </row>
    <row r="989" spans="1:22" x14ac:dyDescent="0.3">
      <c r="A989" t="s">
        <v>946</v>
      </c>
      <c r="T989" s="63" t="s">
        <v>946</v>
      </c>
      <c r="V989" s="64"/>
    </row>
    <row r="990" spans="1:22" x14ac:dyDescent="0.3">
      <c r="A990" t="s">
        <v>946</v>
      </c>
      <c r="T990" s="63" t="s">
        <v>946</v>
      </c>
      <c r="V990" s="64"/>
    </row>
    <row r="991" spans="1:22" x14ac:dyDescent="0.3">
      <c r="A991" t="s">
        <v>946</v>
      </c>
      <c r="T991" s="63" t="s">
        <v>946</v>
      </c>
      <c r="V991" s="64"/>
    </row>
    <row r="992" spans="1:22" x14ac:dyDescent="0.3">
      <c r="A992" t="s">
        <v>946</v>
      </c>
      <c r="T992" s="63" t="s">
        <v>946</v>
      </c>
      <c r="V992" s="64"/>
    </row>
    <row r="993" spans="1:22" x14ac:dyDescent="0.3">
      <c r="A993" t="s">
        <v>946</v>
      </c>
      <c r="T993" s="63" t="s">
        <v>946</v>
      </c>
      <c r="V993" s="64"/>
    </row>
    <row r="994" spans="1:22" x14ac:dyDescent="0.3">
      <c r="A994" t="s">
        <v>946</v>
      </c>
      <c r="T994" s="63" t="s">
        <v>946</v>
      </c>
      <c r="V994" s="64"/>
    </row>
    <row r="995" spans="1:22" x14ac:dyDescent="0.3">
      <c r="A995" t="s">
        <v>947</v>
      </c>
      <c r="T995" s="63" t="s">
        <v>947</v>
      </c>
      <c r="V995" s="64"/>
    </row>
    <row r="996" spans="1:22" x14ac:dyDescent="0.3">
      <c r="A996" t="s">
        <v>947</v>
      </c>
      <c r="T996" s="63" t="s">
        <v>947</v>
      </c>
      <c r="V996" s="64"/>
    </row>
    <row r="997" spans="1:22" x14ac:dyDescent="0.3">
      <c r="A997" t="s">
        <v>947</v>
      </c>
      <c r="T997" s="63" t="s">
        <v>947</v>
      </c>
      <c r="V997" s="64"/>
    </row>
    <row r="998" spans="1:22" x14ac:dyDescent="0.3">
      <c r="A998" t="s">
        <v>948</v>
      </c>
      <c r="T998" s="63" t="s">
        <v>948</v>
      </c>
      <c r="V998" s="64"/>
    </row>
    <row r="999" spans="1:22" x14ac:dyDescent="0.3">
      <c r="A999" t="s">
        <v>949</v>
      </c>
      <c r="T999" s="63" t="s">
        <v>949</v>
      </c>
      <c r="V999" s="64"/>
    </row>
    <row r="1000" spans="1:22" x14ac:dyDescent="0.3">
      <c r="A1000" t="s">
        <v>949</v>
      </c>
      <c r="T1000" s="63" t="s">
        <v>949</v>
      </c>
      <c r="V1000" s="64"/>
    </row>
    <row r="1001" spans="1:22" x14ac:dyDescent="0.3">
      <c r="A1001" t="s">
        <v>949</v>
      </c>
      <c r="T1001" s="63" t="s">
        <v>949</v>
      </c>
      <c r="V1001" s="64"/>
    </row>
    <row r="1002" spans="1:22" x14ac:dyDescent="0.3">
      <c r="A1002" t="s">
        <v>949</v>
      </c>
      <c r="T1002" s="63" t="s">
        <v>949</v>
      </c>
      <c r="V1002" s="64"/>
    </row>
    <row r="1003" spans="1:22" x14ac:dyDescent="0.3">
      <c r="A1003" t="s">
        <v>949</v>
      </c>
      <c r="T1003" s="63" t="s">
        <v>949</v>
      </c>
      <c r="V1003" s="64"/>
    </row>
    <row r="1004" spans="1:22" x14ac:dyDescent="0.3">
      <c r="A1004" t="s">
        <v>949</v>
      </c>
      <c r="T1004" s="63" t="s">
        <v>949</v>
      </c>
      <c r="V1004" s="64"/>
    </row>
    <row r="1005" spans="1:22" x14ac:dyDescent="0.3">
      <c r="A1005" t="s">
        <v>949</v>
      </c>
      <c r="T1005" s="63" t="s">
        <v>949</v>
      </c>
      <c r="V1005" s="64"/>
    </row>
    <row r="1006" spans="1:22" x14ac:dyDescent="0.3">
      <c r="A1006" t="s">
        <v>949</v>
      </c>
      <c r="T1006" s="63" t="s">
        <v>949</v>
      </c>
      <c r="V1006" s="64"/>
    </row>
    <row r="1007" spans="1:22" x14ac:dyDescent="0.3">
      <c r="A1007" t="s">
        <v>949</v>
      </c>
      <c r="T1007" s="63" t="s">
        <v>949</v>
      </c>
      <c r="V1007" s="64"/>
    </row>
    <row r="1008" spans="1:22" x14ac:dyDescent="0.3">
      <c r="A1008" t="s">
        <v>949</v>
      </c>
      <c r="T1008" s="63" t="s">
        <v>949</v>
      </c>
      <c r="V1008" s="64"/>
    </row>
    <row r="1009" spans="1:22" x14ac:dyDescent="0.3">
      <c r="A1009" t="s">
        <v>949</v>
      </c>
      <c r="T1009" s="63" t="s">
        <v>949</v>
      </c>
      <c r="V1009" s="64"/>
    </row>
    <row r="1010" spans="1:22" x14ac:dyDescent="0.3">
      <c r="A1010" t="s">
        <v>949</v>
      </c>
      <c r="T1010" s="63" t="s">
        <v>949</v>
      </c>
      <c r="V1010" s="64"/>
    </row>
    <row r="1011" spans="1:22" x14ac:dyDescent="0.3">
      <c r="A1011" t="s">
        <v>949</v>
      </c>
      <c r="T1011" s="63" t="s">
        <v>949</v>
      </c>
      <c r="V1011" s="64"/>
    </row>
    <row r="1012" spans="1:22" x14ac:dyDescent="0.3">
      <c r="A1012" t="s">
        <v>950</v>
      </c>
      <c r="T1012" s="63" t="s">
        <v>950</v>
      </c>
      <c r="V1012" s="64"/>
    </row>
    <row r="1013" spans="1:22" x14ac:dyDescent="0.3">
      <c r="A1013" t="s">
        <v>951</v>
      </c>
      <c r="T1013" s="63" t="s">
        <v>951</v>
      </c>
      <c r="V1013" s="64"/>
    </row>
    <row r="1014" spans="1:22" x14ac:dyDescent="0.3">
      <c r="A1014" t="s">
        <v>951</v>
      </c>
      <c r="T1014" s="63" t="s">
        <v>951</v>
      </c>
      <c r="V1014" s="64"/>
    </row>
    <row r="1015" spans="1:22" x14ac:dyDescent="0.3">
      <c r="A1015" t="s">
        <v>952</v>
      </c>
      <c r="T1015" s="63" t="s">
        <v>952</v>
      </c>
      <c r="V1015" s="64"/>
    </row>
    <row r="1016" spans="1:22" x14ac:dyDescent="0.3">
      <c r="A1016" t="s">
        <v>953</v>
      </c>
      <c r="T1016" s="63" t="s">
        <v>953</v>
      </c>
      <c r="V1016" s="64"/>
    </row>
    <row r="1017" spans="1:22" x14ac:dyDescent="0.3">
      <c r="A1017" t="s">
        <v>954</v>
      </c>
      <c r="T1017" s="63" t="s">
        <v>954</v>
      </c>
      <c r="V1017" s="64"/>
    </row>
    <row r="1018" spans="1:22" x14ac:dyDescent="0.3">
      <c r="A1018" t="s">
        <v>955</v>
      </c>
      <c r="T1018" s="63" t="s">
        <v>955</v>
      </c>
      <c r="V1018" s="64"/>
    </row>
    <row r="1019" spans="1:22" x14ac:dyDescent="0.3">
      <c r="A1019" t="s">
        <v>955</v>
      </c>
      <c r="T1019" s="63" t="s">
        <v>955</v>
      </c>
      <c r="V1019" s="64"/>
    </row>
    <row r="1020" spans="1:22" x14ac:dyDescent="0.3">
      <c r="A1020" t="s">
        <v>955</v>
      </c>
      <c r="T1020" s="63" t="s">
        <v>955</v>
      </c>
      <c r="V1020" s="64"/>
    </row>
    <row r="1021" spans="1:22" x14ac:dyDescent="0.3">
      <c r="A1021" t="s">
        <v>955</v>
      </c>
      <c r="T1021" s="63" t="s">
        <v>955</v>
      </c>
      <c r="V1021" s="64"/>
    </row>
    <row r="1022" spans="1:22" x14ac:dyDescent="0.3">
      <c r="A1022" t="s">
        <v>955</v>
      </c>
      <c r="T1022" s="63" t="s">
        <v>955</v>
      </c>
      <c r="V1022" s="64"/>
    </row>
    <row r="1023" spans="1:22" x14ac:dyDescent="0.3">
      <c r="A1023" t="s">
        <v>955</v>
      </c>
      <c r="T1023" s="63" t="s">
        <v>955</v>
      </c>
      <c r="V1023" s="64"/>
    </row>
    <row r="1024" spans="1:22" x14ac:dyDescent="0.3">
      <c r="A1024" t="s">
        <v>955</v>
      </c>
      <c r="T1024" s="63" t="s">
        <v>955</v>
      </c>
      <c r="V1024" s="64"/>
    </row>
    <row r="1025" spans="1:22" x14ac:dyDescent="0.3">
      <c r="A1025" t="s">
        <v>955</v>
      </c>
      <c r="T1025" s="63" t="s">
        <v>955</v>
      </c>
      <c r="V1025" s="64"/>
    </row>
    <row r="1026" spans="1:22" x14ac:dyDescent="0.3">
      <c r="A1026" t="s">
        <v>955</v>
      </c>
      <c r="T1026" s="63" t="s">
        <v>955</v>
      </c>
      <c r="V1026" s="64"/>
    </row>
    <row r="1027" spans="1:22" x14ac:dyDescent="0.3">
      <c r="A1027" t="s">
        <v>955</v>
      </c>
      <c r="T1027" s="63" t="s">
        <v>955</v>
      </c>
      <c r="V1027" s="64"/>
    </row>
    <row r="1028" spans="1:22" x14ac:dyDescent="0.3">
      <c r="A1028" t="s">
        <v>955</v>
      </c>
      <c r="T1028" s="63" t="s">
        <v>955</v>
      </c>
      <c r="V1028" s="64"/>
    </row>
    <row r="1029" spans="1:22" x14ac:dyDescent="0.3">
      <c r="A1029" t="s">
        <v>956</v>
      </c>
      <c r="T1029" s="63" t="s">
        <v>956</v>
      </c>
      <c r="V1029" s="64"/>
    </row>
    <row r="1030" spans="1:22" x14ac:dyDescent="0.3">
      <c r="A1030" t="s">
        <v>957</v>
      </c>
      <c r="T1030" s="63" t="s">
        <v>957</v>
      </c>
      <c r="V1030" s="64"/>
    </row>
    <row r="1031" spans="1:22" x14ac:dyDescent="0.3">
      <c r="A1031" t="s">
        <v>958</v>
      </c>
      <c r="T1031" s="63" t="s">
        <v>958</v>
      </c>
      <c r="V1031" s="64"/>
    </row>
    <row r="1032" spans="1:22" x14ac:dyDescent="0.3">
      <c r="A1032" t="s">
        <v>959</v>
      </c>
      <c r="T1032" s="63" t="s">
        <v>959</v>
      </c>
      <c r="V1032" s="64"/>
    </row>
    <row r="1033" spans="1:22" x14ac:dyDescent="0.3">
      <c r="A1033" t="s">
        <v>960</v>
      </c>
      <c r="T1033" s="63" t="s">
        <v>960</v>
      </c>
      <c r="V1033" s="64"/>
    </row>
    <row r="1034" spans="1:22" x14ac:dyDescent="0.3">
      <c r="A1034" t="s">
        <v>961</v>
      </c>
      <c r="T1034" s="63" t="s">
        <v>961</v>
      </c>
      <c r="V1034" s="64"/>
    </row>
    <row r="1035" spans="1:22" x14ac:dyDescent="0.3">
      <c r="A1035" t="s">
        <v>962</v>
      </c>
      <c r="T1035" s="63" t="s">
        <v>962</v>
      </c>
      <c r="V1035" s="64"/>
    </row>
    <row r="1036" spans="1:22" x14ac:dyDescent="0.3">
      <c r="A1036" t="s">
        <v>963</v>
      </c>
      <c r="T1036" s="63" t="s">
        <v>963</v>
      </c>
      <c r="V1036" s="64"/>
    </row>
    <row r="1037" spans="1:22" x14ac:dyDescent="0.3">
      <c r="A1037" t="s">
        <v>963</v>
      </c>
      <c r="T1037" s="63" t="s">
        <v>963</v>
      </c>
      <c r="V1037" s="64"/>
    </row>
    <row r="1038" spans="1:22" x14ac:dyDescent="0.3">
      <c r="A1038" t="s">
        <v>963</v>
      </c>
      <c r="T1038" s="63" t="s">
        <v>963</v>
      </c>
      <c r="V1038" s="64"/>
    </row>
    <row r="1039" spans="1:22" x14ac:dyDescent="0.3">
      <c r="A1039" t="s">
        <v>963</v>
      </c>
      <c r="T1039" s="63" t="s">
        <v>963</v>
      </c>
      <c r="V1039" s="64"/>
    </row>
    <row r="1040" spans="1:22" x14ac:dyDescent="0.3">
      <c r="A1040" t="s">
        <v>963</v>
      </c>
      <c r="T1040" s="63" t="s">
        <v>963</v>
      </c>
      <c r="V1040" s="64"/>
    </row>
    <row r="1041" spans="1:22" x14ac:dyDescent="0.3">
      <c r="A1041" t="s">
        <v>963</v>
      </c>
      <c r="T1041" s="63" t="s">
        <v>963</v>
      </c>
      <c r="V1041" s="64"/>
    </row>
    <row r="1042" spans="1:22" x14ac:dyDescent="0.3">
      <c r="A1042" t="s">
        <v>963</v>
      </c>
      <c r="T1042" s="63" t="s">
        <v>963</v>
      </c>
      <c r="V1042" s="64"/>
    </row>
    <row r="1043" spans="1:22" x14ac:dyDescent="0.3">
      <c r="A1043" t="s">
        <v>963</v>
      </c>
      <c r="T1043" s="63" t="s">
        <v>963</v>
      </c>
      <c r="V1043" s="64"/>
    </row>
    <row r="1044" spans="1:22" x14ac:dyDescent="0.3">
      <c r="A1044" t="s">
        <v>963</v>
      </c>
      <c r="T1044" s="63" t="s">
        <v>963</v>
      </c>
      <c r="V1044" s="64"/>
    </row>
    <row r="1045" spans="1:22" x14ac:dyDescent="0.3">
      <c r="A1045" t="s">
        <v>963</v>
      </c>
      <c r="T1045" s="63" t="s">
        <v>963</v>
      </c>
      <c r="V1045" s="64"/>
    </row>
    <row r="1046" spans="1:22" x14ac:dyDescent="0.3">
      <c r="A1046" t="s">
        <v>963</v>
      </c>
      <c r="T1046" s="63" t="s">
        <v>963</v>
      </c>
      <c r="V1046" s="64"/>
    </row>
    <row r="1047" spans="1:22" x14ac:dyDescent="0.3">
      <c r="A1047" t="s">
        <v>964</v>
      </c>
      <c r="T1047" s="63" t="s">
        <v>964</v>
      </c>
      <c r="V1047" s="64"/>
    </row>
    <row r="1048" spans="1:22" x14ac:dyDescent="0.3">
      <c r="A1048" t="s">
        <v>965</v>
      </c>
      <c r="T1048" s="63" t="s">
        <v>965</v>
      </c>
      <c r="V1048" s="64"/>
    </row>
    <row r="1049" spans="1:22" x14ac:dyDescent="0.3">
      <c r="A1049" t="s">
        <v>966</v>
      </c>
      <c r="T1049" s="63" t="s">
        <v>966</v>
      </c>
      <c r="V1049" s="64"/>
    </row>
    <row r="1050" spans="1:22" x14ac:dyDescent="0.3">
      <c r="A1050" t="s">
        <v>967</v>
      </c>
      <c r="T1050" s="63" t="s">
        <v>967</v>
      </c>
      <c r="V1050" s="64"/>
    </row>
    <row r="1051" spans="1:22" x14ac:dyDescent="0.3">
      <c r="A1051" t="s">
        <v>968</v>
      </c>
      <c r="T1051" s="63" t="s">
        <v>968</v>
      </c>
      <c r="V1051" s="64"/>
    </row>
    <row r="1052" spans="1:22" x14ac:dyDescent="0.3">
      <c r="A1052" t="s">
        <v>969</v>
      </c>
      <c r="T1052" s="63" t="s">
        <v>969</v>
      </c>
      <c r="V1052" s="64"/>
    </row>
    <row r="1053" spans="1:22" x14ac:dyDescent="0.3">
      <c r="A1053" t="s">
        <v>970</v>
      </c>
      <c r="T1053" s="63" t="s">
        <v>970</v>
      </c>
      <c r="V1053" s="64"/>
    </row>
    <row r="1054" spans="1:22" x14ac:dyDescent="0.3">
      <c r="A1054" t="s">
        <v>971</v>
      </c>
      <c r="T1054" s="63" t="s">
        <v>971</v>
      </c>
      <c r="V1054" s="64"/>
    </row>
    <row r="1055" spans="1:22" x14ac:dyDescent="0.3">
      <c r="A1055" t="s">
        <v>972</v>
      </c>
      <c r="T1055" s="63" t="s">
        <v>972</v>
      </c>
      <c r="V1055" s="64"/>
    </row>
    <row r="1056" spans="1:22" x14ac:dyDescent="0.3">
      <c r="A1056" t="s">
        <v>973</v>
      </c>
      <c r="T1056" s="63" t="s">
        <v>973</v>
      </c>
      <c r="V1056" s="64"/>
    </row>
    <row r="1057" spans="1:22" x14ac:dyDescent="0.3">
      <c r="A1057" t="s">
        <v>974</v>
      </c>
      <c r="T1057" s="63" t="s">
        <v>974</v>
      </c>
      <c r="V1057" s="64"/>
    </row>
    <row r="1058" spans="1:22" x14ac:dyDescent="0.3">
      <c r="A1058" t="s">
        <v>975</v>
      </c>
      <c r="T1058" s="63" t="s">
        <v>975</v>
      </c>
      <c r="V1058" s="64"/>
    </row>
    <row r="1059" spans="1:22" x14ac:dyDescent="0.3">
      <c r="A1059" t="s">
        <v>976</v>
      </c>
      <c r="T1059" s="63" t="s">
        <v>976</v>
      </c>
      <c r="V1059" s="64"/>
    </row>
    <row r="1060" spans="1:22" x14ac:dyDescent="0.3">
      <c r="A1060" t="s">
        <v>977</v>
      </c>
      <c r="T1060" s="63" t="s">
        <v>977</v>
      </c>
      <c r="V1060" s="64"/>
    </row>
    <row r="1061" spans="1:22" x14ac:dyDescent="0.3">
      <c r="A1061" t="s">
        <v>978</v>
      </c>
      <c r="T1061" s="63" t="s">
        <v>978</v>
      </c>
      <c r="V1061" s="64"/>
    </row>
    <row r="1062" spans="1:22" x14ac:dyDescent="0.3">
      <c r="A1062" t="s">
        <v>979</v>
      </c>
      <c r="T1062" s="63" t="s">
        <v>979</v>
      </c>
      <c r="V1062" s="64"/>
    </row>
    <row r="1063" spans="1:22" x14ac:dyDescent="0.3">
      <c r="A1063" t="s">
        <v>979</v>
      </c>
      <c r="T1063" s="63" t="s">
        <v>979</v>
      </c>
      <c r="V1063" s="64"/>
    </row>
    <row r="1064" spans="1:22" x14ac:dyDescent="0.3">
      <c r="A1064" t="s">
        <v>980</v>
      </c>
      <c r="T1064" s="63" t="s">
        <v>980</v>
      </c>
      <c r="V1064" s="64"/>
    </row>
    <row r="1065" spans="1:22" x14ac:dyDescent="0.3">
      <c r="A1065" t="s">
        <v>981</v>
      </c>
      <c r="T1065" s="63" t="s">
        <v>981</v>
      </c>
      <c r="V1065" s="64"/>
    </row>
    <row r="1066" spans="1:22" x14ac:dyDescent="0.3">
      <c r="A1066" t="s">
        <v>982</v>
      </c>
      <c r="T1066" s="63" t="s">
        <v>982</v>
      </c>
      <c r="V1066" s="64"/>
    </row>
    <row r="1067" spans="1:22" x14ac:dyDescent="0.3">
      <c r="A1067" t="s">
        <v>983</v>
      </c>
      <c r="T1067" s="63" t="s">
        <v>983</v>
      </c>
      <c r="V1067" s="64"/>
    </row>
    <row r="1068" spans="1:22" x14ac:dyDescent="0.3">
      <c r="A1068" t="s">
        <v>984</v>
      </c>
      <c r="T1068" s="63" t="s">
        <v>984</v>
      </c>
      <c r="V1068" s="64"/>
    </row>
    <row r="1069" spans="1:22" x14ac:dyDescent="0.3">
      <c r="A1069" t="s">
        <v>985</v>
      </c>
      <c r="T1069" s="63" t="s">
        <v>985</v>
      </c>
      <c r="V1069" s="64"/>
    </row>
    <row r="1070" spans="1:22" x14ac:dyDescent="0.3">
      <c r="A1070" t="s">
        <v>986</v>
      </c>
      <c r="T1070" s="63" t="s">
        <v>986</v>
      </c>
      <c r="V1070" s="64"/>
    </row>
    <row r="1071" spans="1:22" x14ac:dyDescent="0.3">
      <c r="A1071" t="s">
        <v>986</v>
      </c>
      <c r="T1071" s="63" t="s">
        <v>986</v>
      </c>
      <c r="V1071" s="64"/>
    </row>
    <row r="1072" spans="1:22" x14ac:dyDescent="0.3">
      <c r="A1072" t="s">
        <v>987</v>
      </c>
      <c r="T1072" s="63" t="s">
        <v>987</v>
      </c>
      <c r="V1072" s="64"/>
    </row>
    <row r="1073" spans="1:22" x14ac:dyDescent="0.3">
      <c r="A1073" t="s">
        <v>988</v>
      </c>
      <c r="T1073" s="63" t="s">
        <v>988</v>
      </c>
      <c r="V1073" s="64"/>
    </row>
    <row r="1074" spans="1:22" x14ac:dyDescent="0.3">
      <c r="A1074" t="s">
        <v>989</v>
      </c>
      <c r="T1074" s="63" t="s">
        <v>989</v>
      </c>
      <c r="V1074" s="64"/>
    </row>
    <row r="1075" spans="1:22" x14ac:dyDescent="0.3">
      <c r="A1075" t="s">
        <v>990</v>
      </c>
      <c r="T1075" s="63" t="s">
        <v>990</v>
      </c>
      <c r="V1075" s="64"/>
    </row>
    <row r="1076" spans="1:22" x14ac:dyDescent="0.3">
      <c r="A1076" t="s">
        <v>991</v>
      </c>
      <c r="T1076" s="63" t="s">
        <v>991</v>
      </c>
      <c r="V1076" s="64"/>
    </row>
    <row r="1077" spans="1:22" x14ac:dyDescent="0.3">
      <c r="A1077" t="s">
        <v>991</v>
      </c>
      <c r="T1077" s="63" t="s">
        <v>991</v>
      </c>
      <c r="V1077" s="64"/>
    </row>
    <row r="1078" spans="1:22" x14ac:dyDescent="0.3">
      <c r="A1078" t="s">
        <v>992</v>
      </c>
      <c r="T1078" s="63" t="s">
        <v>992</v>
      </c>
      <c r="V1078" s="64"/>
    </row>
    <row r="1079" spans="1:22" x14ac:dyDescent="0.3">
      <c r="A1079" t="s">
        <v>993</v>
      </c>
      <c r="T1079" s="63" t="s">
        <v>993</v>
      </c>
      <c r="V1079" s="64"/>
    </row>
    <row r="1080" spans="1:22" x14ac:dyDescent="0.3">
      <c r="A1080" t="s">
        <v>994</v>
      </c>
      <c r="T1080" s="63" t="s">
        <v>994</v>
      </c>
      <c r="V1080" s="64"/>
    </row>
    <row r="1081" spans="1:22" x14ac:dyDescent="0.3">
      <c r="A1081" t="s">
        <v>995</v>
      </c>
      <c r="T1081" s="63" t="s">
        <v>995</v>
      </c>
      <c r="V1081" s="64"/>
    </row>
    <row r="1082" spans="1:22" x14ac:dyDescent="0.3">
      <c r="A1082" t="s">
        <v>996</v>
      </c>
      <c r="T1082" s="63" t="s">
        <v>996</v>
      </c>
      <c r="V1082" s="64"/>
    </row>
    <row r="1083" spans="1:22" x14ac:dyDescent="0.3">
      <c r="A1083" t="s">
        <v>997</v>
      </c>
      <c r="T1083" s="63" t="s">
        <v>997</v>
      </c>
      <c r="V1083" s="64"/>
    </row>
    <row r="1084" spans="1:22" x14ac:dyDescent="0.3">
      <c r="A1084" t="s">
        <v>998</v>
      </c>
      <c r="T1084" s="63" t="s">
        <v>998</v>
      </c>
      <c r="V1084" s="64"/>
    </row>
    <row r="1085" spans="1:22" x14ac:dyDescent="0.3">
      <c r="A1085" t="s">
        <v>999</v>
      </c>
      <c r="T1085" s="63" t="s">
        <v>999</v>
      </c>
      <c r="V1085" s="64"/>
    </row>
    <row r="1086" spans="1:22" x14ac:dyDescent="0.3">
      <c r="A1086" t="s">
        <v>1000</v>
      </c>
      <c r="T1086" s="63" t="s">
        <v>1000</v>
      </c>
      <c r="V1086" s="64"/>
    </row>
    <row r="1087" spans="1:22" x14ac:dyDescent="0.3">
      <c r="A1087" t="s">
        <v>1001</v>
      </c>
      <c r="T1087" s="63" t="s">
        <v>1001</v>
      </c>
      <c r="V1087" s="64"/>
    </row>
    <row r="1088" spans="1:22" x14ac:dyDescent="0.3">
      <c r="A1088" t="s">
        <v>1002</v>
      </c>
      <c r="T1088" s="63" t="s">
        <v>1002</v>
      </c>
      <c r="V1088" s="64"/>
    </row>
    <row r="1089" spans="1:22" x14ac:dyDescent="0.3">
      <c r="A1089" t="s">
        <v>1003</v>
      </c>
      <c r="T1089" s="63" t="s">
        <v>1003</v>
      </c>
      <c r="V1089" s="64"/>
    </row>
    <row r="1090" spans="1:22" x14ac:dyDescent="0.3">
      <c r="A1090" t="s">
        <v>1003</v>
      </c>
      <c r="T1090" s="63" t="s">
        <v>1003</v>
      </c>
      <c r="V1090" s="64"/>
    </row>
    <row r="1091" spans="1:22" x14ac:dyDescent="0.3">
      <c r="A1091" t="s">
        <v>1003</v>
      </c>
      <c r="T1091" s="63" t="s">
        <v>1003</v>
      </c>
      <c r="V1091" s="64"/>
    </row>
    <row r="1092" spans="1:22" x14ac:dyDescent="0.3">
      <c r="A1092" t="s">
        <v>1003</v>
      </c>
      <c r="T1092" s="63" t="s">
        <v>1003</v>
      </c>
      <c r="V1092" s="64"/>
    </row>
    <row r="1093" spans="1:22" x14ac:dyDescent="0.3">
      <c r="A1093" t="s">
        <v>1004</v>
      </c>
      <c r="T1093" s="63" t="s">
        <v>1004</v>
      </c>
      <c r="V1093" s="64"/>
    </row>
    <row r="1094" spans="1:22" x14ac:dyDescent="0.3">
      <c r="A1094" t="s">
        <v>1004</v>
      </c>
      <c r="T1094" s="63" t="s">
        <v>1004</v>
      </c>
      <c r="V1094" s="64"/>
    </row>
    <row r="1095" spans="1:22" x14ac:dyDescent="0.3">
      <c r="A1095" t="s">
        <v>1004</v>
      </c>
      <c r="T1095" s="63" t="s">
        <v>1004</v>
      </c>
      <c r="V1095" s="64"/>
    </row>
    <row r="1096" spans="1:22" x14ac:dyDescent="0.3">
      <c r="A1096" t="s">
        <v>1005</v>
      </c>
      <c r="T1096" s="63" t="s">
        <v>1005</v>
      </c>
      <c r="V1096" s="64"/>
    </row>
    <row r="1097" spans="1:22" x14ac:dyDescent="0.3">
      <c r="A1097" t="s">
        <v>1006</v>
      </c>
      <c r="T1097" s="63" t="s">
        <v>1006</v>
      </c>
      <c r="V1097" s="64"/>
    </row>
    <row r="1098" spans="1:22" x14ac:dyDescent="0.3">
      <c r="A1098" t="s">
        <v>1006</v>
      </c>
      <c r="T1098" s="63" t="s">
        <v>1006</v>
      </c>
      <c r="V1098" s="64"/>
    </row>
    <row r="1099" spans="1:22" x14ac:dyDescent="0.3">
      <c r="A1099" t="s">
        <v>1007</v>
      </c>
      <c r="T1099" s="63" t="s">
        <v>1007</v>
      </c>
      <c r="V1099" s="64"/>
    </row>
    <row r="1100" spans="1:22" x14ac:dyDescent="0.3">
      <c r="A1100" t="s">
        <v>1008</v>
      </c>
      <c r="T1100" s="63" t="s">
        <v>1008</v>
      </c>
      <c r="V1100" s="64"/>
    </row>
    <row r="1101" spans="1:22" x14ac:dyDescent="0.3">
      <c r="A1101" t="s">
        <v>1008</v>
      </c>
      <c r="T1101" s="63" t="s">
        <v>1008</v>
      </c>
      <c r="V1101" s="64"/>
    </row>
    <row r="1102" spans="1:22" x14ac:dyDescent="0.3">
      <c r="A1102" t="s">
        <v>1009</v>
      </c>
      <c r="T1102" s="63" t="s">
        <v>1009</v>
      </c>
      <c r="V1102" s="64"/>
    </row>
    <row r="1103" spans="1:22" x14ac:dyDescent="0.3">
      <c r="A1103" t="s">
        <v>1010</v>
      </c>
      <c r="T1103" s="63" t="s">
        <v>1010</v>
      </c>
      <c r="V1103" s="64"/>
    </row>
    <row r="1104" spans="1:22" x14ac:dyDescent="0.3">
      <c r="A1104" t="s">
        <v>1010</v>
      </c>
      <c r="T1104" s="63" t="s">
        <v>1010</v>
      </c>
      <c r="V1104" s="64"/>
    </row>
    <row r="1105" spans="1:22" x14ac:dyDescent="0.3">
      <c r="A1105" t="s">
        <v>1010</v>
      </c>
      <c r="T1105" s="63" t="s">
        <v>1010</v>
      </c>
      <c r="V1105" s="64"/>
    </row>
    <row r="1106" spans="1:22" x14ac:dyDescent="0.3">
      <c r="A1106" t="s">
        <v>1011</v>
      </c>
      <c r="T1106" s="63" t="s">
        <v>1011</v>
      </c>
      <c r="V1106" s="64"/>
    </row>
    <row r="1107" spans="1:22" x14ac:dyDescent="0.3">
      <c r="A1107" t="s">
        <v>1012</v>
      </c>
      <c r="T1107" s="63" t="s">
        <v>1012</v>
      </c>
      <c r="V1107" s="64"/>
    </row>
    <row r="1108" spans="1:22" x14ac:dyDescent="0.3">
      <c r="A1108" t="s">
        <v>1013</v>
      </c>
      <c r="T1108" s="63" t="s">
        <v>1013</v>
      </c>
      <c r="V1108" s="64"/>
    </row>
    <row r="1109" spans="1:22" x14ac:dyDescent="0.3">
      <c r="A1109" t="s">
        <v>1013</v>
      </c>
      <c r="T1109" s="63" t="s">
        <v>1013</v>
      </c>
      <c r="V1109" s="64"/>
    </row>
    <row r="1110" spans="1:22" x14ac:dyDescent="0.3">
      <c r="A1110" t="s">
        <v>1014</v>
      </c>
      <c r="T1110" s="63" t="s">
        <v>1014</v>
      </c>
      <c r="V1110" s="64"/>
    </row>
    <row r="1111" spans="1:22" x14ac:dyDescent="0.3">
      <c r="A1111" t="s">
        <v>1015</v>
      </c>
      <c r="T1111" s="63" t="s">
        <v>1015</v>
      </c>
      <c r="V1111" s="64"/>
    </row>
    <row r="1112" spans="1:22" x14ac:dyDescent="0.3">
      <c r="A1112" t="s">
        <v>1016</v>
      </c>
      <c r="T1112" s="63" t="s">
        <v>1016</v>
      </c>
      <c r="V1112" s="64"/>
    </row>
    <row r="1113" spans="1:22" x14ac:dyDescent="0.3">
      <c r="A1113" t="s">
        <v>1017</v>
      </c>
      <c r="T1113" s="63" t="s">
        <v>1017</v>
      </c>
      <c r="V1113" s="64"/>
    </row>
    <row r="1114" spans="1:22" x14ac:dyDescent="0.3">
      <c r="A1114" t="s">
        <v>1018</v>
      </c>
      <c r="T1114" s="63" t="s">
        <v>1018</v>
      </c>
      <c r="V1114" s="64"/>
    </row>
    <row r="1115" spans="1:22" x14ac:dyDescent="0.3">
      <c r="A1115" t="s">
        <v>1019</v>
      </c>
      <c r="T1115" s="63" t="s">
        <v>1019</v>
      </c>
      <c r="V1115" s="64"/>
    </row>
    <row r="1116" spans="1:22" x14ac:dyDescent="0.3">
      <c r="A1116" t="s">
        <v>1020</v>
      </c>
      <c r="T1116" s="63" t="s">
        <v>1020</v>
      </c>
      <c r="V1116" s="64"/>
    </row>
    <row r="1117" spans="1:22" x14ac:dyDescent="0.3">
      <c r="A1117" t="s">
        <v>1021</v>
      </c>
      <c r="T1117" s="63" t="s">
        <v>1021</v>
      </c>
      <c r="V1117" s="64"/>
    </row>
    <row r="1118" spans="1:22" x14ac:dyDescent="0.3">
      <c r="A1118" t="s">
        <v>1022</v>
      </c>
      <c r="T1118" s="63" t="s">
        <v>1022</v>
      </c>
      <c r="V1118" s="64"/>
    </row>
  </sheetData>
  <mergeCells count="1">
    <mergeCell ref="F4:H4"/>
  </mergeCells>
  <phoneticPr fontId="19" type="noConversion"/>
  <pageMargins left="0.70866141732283472" right="0.70866141732283472" top="0.74803149606299213" bottom="0.74803149606299213" header="0.31496062992125984" footer="0.31496062992125984"/>
  <pageSetup paperSize="9" scale="35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5" name="List Box 7">
              <controlPr defaultSize="0" autoLine="0" autoPict="0">
                <anchor moveWithCells="1">
                  <from>
                    <xdr:col>8</xdr:col>
                    <xdr:colOff>243840</xdr:colOff>
                    <xdr:row>4</xdr:row>
                    <xdr:rowOff>198120</xdr:rowOff>
                  </from>
                  <to>
                    <xdr:col>16</xdr:col>
                    <xdr:colOff>266700</xdr:colOff>
                    <xdr:row>22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Button 8">
              <controlPr defaultSize="0" print="0" autoFill="0" autoPict="0" macro="[0]!ExportAllStandardModules">
                <anchor moveWithCells="1" sizeWithCells="1">
                  <from>
                    <xdr:col>8</xdr:col>
                    <xdr:colOff>335280</xdr:colOff>
                    <xdr:row>5</xdr:row>
                    <xdr:rowOff>38100</xdr:rowOff>
                  </from>
                  <to>
                    <xdr:col>10</xdr:col>
                    <xdr:colOff>152400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Label 9">
              <controlPr defaultSize="0" autoFill="0" autoLine="0" autoPict="0">
                <anchor moveWithCells="1" sizeWithCells="1">
                  <from>
                    <xdr:col>11</xdr:col>
                    <xdr:colOff>7620</xdr:colOff>
                    <xdr:row>5</xdr:row>
                    <xdr:rowOff>15240</xdr:rowOff>
                  </from>
                  <to>
                    <xdr:col>15</xdr:col>
                    <xdr:colOff>266700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F62B-4DF5-4287-BB17-2B7CD875C588}">
  <sheetPr codeName="工作表3"/>
  <dimension ref="A1:G70"/>
  <sheetViews>
    <sheetView workbookViewId="0">
      <selection activeCell="I20" sqref="I20"/>
    </sheetView>
  </sheetViews>
  <sheetFormatPr defaultRowHeight="16.2" x14ac:dyDescent="0.3"/>
  <cols>
    <col min="1" max="2" width="10.77734375" customWidth="1"/>
    <col min="3" max="3" width="12.21875" bestFit="1" customWidth="1"/>
    <col min="4" max="7" width="10.77734375" customWidth="1"/>
  </cols>
  <sheetData>
    <row r="1" spans="1:7" ht="28.2" thickBot="1" x14ac:dyDescent="0.35">
      <c r="A1" s="36" t="s">
        <v>101</v>
      </c>
      <c r="B1" s="36" t="s">
        <v>102</v>
      </c>
      <c r="C1" s="44" t="str">
        <f>"A*A*t"</f>
        <v>A*A*t</v>
      </c>
      <c r="D1" s="36" t="s">
        <v>103</v>
      </c>
      <c r="E1" s="36" t="s">
        <v>104</v>
      </c>
      <c r="F1" s="36" t="s">
        <v>105</v>
      </c>
      <c r="G1" s="36" t="s">
        <v>106</v>
      </c>
    </row>
    <row r="2" spans="1:7" ht="16.8" thickBot="1" x14ac:dyDescent="0.35">
      <c r="A2" s="37">
        <v>20</v>
      </c>
      <c r="B2" s="37">
        <v>3</v>
      </c>
      <c r="C2" s="37" t="str">
        <f>_xlfn.TEXTJOIN("*",TRUE,A2,A2,B2)</f>
        <v>20*20*3</v>
      </c>
      <c r="D2" s="37">
        <v>4</v>
      </c>
      <c r="E2" s="37">
        <v>2</v>
      </c>
      <c r="F2" s="37">
        <v>1.127</v>
      </c>
      <c r="G2" s="37">
        <v>0.88500000000000001</v>
      </c>
    </row>
    <row r="3" spans="1:7" ht="16.8" thickBot="1" x14ac:dyDescent="0.35">
      <c r="A3" s="37">
        <v>25</v>
      </c>
      <c r="B3" s="37">
        <v>2.5</v>
      </c>
      <c r="C3" s="37" t="str">
        <f t="shared" ref="C3:C66" si="0">_xlfn.TEXTJOIN("*",TRUE,A3,A3,B3)</f>
        <v>25*25*2.5</v>
      </c>
      <c r="D3" s="37"/>
      <c r="E3" s="37"/>
      <c r="F3" s="37"/>
      <c r="G3" s="37">
        <v>0.94599999999999995</v>
      </c>
    </row>
    <row r="4" spans="1:7" ht="16.8" thickBot="1" x14ac:dyDescent="0.35">
      <c r="A4" s="37">
        <v>25</v>
      </c>
      <c r="B4" s="37">
        <v>3</v>
      </c>
      <c r="C4" s="37" t="str">
        <f t="shared" si="0"/>
        <v>25*25*3</v>
      </c>
      <c r="D4" s="37">
        <v>4</v>
      </c>
      <c r="E4" s="37">
        <v>2</v>
      </c>
      <c r="F4" s="37">
        <v>1.427</v>
      </c>
      <c r="G4" s="37">
        <v>1.1200000000000001</v>
      </c>
    </row>
    <row r="5" spans="1:7" ht="16.8" thickBot="1" x14ac:dyDescent="0.35">
      <c r="A5" s="37">
        <v>25</v>
      </c>
      <c r="B5" s="37">
        <v>5</v>
      </c>
      <c r="C5" s="37" t="str">
        <f t="shared" si="0"/>
        <v>25*25*5</v>
      </c>
      <c r="D5" s="37">
        <v>4</v>
      </c>
      <c r="E5" s="37">
        <v>3</v>
      </c>
      <c r="F5" s="37">
        <v>2.246</v>
      </c>
      <c r="G5" s="37">
        <v>1.76</v>
      </c>
    </row>
    <row r="6" spans="1:7" ht="16.8" thickBot="1" x14ac:dyDescent="0.35">
      <c r="A6" s="37">
        <v>30</v>
      </c>
      <c r="B6" s="37">
        <v>2.5</v>
      </c>
      <c r="C6" s="37" t="str">
        <f t="shared" si="0"/>
        <v>30*30*2.5</v>
      </c>
      <c r="D6" s="37"/>
      <c r="E6" s="37"/>
      <c r="F6" s="37"/>
      <c r="G6" s="37">
        <v>1.1399999999999999</v>
      </c>
    </row>
    <row r="7" spans="1:7" ht="16.8" thickBot="1" x14ac:dyDescent="0.35">
      <c r="A7" s="37">
        <v>30</v>
      </c>
      <c r="B7" s="37">
        <v>3</v>
      </c>
      <c r="C7" s="37" t="str">
        <f t="shared" si="0"/>
        <v>30*30*3</v>
      </c>
      <c r="D7" s="37">
        <v>4</v>
      </c>
      <c r="E7" s="37">
        <v>2</v>
      </c>
      <c r="F7" s="37">
        <v>1.7270000000000001</v>
      </c>
      <c r="G7" s="37">
        <v>1.36</v>
      </c>
    </row>
    <row r="8" spans="1:7" ht="16.8" thickBot="1" x14ac:dyDescent="0.35">
      <c r="A8" s="37">
        <v>30</v>
      </c>
      <c r="B8" s="37">
        <v>4</v>
      </c>
      <c r="C8" s="37" t="str">
        <f t="shared" si="0"/>
        <v>30*30*4</v>
      </c>
      <c r="D8" s="37"/>
      <c r="E8" s="37"/>
      <c r="F8" s="37"/>
      <c r="G8" s="37">
        <v>1.77</v>
      </c>
    </row>
    <row r="9" spans="1:7" ht="16.8" thickBot="1" x14ac:dyDescent="0.35">
      <c r="A9" s="37">
        <v>30</v>
      </c>
      <c r="B9" s="37">
        <v>5</v>
      </c>
      <c r="C9" s="37" t="str">
        <f t="shared" si="0"/>
        <v>30*30*5</v>
      </c>
      <c r="D9" s="37">
        <v>4</v>
      </c>
      <c r="E9" s="37">
        <v>3</v>
      </c>
      <c r="F9" s="37">
        <v>2.746</v>
      </c>
      <c r="G9" s="37">
        <v>2.16</v>
      </c>
    </row>
    <row r="10" spans="1:7" ht="16.8" thickBot="1" x14ac:dyDescent="0.35">
      <c r="A10" s="37">
        <v>35</v>
      </c>
      <c r="B10" s="37">
        <v>3</v>
      </c>
      <c r="C10" s="37" t="str">
        <f t="shared" si="0"/>
        <v>35*35*3</v>
      </c>
      <c r="D10" s="37">
        <v>4.5</v>
      </c>
      <c r="E10" s="37">
        <v>2</v>
      </c>
      <c r="F10" s="37">
        <v>2.036</v>
      </c>
      <c r="G10" s="37">
        <v>1.6</v>
      </c>
    </row>
    <row r="11" spans="1:7" ht="16.8" thickBot="1" x14ac:dyDescent="0.35">
      <c r="A11" s="37">
        <v>35</v>
      </c>
      <c r="B11" s="37">
        <v>5</v>
      </c>
      <c r="C11" s="37" t="str">
        <f t="shared" si="0"/>
        <v>35*35*5</v>
      </c>
      <c r="D11" s="37">
        <v>4.5</v>
      </c>
      <c r="E11" s="37">
        <v>3</v>
      </c>
      <c r="F11" s="37">
        <v>3.2549999999999999</v>
      </c>
      <c r="G11" s="37">
        <v>2.56</v>
      </c>
    </row>
    <row r="12" spans="1:7" ht="16.8" thickBot="1" x14ac:dyDescent="0.35">
      <c r="A12" s="37">
        <v>38</v>
      </c>
      <c r="B12" s="37">
        <v>2.5</v>
      </c>
      <c r="C12" s="37" t="str">
        <f t="shared" si="0"/>
        <v>38*38*2.5</v>
      </c>
      <c r="D12" s="37"/>
      <c r="E12" s="37"/>
      <c r="F12" s="37"/>
      <c r="G12" s="37">
        <v>1.46</v>
      </c>
    </row>
    <row r="13" spans="1:7" ht="16.8" thickBot="1" x14ac:dyDescent="0.35">
      <c r="A13" s="37">
        <v>38</v>
      </c>
      <c r="B13" s="37">
        <v>3</v>
      </c>
      <c r="C13" s="37" t="str">
        <f t="shared" si="0"/>
        <v>38*38*3</v>
      </c>
      <c r="D13" s="37"/>
      <c r="E13" s="37"/>
      <c r="F13" s="37"/>
      <c r="G13" s="37">
        <v>1.74</v>
      </c>
    </row>
    <row r="14" spans="1:7" ht="16.8" thickBot="1" x14ac:dyDescent="0.35">
      <c r="A14" s="37">
        <v>38</v>
      </c>
      <c r="B14" s="37">
        <v>4</v>
      </c>
      <c r="C14" s="37" t="str">
        <f t="shared" si="0"/>
        <v>38*38*4</v>
      </c>
      <c r="D14" s="37"/>
      <c r="E14" s="37"/>
      <c r="F14" s="37"/>
      <c r="G14" s="37">
        <v>2.2599999999999998</v>
      </c>
    </row>
    <row r="15" spans="1:7" ht="16.8" thickBot="1" x14ac:dyDescent="0.35">
      <c r="A15" s="37">
        <v>40</v>
      </c>
      <c r="B15" s="37">
        <v>3</v>
      </c>
      <c r="C15" s="37" t="str">
        <f t="shared" si="0"/>
        <v>40*40*3</v>
      </c>
      <c r="D15" s="37">
        <v>4.5</v>
      </c>
      <c r="E15" s="37">
        <v>2</v>
      </c>
      <c r="F15" s="37">
        <v>2.3359999999999999</v>
      </c>
      <c r="G15" s="37">
        <v>1.83</v>
      </c>
    </row>
    <row r="16" spans="1:7" ht="16.8" thickBot="1" x14ac:dyDescent="0.35">
      <c r="A16" s="37">
        <v>40</v>
      </c>
      <c r="B16" s="37">
        <v>4</v>
      </c>
      <c r="C16" s="37" t="str">
        <f t="shared" si="0"/>
        <v>40*40*4</v>
      </c>
      <c r="D16" s="37"/>
      <c r="E16" s="37"/>
      <c r="F16" s="37"/>
      <c r="G16" s="37">
        <v>2.39</v>
      </c>
    </row>
    <row r="17" spans="1:7" ht="16.8" thickBot="1" x14ac:dyDescent="0.35">
      <c r="A17" s="37">
        <v>40</v>
      </c>
      <c r="B17" s="37">
        <v>5</v>
      </c>
      <c r="C17" s="37" t="str">
        <f t="shared" si="0"/>
        <v>40*40*5</v>
      </c>
      <c r="D17" s="37">
        <v>4.5</v>
      </c>
      <c r="E17" s="37">
        <v>3</v>
      </c>
      <c r="F17" s="37">
        <v>3.7549999999999999</v>
      </c>
      <c r="G17" s="37">
        <v>2.95</v>
      </c>
    </row>
    <row r="18" spans="1:7" ht="16.8" thickBot="1" x14ac:dyDescent="0.35">
      <c r="A18" s="37">
        <v>45</v>
      </c>
      <c r="B18" s="37">
        <v>4</v>
      </c>
      <c r="C18" s="37" t="str">
        <f t="shared" si="0"/>
        <v>45*45*4</v>
      </c>
      <c r="D18" s="37">
        <v>6.5</v>
      </c>
      <c r="E18" s="37">
        <v>3</v>
      </c>
      <c r="F18" s="37">
        <v>3.492</v>
      </c>
      <c r="G18" s="37">
        <v>2.74</v>
      </c>
    </row>
    <row r="19" spans="1:7" ht="16.8" thickBot="1" x14ac:dyDescent="0.35">
      <c r="A19" s="37">
        <v>45</v>
      </c>
      <c r="B19" s="37">
        <v>6</v>
      </c>
      <c r="C19" s="37" t="str">
        <f t="shared" si="0"/>
        <v>45*45*6</v>
      </c>
      <c r="D19" s="37">
        <v>6.5</v>
      </c>
      <c r="E19" s="37">
        <v>4.5</v>
      </c>
      <c r="F19" s="37">
        <v>5.0439999999999996</v>
      </c>
      <c r="G19" s="37">
        <v>3.96</v>
      </c>
    </row>
    <row r="20" spans="1:7" ht="16.8" thickBot="1" x14ac:dyDescent="0.35">
      <c r="A20" s="37">
        <v>45</v>
      </c>
      <c r="B20" s="37">
        <v>8</v>
      </c>
      <c r="C20" s="37" t="str">
        <f t="shared" si="0"/>
        <v>45*45*8</v>
      </c>
      <c r="D20" s="37">
        <v>6.5</v>
      </c>
      <c r="E20" s="37">
        <v>4.5</v>
      </c>
      <c r="F20" s="37">
        <v>6.5640000000000001</v>
      </c>
      <c r="G20" s="37">
        <v>25.1511</v>
      </c>
    </row>
    <row r="21" spans="1:7" ht="16.8" thickBot="1" x14ac:dyDescent="0.35">
      <c r="A21" s="37">
        <v>50</v>
      </c>
      <c r="B21" s="37">
        <v>4</v>
      </c>
      <c r="C21" s="37" t="str">
        <f t="shared" si="0"/>
        <v>50*50*4</v>
      </c>
      <c r="D21" s="37">
        <v>6.5</v>
      </c>
      <c r="E21" s="37">
        <v>3</v>
      </c>
      <c r="F21" s="37">
        <v>3.8919999999999999</v>
      </c>
      <c r="G21" s="37">
        <v>3.06</v>
      </c>
    </row>
    <row r="22" spans="1:7" ht="16.8" thickBot="1" x14ac:dyDescent="0.35">
      <c r="A22" s="37">
        <v>50</v>
      </c>
      <c r="B22" s="37">
        <v>5</v>
      </c>
      <c r="C22" s="37" t="str">
        <f t="shared" si="0"/>
        <v>50*50*5</v>
      </c>
      <c r="D22" s="37"/>
      <c r="E22" s="37"/>
      <c r="F22" s="37"/>
      <c r="G22" s="37">
        <v>3.77</v>
      </c>
    </row>
    <row r="23" spans="1:7" ht="16.8" thickBot="1" x14ac:dyDescent="0.35">
      <c r="A23" s="37">
        <v>50</v>
      </c>
      <c r="B23" s="37">
        <v>6</v>
      </c>
      <c r="C23" s="37" t="str">
        <f t="shared" si="0"/>
        <v>50*50*6</v>
      </c>
      <c r="D23" s="37">
        <v>6.5</v>
      </c>
      <c r="E23" s="37">
        <v>4.5</v>
      </c>
      <c r="F23" s="37">
        <v>5.6440000000000001</v>
      </c>
      <c r="G23" s="37">
        <v>4.43</v>
      </c>
    </row>
    <row r="24" spans="1:7" ht="16.8" thickBot="1" x14ac:dyDescent="0.35">
      <c r="A24" s="37">
        <v>50</v>
      </c>
      <c r="B24" s="37">
        <v>8</v>
      </c>
      <c r="C24" s="37" t="str">
        <f t="shared" si="0"/>
        <v>50*50*8</v>
      </c>
      <c r="D24" s="37">
        <v>6.5</v>
      </c>
      <c r="E24" s="37">
        <v>4.5</v>
      </c>
      <c r="F24" s="37">
        <v>7.3639999999999999</v>
      </c>
      <c r="G24" s="37">
        <v>5.78</v>
      </c>
    </row>
    <row r="25" spans="1:7" ht="16.8" thickBot="1" x14ac:dyDescent="0.35">
      <c r="A25" s="37">
        <v>60</v>
      </c>
      <c r="B25" s="37">
        <v>4</v>
      </c>
      <c r="C25" s="37" t="str">
        <f t="shared" si="0"/>
        <v>60*60*4</v>
      </c>
      <c r="D25" s="37">
        <v>6.5</v>
      </c>
      <c r="E25" s="37">
        <v>3</v>
      </c>
      <c r="F25" s="37">
        <v>4.6920000000000002</v>
      </c>
      <c r="G25" s="37">
        <v>3.68</v>
      </c>
    </row>
    <row r="26" spans="1:7" ht="16.8" thickBot="1" x14ac:dyDescent="0.35">
      <c r="A26" s="37">
        <v>60</v>
      </c>
      <c r="B26" s="37">
        <v>5</v>
      </c>
      <c r="C26" s="37" t="str">
        <f t="shared" si="0"/>
        <v>60*60*5</v>
      </c>
      <c r="D26" s="37">
        <v>6.5</v>
      </c>
      <c r="E26" s="37">
        <v>3</v>
      </c>
      <c r="F26" s="37">
        <v>5.8019999999999996</v>
      </c>
      <c r="G26" s="37">
        <v>4.55</v>
      </c>
    </row>
    <row r="27" spans="1:7" ht="16.8" thickBot="1" x14ac:dyDescent="0.35">
      <c r="A27" s="37">
        <v>60</v>
      </c>
      <c r="B27" s="37">
        <v>7</v>
      </c>
      <c r="C27" s="37" t="str">
        <f t="shared" si="0"/>
        <v>60*60*7</v>
      </c>
      <c r="D27" s="37">
        <v>6.5</v>
      </c>
      <c r="E27" s="37">
        <v>4.5</v>
      </c>
      <c r="F27" s="37">
        <v>7.9139999999999997</v>
      </c>
      <c r="G27" s="37">
        <v>6.21</v>
      </c>
    </row>
    <row r="28" spans="1:7" ht="16.8" thickBot="1" x14ac:dyDescent="0.35">
      <c r="A28" s="37">
        <v>60</v>
      </c>
      <c r="B28" s="37">
        <v>9</v>
      </c>
      <c r="C28" s="37" t="str">
        <f t="shared" si="0"/>
        <v>60*60*9</v>
      </c>
      <c r="D28" s="37">
        <v>6.5</v>
      </c>
      <c r="E28" s="37">
        <v>4.5</v>
      </c>
      <c r="F28" s="37">
        <v>9.9939999999999998</v>
      </c>
      <c r="G28" s="37">
        <v>7.85</v>
      </c>
    </row>
    <row r="29" spans="1:7" ht="16.8" thickBot="1" x14ac:dyDescent="0.35">
      <c r="A29" s="37">
        <v>65</v>
      </c>
      <c r="B29" s="37">
        <v>6</v>
      </c>
      <c r="C29" s="37" t="str">
        <f t="shared" si="0"/>
        <v>65*65*6</v>
      </c>
      <c r="D29" s="37">
        <v>8.5</v>
      </c>
      <c r="E29" s="37">
        <v>4</v>
      </c>
      <c r="F29" s="37">
        <v>7.5270000000000001</v>
      </c>
      <c r="G29" s="37">
        <v>5.91</v>
      </c>
    </row>
    <row r="30" spans="1:7" ht="16.8" thickBot="1" x14ac:dyDescent="0.35">
      <c r="A30" s="37">
        <v>65</v>
      </c>
      <c r="B30" s="37">
        <v>8</v>
      </c>
      <c r="C30" s="37" t="str">
        <f t="shared" si="0"/>
        <v>65*65*8</v>
      </c>
      <c r="D30" s="37">
        <v>8.5</v>
      </c>
      <c r="E30" s="37">
        <v>6</v>
      </c>
      <c r="F30" s="37">
        <v>9.7609999999999992</v>
      </c>
      <c r="G30" s="37">
        <v>7.66</v>
      </c>
    </row>
    <row r="31" spans="1:7" ht="16.8" thickBot="1" x14ac:dyDescent="0.35">
      <c r="A31" s="37">
        <v>65</v>
      </c>
      <c r="B31" s="37">
        <v>10</v>
      </c>
      <c r="C31" s="37" t="str">
        <f t="shared" si="0"/>
        <v>65*65*10</v>
      </c>
      <c r="D31" s="37">
        <v>8.5</v>
      </c>
      <c r="E31" s="37">
        <v>6</v>
      </c>
      <c r="F31" s="37">
        <v>12</v>
      </c>
      <c r="G31" s="37">
        <v>9.42</v>
      </c>
    </row>
    <row r="32" spans="1:7" ht="16.8" thickBot="1" x14ac:dyDescent="0.35">
      <c r="A32" s="37">
        <v>70</v>
      </c>
      <c r="B32" s="37">
        <v>6</v>
      </c>
      <c r="C32" s="37" t="str">
        <f t="shared" si="0"/>
        <v>70*70*6</v>
      </c>
      <c r="D32" s="37">
        <v>8.5</v>
      </c>
      <c r="E32" s="37">
        <v>4</v>
      </c>
      <c r="F32" s="37">
        <v>8.1270000000000007</v>
      </c>
      <c r="G32" s="37">
        <v>6.38</v>
      </c>
    </row>
    <row r="33" spans="1:7" ht="16.8" thickBot="1" x14ac:dyDescent="0.35">
      <c r="A33" s="37">
        <v>70</v>
      </c>
      <c r="B33" s="37">
        <v>8</v>
      </c>
      <c r="C33" s="37" t="str">
        <f t="shared" si="0"/>
        <v>70*70*8</v>
      </c>
      <c r="D33" s="37">
        <v>8.5</v>
      </c>
      <c r="E33" s="37">
        <v>6</v>
      </c>
      <c r="F33" s="37">
        <v>10.56</v>
      </c>
      <c r="G33" s="37">
        <v>8.2899999999999991</v>
      </c>
    </row>
    <row r="34" spans="1:7" ht="16.8" thickBot="1" x14ac:dyDescent="0.35">
      <c r="A34" s="37">
        <v>70</v>
      </c>
      <c r="B34" s="37">
        <v>10</v>
      </c>
      <c r="C34" s="37" t="str">
        <f t="shared" si="0"/>
        <v>70*70*10</v>
      </c>
      <c r="D34" s="37">
        <v>8.5</v>
      </c>
      <c r="E34" s="37">
        <v>6</v>
      </c>
      <c r="F34" s="37">
        <v>13</v>
      </c>
      <c r="G34" s="37">
        <v>10.199999999999999</v>
      </c>
    </row>
    <row r="35" spans="1:7" ht="16.8" thickBot="1" x14ac:dyDescent="0.35">
      <c r="A35" s="37">
        <v>75</v>
      </c>
      <c r="B35" s="37">
        <v>6</v>
      </c>
      <c r="C35" s="37" t="str">
        <f t="shared" si="0"/>
        <v>75*75*6</v>
      </c>
      <c r="D35" s="37">
        <v>8.5</v>
      </c>
      <c r="E35" s="37">
        <v>4</v>
      </c>
      <c r="F35" s="37">
        <v>8.7270000000000003</v>
      </c>
      <c r="G35" s="37">
        <v>6.85</v>
      </c>
    </row>
    <row r="36" spans="1:7" ht="16.8" thickBot="1" x14ac:dyDescent="0.35">
      <c r="A36" s="37">
        <v>75</v>
      </c>
      <c r="B36" s="37">
        <v>9</v>
      </c>
      <c r="C36" s="37" t="str">
        <f t="shared" si="0"/>
        <v>75*75*9</v>
      </c>
      <c r="D36" s="37">
        <v>8.5</v>
      </c>
      <c r="E36" s="37">
        <v>6</v>
      </c>
      <c r="F36" s="37">
        <v>12.69</v>
      </c>
      <c r="G36" s="37">
        <v>9.9600000000000009</v>
      </c>
    </row>
    <row r="37" spans="1:7" ht="16.8" thickBot="1" x14ac:dyDescent="0.35">
      <c r="A37" s="37">
        <v>75</v>
      </c>
      <c r="B37" s="37">
        <v>12</v>
      </c>
      <c r="C37" s="37" t="str">
        <f t="shared" si="0"/>
        <v>75*75*12</v>
      </c>
      <c r="D37" s="37">
        <v>8.5</v>
      </c>
      <c r="E37" s="37">
        <v>6</v>
      </c>
      <c r="F37" s="37">
        <v>16.559999999999999</v>
      </c>
      <c r="G37" s="37">
        <v>13</v>
      </c>
    </row>
    <row r="38" spans="1:7" ht="16.8" thickBot="1" x14ac:dyDescent="0.35">
      <c r="A38" s="37">
        <v>75</v>
      </c>
      <c r="B38" s="37">
        <v>14</v>
      </c>
      <c r="C38" s="37" t="str">
        <f t="shared" si="0"/>
        <v>75*75*14</v>
      </c>
      <c r="D38" s="37">
        <v>8.5</v>
      </c>
      <c r="E38" s="37">
        <v>6</v>
      </c>
      <c r="F38" s="37">
        <v>19.05</v>
      </c>
      <c r="G38" s="37">
        <v>14.9</v>
      </c>
    </row>
    <row r="39" spans="1:7" ht="16.8" thickBot="1" x14ac:dyDescent="0.35">
      <c r="A39" s="37">
        <v>80</v>
      </c>
      <c r="B39" s="37">
        <v>6</v>
      </c>
      <c r="C39" s="37" t="str">
        <f t="shared" si="0"/>
        <v>80*80*6</v>
      </c>
      <c r="D39" s="37">
        <v>8.5</v>
      </c>
      <c r="E39" s="37">
        <v>4</v>
      </c>
      <c r="F39" s="37">
        <v>9.327</v>
      </c>
      <c r="G39" s="37">
        <v>7.32</v>
      </c>
    </row>
    <row r="40" spans="1:7" ht="16.8" thickBot="1" x14ac:dyDescent="0.35">
      <c r="A40" s="37">
        <v>80</v>
      </c>
      <c r="B40" s="37">
        <v>9</v>
      </c>
      <c r="C40" s="37" t="str">
        <f t="shared" si="0"/>
        <v>80*80*9</v>
      </c>
      <c r="D40" s="37">
        <v>8.5</v>
      </c>
      <c r="E40" s="37">
        <v>6</v>
      </c>
      <c r="F40" s="37">
        <v>13.59</v>
      </c>
      <c r="G40" s="37">
        <v>10.7</v>
      </c>
    </row>
    <row r="41" spans="1:7" ht="16.8" thickBot="1" x14ac:dyDescent="0.35">
      <c r="A41" s="37">
        <v>80</v>
      </c>
      <c r="B41" s="37">
        <v>12</v>
      </c>
      <c r="C41" s="37" t="str">
        <f t="shared" si="0"/>
        <v>80*80*12</v>
      </c>
      <c r="D41" s="37">
        <v>8.5</v>
      </c>
      <c r="E41" s="37">
        <v>6</v>
      </c>
      <c r="F41" s="37">
        <v>17.760000000000002</v>
      </c>
      <c r="G41" s="37">
        <v>13.9</v>
      </c>
    </row>
    <row r="42" spans="1:7" ht="16.8" thickBot="1" x14ac:dyDescent="0.35">
      <c r="A42" s="37">
        <v>90</v>
      </c>
      <c r="B42" s="37">
        <v>6</v>
      </c>
      <c r="C42" s="37" t="str">
        <f t="shared" si="0"/>
        <v>90*90*6</v>
      </c>
      <c r="D42" s="37">
        <v>10</v>
      </c>
      <c r="E42" s="37">
        <v>5</v>
      </c>
      <c r="F42" s="37">
        <v>10.55</v>
      </c>
      <c r="G42" s="37">
        <v>8.2799999999999994</v>
      </c>
    </row>
    <row r="43" spans="1:7" ht="16.8" thickBot="1" x14ac:dyDescent="0.35">
      <c r="A43" s="37">
        <v>90</v>
      </c>
      <c r="B43" s="37">
        <v>7</v>
      </c>
      <c r="C43" s="37" t="str">
        <f t="shared" si="0"/>
        <v>90*90*7</v>
      </c>
      <c r="D43" s="37">
        <v>10</v>
      </c>
      <c r="E43" s="37">
        <v>5</v>
      </c>
      <c r="F43" s="37">
        <v>12.22</v>
      </c>
      <c r="G43" s="37">
        <v>9.59</v>
      </c>
    </row>
    <row r="44" spans="1:7" ht="16.8" thickBot="1" x14ac:dyDescent="0.35">
      <c r="A44" s="37">
        <v>90</v>
      </c>
      <c r="B44" s="37">
        <v>10</v>
      </c>
      <c r="C44" s="37" t="str">
        <f t="shared" si="0"/>
        <v>90*90*10</v>
      </c>
      <c r="D44" s="37">
        <v>10</v>
      </c>
      <c r="E44" s="37">
        <v>7</v>
      </c>
      <c r="F44" s="37">
        <v>17</v>
      </c>
      <c r="G44" s="37">
        <v>13.3</v>
      </c>
    </row>
    <row r="45" spans="1:7" ht="16.8" thickBot="1" x14ac:dyDescent="0.35">
      <c r="A45" s="37">
        <v>90</v>
      </c>
      <c r="B45" s="37">
        <v>13</v>
      </c>
      <c r="C45" s="37" t="str">
        <f t="shared" si="0"/>
        <v>90*90*13</v>
      </c>
      <c r="D45" s="37">
        <v>10</v>
      </c>
      <c r="E45" s="37">
        <v>7</v>
      </c>
      <c r="F45" s="37">
        <v>21.71</v>
      </c>
      <c r="G45" s="37">
        <v>17</v>
      </c>
    </row>
    <row r="46" spans="1:7" ht="16.8" thickBot="1" x14ac:dyDescent="0.35">
      <c r="A46" s="37">
        <v>90</v>
      </c>
      <c r="B46" s="37">
        <v>15</v>
      </c>
      <c r="C46" s="37" t="str">
        <f t="shared" si="0"/>
        <v>90*90*15</v>
      </c>
      <c r="D46" s="37">
        <v>10</v>
      </c>
      <c r="E46" s="37">
        <v>7</v>
      </c>
      <c r="F46" s="37">
        <v>24.75</v>
      </c>
      <c r="G46" s="37">
        <v>19.399999999999999</v>
      </c>
    </row>
    <row r="47" spans="1:7" ht="16.8" thickBot="1" x14ac:dyDescent="0.35">
      <c r="A47" s="37">
        <v>100</v>
      </c>
      <c r="B47" s="37">
        <v>7</v>
      </c>
      <c r="C47" s="37" t="str">
        <f t="shared" si="0"/>
        <v>100*100*7</v>
      </c>
      <c r="D47" s="37">
        <v>10</v>
      </c>
      <c r="E47" s="37">
        <v>5</v>
      </c>
      <c r="F47" s="37">
        <v>13.62</v>
      </c>
      <c r="G47" s="37">
        <v>10.7</v>
      </c>
    </row>
    <row r="48" spans="1:7" ht="16.8" thickBot="1" x14ac:dyDescent="0.35">
      <c r="A48" s="37">
        <v>100</v>
      </c>
      <c r="B48" s="37">
        <v>10</v>
      </c>
      <c r="C48" s="37" t="str">
        <f t="shared" si="0"/>
        <v>100*100*10</v>
      </c>
      <c r="D48" s="37">
        <v>10</v>
      </c>
      <c r="E48" s="37">
        <v>7</v>
      </c>
      <c r="F48" s="37">
        <v>19</v>
      </c>
      <c r="G48" s="37">
        <v>14.9</v>
      </c>
    </row>
    <row r="49" spans="1:7" ht="16.8" thickBot="1" x14ac:dyDescent="0.35">
      <c r="A49" s="37">
        <v>100</v>
      </c>
      <c r="B49" s="37">
        <v>13</v>
      </c>
      <c r="C49" s="37" t="str">
        <f t="shared" si="0"/>
        <v>100*100*13</v>
      </c>
      <c r="D49" s="37">
        <v>10</v>
      </c>
      <c r="E49" s="37">
        <v>7</v>
      </c>
      <c r="F49" s="37">
        <v>24.31</v>
      </c>
      <c r="G49" s="37">
        <v>19.100000000000001</v>
      </c>
    </row>
    <row r="50" spans="1:7" ht="16.8" thickBot="1" x14ac:dyDescent="0.35">
      <c r="A50" s="37">
        <v>100</v>
      </c>
      <c r="B50" s="37">
        <v>15</v>
      </c>
      <c r="C50" s="37" t="str">
        <f t="shared" si="0"/>
        <v>100*100*15</v>
      </c>
      <c r="D50" s="37">
        <v>10</v>
      </c>
      <c r="E50" s="37">
        <v>7</v>
      </c>
      <c r="F50" s="37">
        <v>27.75</v>
      </c>
      <c r="G50" s="37">
        <v>21.8</v>
      </c>
    </row>
    <row r="51" spans="1:7" ht="16.8" thickBot="1" x14ac:dyDescent="0.35">
      <c r="A51" s="37">
        <v>100</v>
      </c>
      <c r="B51" s="37">
        <v>17</v>
      </c>
      <c r="C51" s="37" t="str">
        <f t="shared" si="0"/>
        <v>100*100*17</v>
      </c>
      <c r="D51" s="37">
        <v>10</v>
      </c>
      <c r="E51" s="37">
        <v>7</v>
      </c>
      <c r="F51" s="37">
        <v>31.11</v>
      </c>
      <c r="G51" s="37">
        <v>24.4</v>
      </c>
    </row>
    <row r="52" spans="1:7" ht="16.8" thickBot="1" x14ac:dyDescent="0.35">
      <c r="A52" s="37">
        <v>120</v>
      </c>
      <c r="B52" s="37">
        <v>8</v>
      </c>
      <c r="C52" s="37" t="str">
        <f t="shared" si="0"/>
        <v>120*120*8</v>
      </c>
      <c r="D52" s="37">
        <v>12</v>
      </c>
      <c r="E52" s="37">
        <v>5</v>
      </c>
      <c r="F52" s="37">
        <v>18.760000000000002</v>
      </c>
      <c r="G52" s="37">
        <v>14.7</v>
      </c>
    </row>
    <row r="53" spans="1:7" ht="16.8" thickBot="1" x14ac:dyDescent="0.35">
      <c r="A53" s="37">
        <v>130</v>
      </c>
      <c r="B53" s="37">
        <v>9</v>
      </c>
      <c r="C53" s="37" t="str">
        <f t="shared" si="0"/>
        <v>130*130*9</v>
      </c>
      <c r="D53" s="37">
        <v>12</v>
      </c>
      <c r="E53" s="37">
        <v>6</v>
      </c>
      <c r="F53" s="37">
        <v>22.74</v>
      </c>
      <c r="G53" s="37">
        <v>17.899999999999999</v>
      </c>
    </row>
    <row r="54" spans="1:7" ht="16.8" thickBot="1" x14ac:dyDescent="0.35">
      <c r="A54" s="37">
        <v>130</v>
      </c>
      <c r="B54" s="37">
        <v>12</v>
      </c>
      <c r="C54" s="37" t="str">
        <f t="shared" si="0"/>
        <v>130*130*12</v>
      </c>
      <c r="D54" s="37">
        <v>12</v>
      </c>
      <c r="E54" s="37">
        <v>8.5</v>
      </c>
      <c r="F54" s="37">
        <v>29.76</v>
      </c>
      <c r="G54" s="37">
        <v>23.4</v>
      </c>
    </row>
    <row r="55" spans="1:7" ht="16.8" thickBot="1" x14ac:dyDescent="0.35">
      <c r="A55" s="37">
        <v>130</v>
      </c>
      <c r="B55" s="37">
        <v>15</v>
      </c>
      <c r="C55" s="37" t="str">
        <f t="shared" si="0"/>
        <v>130*130*15</v>
      </c>
      <c r="D55" s="37">
        <v>12</v>
      </c>
      <c r="E55" s="37">
        <v>8.5</v>
      </c>
      <c r="F55" s="37">
        <v>36.75</v>
      </c>
      <c r="G55" s="37">
        <v>28.8</v>
      </c>
    </row>
    <row r="56" spans="1:7" ht="16.8" thickBot="1" x14ac:dyDescent="0.35">
      <c r="A56" s="37">
        <v>130</v>
      </c>
      <c r="B56" s="37">
        <v>17</v>
      </c>
      <c r="C56" s="37" t="str">
        <f t="shared" si="0"/>
        <v>130*130*17</v>
      </c>
      <c r="D56" s="37">
        <v>12</v>
      </c>
      <c r="E56" s="37">
        <v>8.5</v>
      </c>
      <c r="F56" s="37">
        <v>41.31</v>
      </c>
      <c r="G56" s="37">
        <v>32.4</v>
      </c>
    </row>
    <row r="57" spans="1:7" ht="16.8" thickBot="1" x14ac:dyDescent="0.35">
      <c r="A57" s="37">
        <v>150</v>
      </c>
      <c r="B57" s="37">
        <v>11</v>
      </c>
      <c r="C57" s="37" t="str">
        <f t="shared" si="0"/>
        <v>150*150*11</v>
      </c>
      <c r="D57" s="37">
        <v>14</v>
      </c>
      <c r="E57" s="37">
        <v>7</v>
      </c>
      <c r="F57" s="37">
        <v>32</v>
      </c>
      <c r="G57" s="37">
        <v>25.1</v>
      </c>
    </row>
    <row r="58" spans="1:7" ht="16.8" thickBot="1" x14ac:dyDescent="0.35">
      <c r="A58" s="37">
        <v>150</v>
      </c>
      <c r="B58" s="37">
        <v>12</v>
      </c>
      <c r="C58" s="37" t="str">
        <f t="shared" si="0"/>
        <v>150*150*12</v>
      </c>
      <c r="D58" s="37">
        <v>14</v>
      </c>
      <c r="E58" s="37">
        <v>7</v>
      </c>
      <c r="F58" s="37">
        <v>34.770000000000003</v>
      </c>
      <c r="G58" s="37">
        <v>27.3</v>
      </c>
    </row>
    <row r="59" spans="1:7" ht="16.8" thickBot="1" x14ac:dyDescent="0.35">
      <c r="A59" s="37">
        <v>150</v>
      </c>
      <c r="B59" s="37">
        <v>15</v>
      </c>
      <c r="C59" s="37" t="str">
        <f t="shared" si="0"/>
        <v>150*150*15</v>
      </c>
      <c r="D59" s="37">
        <v>14</v>
      </c>
      <c r="E59" s="37">
        <v>10</v>
      </c>
      <c r="F59" s="37">
        <v>42.74</v>
      </c>
      <c r="G59" s="37">
        <v>33.6</v>
      </c>
    </row>
    <row r="60" spans="1:7" ht="16.8" thickBot="1" x14ac:dyDescent="0.35">
      <c r="A60" s="37">
        <v>150</v>
      </c>
      <c r="B60" s="37">
        <v>19</v>
      </c>
      <c r="C60" s="37" t="str">
        <f t="shared" si="0"/>
        <v>150*150*19</v>
      </c>
      <c r="D60" s="37">
        <v>14</v>
      </c>
      <c r="E60" s="37">
        <v>10</v>
      </c>
      <c r="F60" s="37">
        <v>53.38</v>
      </c>
      <c r="G60" s="37">
        <v>41.9</v>
      </c>
    </row>
    <row r="61" spans="1:7" ht="16.8" thickBot="1" x14ac:dyDescent="0.35">
      <c r="A61" s="37">
        <v>150</v>
      </c>
      <c r="B61" s="37">
        <v>22</v>
      </c>
      <c r="C61" s="37" t="str">
        <f t="shared" si="0"/>
        <v>150*150*22</v>
      </c>
      <c r="D61" s="37">
        <v>14</v>
      </c>
      <c r="E61" s="37">
        <v>10</v>
      </c>
      <c r="F61" s="37">
        <v>61.15</v>
      </c>
      <c r="G61" s="37">
        <v>48</v>
      </c>
    </row>
    <row r="62" spans="1:7" ht="16.8" thickBot="1" x14ac:dyDescent="0.35">
      <c r="A62" s="37">
        <v>175</v>
      </c>
      <c r="B62" s="37">
        <v>12</v>
      </c>
      <c r="C62" s="37" t="str">
        <f t="shared" si="0"/>
        <v>175*175*12</v>
      </c>
      <c r="D62" s="37">
        <v>15</v>
      </c>
      <c r="E62" s="37">
        <v>11</v>
      </c>
      <c r="F62" s="37">
        <v>40.520000000000003</v>
      </c>
      <c r="G62" s="37">
        <v>31.8</v>
      </c>
    </row>
    <row r="63" spans="1:7" ht="16.8" thickBot="1" x14ac:dyDescent="0.35">
      <c r="A63" s="37">
        <v>175</v>
      </c>
      <c r="B63" s="37">
        <v>15</v>
      </c>
      <c r="C63" s="37" t="str">
        <f t="shared" si="0"/>
        <v>175*175*15</v>
      </c>
      <c r="D63" s="37">
        <v>15</v>
      </c>
      <c r="E63" s="37">
        <v>11</v>
      </c>
      <c r="F63" s="37">
        <v>50.21</v>
      </c>
      <c r="G63" s="37">
        <v>39.4</v>
      </c>
    </row>
    <row r="64" spans="1:7" ht="16.8" thickBot="1" x14ac:dyDescent="0.35">
      <c r="A64" s="37">
        <v>200</v>
      </c>
      <c r="B64" s="37">
        <v>15</v>
      </c>
      <c r="C64" s="37" t="str">
        <f t="shared" si="0"/>
        <v>200*200*15</v>
      </c>
      <c r="D64" s="37">
        <v>17</v>
      </c>
      <c r="E64" s="37">
        <v>12</v>
      </c>
      <c r="F64" s="37">
        <v>57.75</v>
      </c>
      <c r="G64" s="37">
        <v>45.3</v>
      </c>
    </row>
    <row r="65" spans="1:7" ht="16.8" thickBot="1" x14ac:dyDescent="0.35">
      <c r="A65" s="37">
        <v>200</v>
      </c>
      <c r="B65" s="37">
        <v>20</v>
      </c>
      <c r="C65" s="37" t="str">
        <f t="shared" si="0"/>
        <v>200*200*20</v>
      </c>
      <c r="D65" s="37">
        <v>17</v>
      </c>
      <c r="E65" s="37">
        <v>12</v>
      </c>
      <c r="F65" s="37">
        <v>76</v>
      </c>
      <c r="G65" s="37">
        <v>59.7</v>
      </c>
    </row>
    <row r="66" spans="1:7" ht="16.8" thickBot="1" x14ac:dyDescent="0.35">
      <c r="A66" s="37">
        <v>200</v>
      </c>
      <c r="B66" s="37">
        <v>25</v>
      </c>
      <c r="C66" s="37" t="str">
        <f t="shared" si="0"/>
        <v>200*200*25</v>
      </c>
      <c r="D66" s="37">
        <v>17</v>
      </c>
      <c r="E66" s="37">
        <v>12</v>
      </c>
      <c r="F66" s="37">
        <v>93.75</v>
      </c>
      <c r="G66" s="37">
        <v>73.599999999999994</v>
      </c>
    </row>
    <row r="67" spans="1:7" ht="16.8" thickBot="1" x14ac:dyDescent="0.35">
      <c r="A67" s="37">
        <v>200</v>
      </c>
      <c r="B67" s="37">
        <v>27</v>
      </c>
      <c r="C67" s="37" t="str">
        <f t="shared" ref="C67:C70" si="1">_xlfn.TEXTJOIN("*",TRUE,A67,A67,B67)</f>
        <v>200*200*27</v>
      </c>
      <c r="D67" s="37">
        <v>17</v>
      </c>
      <c r="E67" s="37">
        <v>12</v>
      </c>
      <c r="F67" s="37">
        <v>100.7</v>
      </c>
      <c r="G67" s="37">
        <v>79</v>
      </c>
    </row>
    <row r="68" spans="1:7" ht="16.8" thickBot="1" x14ac:dyDescent="0.35">
      <c r="A68" s="37">
        <v>200</v>
      </c>
      <c r="B68" s="37">
        <v>29</v>
      </c>
      <c r="C68" s="37" t="str">
        <f t="shared" si="1"/>
        <v>200*200*29</v>
      </c>
      <c r="D68" s="37">
        <v>17</v>
      </c>
      <c r="E68" s="37">
        <v>12</v>
      </c>
      <c r="F68" s="37">
        <v>107.6</v>
      </c>
      <c r="G68" s="37">
        <v>84.5</v>
      </c>
    </row>
    <row r="69" spans="1:7" ht="16.8" thickBot="1" x14ac:dyDescent="0.35">
      <c r="A69" s="37">
        <v>250</v>
      </c>
      <c r="B69" s="37">
        <v>25</v>
      </c>
      <c r="C69" s="37" t="str">
        <f t="shared" si="1"/>
        <v>250*250*25</v>
      </c>
      <c r="D69" s="37">
        <v>24</v>
      </c>
      <c r="E69" s="37">
        <v>12</v>
      </c>
      <c r="F69" s="37">
        <v>119.4</v>
      </c>
      <c r="G69" s="37">
        <v>93.7</v>
      </c>
    </row>
    <row r="70" spans="1:7" ht="16.8" thickBot="1" x14ac:dyDescent="0.35">
      <c r="A70" s="37">
        <v>250</v>
      </c>
      <c r="B70" s="37">
        <v>35</v>
      </c>
      <c r="C70" s="37" t="str">
        <f t="shared" si="1"/>
        <v>250*250*35</v>
      </c>
      <c r="D70" s="37">
        <v>24</v>
      </c>
      <c r="E70" s="37">
        <v>18</v>
      </c>
      <c r="F70" s="37">
        <v>162.6</v>
      </c>
      <c r="G70" s="37">
        <v>128</v>
      </c>
    </row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8C0C-B3C3-43D2-8A9F-BD7E1ECD1141}">
  <sheetPr codeName="工作表2"/>
  <dimension ref="A1:Q1701"/>
  <sheetViews>
    <sheetView topLeftCell="A679" zoomScaleNormal="100" workbookViewId="0">
      <selection activeCell="D668" sqref="D668"/>
    </sheetView>
  </sheetViews>
  <sheetFormatPr defaultRowHeight="16.2" x14ac:dyDescent="0.3"/>
  <cols>
    <col min="1" max="1" width="20.33203125" style="29" bestFit="1" customWidth="1"/>
    <col min="2" max="2" width="8" style="29" bestFit="1" customWidth="1"/>
    <col min="3" max="3" width="27.77734375" style="29" bestFit="1" customWidth="1"/>
    <col min="4" max="4" width="13.77734375" style="29" bestFit="1" customWidth="1"/>
    <col min="5" max="6" width="7.5546875" style="29" customWidth="1"/>
    <col min="7" max="8" width="11.5546875" style="29" bestFit="1" customWidth="1"/>
    <col min="9" max="9" width="9.88671875" style="29" customWidth="1"/>
    <col min="10" max="10" width="7.5546875" style="29" customWidth="1"/>
    <col min="11" max="11" width="12.21875" style="29" customWidth="1"/>
    <col min="12" max="12" width="10.5546875" style="29" bestFit="1" customWidth="1"/>
    <col min="13" max="13" width="7.5546875" style="29" customWidth="1"/>
    <col min="14" max="16" width="12.21875" style="29" customWidth="1"/>
    <col min="17" max="17" width="10.5546875" style="29" bestFit="1" customWidth="1"/>
    <col min="18" max="18" width="8.77734375" bestFit="1" customWidth="1"/>
  </cols>
  <sheetData>
    <row r="1" spans="1:17" x14ac:dyDescent="0.3">
      <c r="A1" s="31" t="s">
        <v>71</v>
      </c>
      <c r="B1" s="32" t="s">
        <v>72</v>
      </c>
      <c r="C1" s="33" t="s">
        <v>73</v>
      </c>
      <c r="D1" s="33" t="s">
        <v>74</v>
      </c>
      <c r="E1" s="33" t="s">
        <v>75</v>
      </c>
      <c r="F1" s="33" t="s">
        <v>76</v>
      </c>
      <c r="G1" s="33" t="s">
        <v>77</v>
      </c>
      <c r="H1" s="33" t="s">
        <v>249</v>
      </c>
      <c r="I1" s="33" t="s">
        <v>78</v>
      </c>
      <c r="J1" s="34" t="s">
        <v>79</v>
      </c>
      <c r="K1" s="33" t="s">
        <v>80</v>
      </c>
      <c r="L1" s="33" t="s">
        <v>81</v>
      </c>
      <c r="M1" s="33" t="s">
        <v>82</v>
      </c>
      <c r="N1" s="33" t="s">
        <v>83</v>
      </c>
      <c r="O1" s="33" t="s">
        <v>84</v>
      </c>
      <c r="P1" s="33" t="s">
        <v>85</v>
      </c>
      <c r="Q1" s="35" t="s">
        <v>86</v>
      </c>
    </row>
    <row r="2" spans="1:17" x14ac:dyDescent="0.3">
      <c r="A2" s="29" t="s">
        <v>297</v>
      </c>
      <c r="B2" s="29">
        <v>1</v>
      </c>
      <c r="C2" s="29" t="s">
        <v>380</v>
      </c>
      <c r="D2" s="30" t="s">
        <v>393</v>
      </c>
      <c r="E2" s="29">
        <v>453</v>
      </c>
      <c r="G2" s="29" t="s">
        <v>382</v>
      </c>
      <c r="H2" s="29">
        <v>1</v>
      </c>
      <c r="I2" s="29">
        <v>42.55</v>
      </c>
      <c r="J2" s="29">
        <v>19.27515</v>
      </c>
      <c r="K2" s="29">
        <v>19.27515</v>
      </c>
      <c r="L2" s="29" t="s">
        <v>383</v>
      </c>
      <c r="M2" s="29">
        <v>1</v>
      </c>
      <c r="N2" s="29">
        <v>0.45300000000000001</v>
      </c>
      <c r="P2" s="29">
        <v>19.27515</v>
      </c>
      <c r="Q2" s="29" t="s">
        <v>384</v>
      </c>
    </row>
    <row r="3" spans="1:17" x14ac:dyDescent="0.3">
      <c r="B3" s="29">
        <v>2</v>
      </c>
      <c r="C3" s="29" t="s">
        <v>380</v>
      </c>
      <c r="D3" s="30" t="s">
        <v>393</v>
      </c>
      <c r="E3" s="29">
        <v>700</v>
      </c>
      <c r="G3" s="29" t="s">
        <v>385</v>
      </c>
      <c r="H3" s="29">
        <v>1</v>
      </c>
      <c r="I3" s="29">
        <v>42.55</v>
      </c>
      <c r="J3" s="29">
        <v>29.784999999999997</v>
      </c>
      <c r="K3" s="29">
        <v>29.784999999999997</v>
      </c>
      <c r="L3" s="29" t="s">
        <v>383</v>
      </c>
      <c r="M3" s="29">
        <v>1</v>
      </c>
      <c r="N3" s="29">
        <v>0.7</v>
      </c>
      <c r="P3" s="29">
        <v>29.784999999999997</v>
      </c>
      <c r="Q3" s="29" t="s">
        <v>384</v>
      </c>
    </row>
    <row r="4" spans="1:17" x14ac:dyDescent="0.3">
      <c r="B4" s="29">
        <v>3</v>
      </c>
      <c r="C4" s="45" t="s">
        <v>386</v>
      </c>
      <c r="D4" s="30">
        <v>16</v>
      </c>
      <c r="E4" s="29">
        <v>330</v>
      </c>
      <c r="F4" s="29">
        <v>330</v>
      </c>
      <c r="G4" s="29" t="s">
        <v>292</v>
      </c>
      <c r="H4" s="29">
        <v>1</v>
      </c>
      <c r="J4" s="29">
        <v>13.67784</v>
      </c>
      <c r="K4" s="29">
        <v>13.67784</v>
      </c>
      <c r="L4" s="29" t="s">
        <v>293</v>
      </c>
      <c r="M4" s="29">
        <v>1</v>
      </c>
      <c r="O4" s="29">
        <v>1</v>
      </c>
      <c r="P4" s="29">
        <v>13.67784</v>
      </c>
      <c r="Q4" s="29" t="s">
        <v>294</v>
      </c>
    </row>
    <row r="5" spans="1:17" x14ac:dyDescent="0.3">
      <c r="B5" s="29">
        <v>4</v>
      </c>
      <c r="C5" s="29" t="s">
        <v>387</v>
      </c>
      <c r="D5" s="30" t="s">
        <v>388</v>
      </c>
      <c r="E5" s="29">
        <v>150</v>
      </c>
      <c r="G5" s="29" t="s">
        <v>292</v>
      </c>
      <c r="H5" s="29">
        <v>2</v>
      </c>
      <c r="I5" s="29">
        <v>2.95</v>
      </c>
      <c r="J5" s="29">
        <v>0.4425</v>
      </c>
      <c r="K5" s="29">
        <v>0.88500000000000001</v>
      </c>
      <c r="L5" s="29" t="s">
        <v>383</v>
      </c>
      <c r="M5" s="29">
        <v>1</v>
      </c>
      <c r="N5" s="29">
        <v>0.3</v>
      </c>
      <c r="O5" s="29">
        <v>2</v>
      </c>
      <c r="P5" s="29">
        <v>0.88500000000000001</v>
      </c>
      <c r="Q5" s="29" t="s">
        <v>384</v>
      </c>
    </row>
    <row r="6" spans="1:17" x14ac:dyDescent="0.3">
      <c r="A6" s="29" t="s">
        <v>298</v>
      </c>
      <c r="B6" s="29">
        <v>1</v>
      </c>
      <c r="C6" s="29" t="s">
        <v>380</v>
      </c>
      <c r="D6" s="30" t="s">
        <v>393</v>
      </c>
      <c r="E6" s="29">
        <v>453</v>
      </c>
      <c r="G6" s="29" t="s">
        <v>382</v>
      </c>
      <c r="H6" s="29">
        <v>1</v>
      </c>
      <c r="I6" s="29">
        <v>42.55</v>
      </c>
      <c r="J6" s="29">
        <v>19.27515</v>
      </c>
      <c r="K6" s="29">
        <v>19.27515</v>
      </c>
      <c r="L6" s="29" t="s">
        <v>383</v>
      </c>
      <c r="M6" s="29">
        <v>1</v>
      </c>
      <c r="N6" s="29">
        <v>0.45300000000000001</v>
      </c>
      <c r="P6" s="29">
        <v>19.27515</v>
      </c>
      <c r="Q6" s="29" t="s">
        <v>384</v>
      </c>
    </row>
    <row r="7" spans="1:17" x14ac:dyDescent="0.3">
      <c r="B7" s="29">
        <v>2</v>
      </c>
      <c r="C7" s="29" t="s">
        <v>380</v>
      </c>
      <c r="D7" s="30" t="s">
        <v>393</v>
      </c>
      <c r="E7" s="29">
        <v>700</v>
      </c>
      <c r="G7" s="29" t="s">
        <v>385</v>
      </c>
      <c r="H7" s="29">
        <v>1</v>
      </c>
      <c r="I7" s="29">
        <v>42.55</v>
      </c>
      <c r="J7" s="29">
        <v>29.784999999999997</v>
      </c>
      <c r="K7" s="29">
        <v>29.784999999999997</v>
      </c>
      <c r="L7" s="29" t="s">
        <v>383</v>
      </c>
      <c r="M7" s="29">
        <v>1</v>
      </c>
      <c r="N7" s="29">
        <v>0.7</v>
      </c>
      <c r="P7" s="29">
        <v>29.784999999999997</v>
      </c>
      <c r="Q7" s="29" t="s">
        <v>384</v>
      </c>
    </row>
    <row r="8" spans="1:17" x14ac:dyDescent="0.3">
      <c r="B8" s="29">
        <v>3</v>
      </c>
      <c r="C8" s="29" t="s">
        <v>386</v>
      </c>
      <c r="D8" s="30">
        <v>16</v>
      </c>
      <c r="E8" s="29">
        <v>330</v>
      </c>
      <c r="F8" s="29">
        <v>330</v>
      </c>
      <c r="G8" s="29" t="s">
        <v>292</v>
      </c>
      <c r="H8" s="29">
        <v>1</v>
      </c>
      <c r="J8" s="29">
        <v>13.67784</v>
      </c>
      <c r="K8" s="29">
        <v>13.67784</v>
      </c>
      <c r="L8" s="29" t="s">
        <v>293</v>
      </c>
      <c r="M8" s="29">
        <v>1</v>
      </c>
      <c r="O8" s="29">
        <v>1</v>
      </c>
      <c r="P8" s="29">
        <v>13.67784</v>
      </c>
      <c r="Q8" s="29" t="s">
        <v>294</v>
      </c>
    </row>
    <row r="9" spans="1:17" x14ac:dyDescent="0.3">
      <c r="B9" s="29">
        <v>4</v>
      </c>
      <c r="C9" s="29" t="s">
        <v>387</v>
      </c>
      <c r="D9" s="30" t="s">
        <v>388</v>
      </c>
      <c r="E9" s="29">
        <v>150</v>
      </c>
      <c r="G9" s="29" t="s">
        <v>292</v>
      </c>
      <c r="H9" s="29">
        <v>2</v>
      </c>
      <c r="I9" s="29">
        <v>2.95</v>
      </c>
      <c r="J9" s="29">
        <v>0.4425</v>
      </c>
      <c r="K9" s="29">
        <v>0.88500000000000001</v>
      </c>
      <c r="L9" s="29" t="s">
        <v>383</v>
      </c>
      <c r="M9" s="29">
        <v>1</v>
      </c>
      <c r="N9" s="29">
        <v>0.3</v>
      </c>
      <c r="O9" s="29">
        <v>2</v>
      </c>
      <c r="P9" s="29">
        <v>0.88500000000000001</v>
      </c>
      <c r="Q9" s="29" t="s">
        <v>384</v>
      </c>
    </row>
    <row r="10" spans="1:17" x14ac:dyDescent="0.3">
      <c r="A10" s="29" t="s">
        <v>298</v>
      </c>
      <c r="B10" s="29">
        <v>1</v>
      </c>
      <c r="C10" s="29" t="s">
        <v>380</v>
      </c>
      <c r="D10" s="30" t="s">
        <v>393</v>
      </c>
      <c r="E10" s="29">
        <v>453</v>
      </c>
      <c r="G10" s="29" t="s">
        <v>382</v>
      </c>
      <c r="H10" s="29">
        <v>1</v>
      </c>
      <c r="I10" s="29">
        <v>42.55</v>
      </c>
      <c r="J10" s="29">
        <v>19.27515</v>
      </c>
      <c r="K10" s="29">
        <v>19.27515</v>
      </c>
      <c r="L10" s="29" t="s">
        <v>383</v>
      </c>
      <c r="M10" s="29">
        <v>1</v>
      </c>
      <c r="N10" s="29">
        <v>0.45300000000000001</v>
      </c>
      <c r="P10" s="29">
        <v>19.27515</v>
      </c>
      <c r="Q10" s="29" t="s">
        <v>384</v>
      </c>
    </row>
    <row r="11" spans="1:17" x14ac:dyDescent="0.3">
      <c r="B11" s="29">
        <v>2</v>
      </c>
      <c r="C11" s="29" t="s">
        <v>380</v>
      </c>
      <c r="D11" s="30" t="s">
        <v>393</v>
      </c>
      <c r="E11" s="29">
        <v>700</v>
      </c>
      <c r="G11" s="29" t="s">
        <v>385</v>
      </c>
      <c r="H11" s="29">
        <v>1</v>
      </c>
      <c r="I11" s="29">
        <v>42.55</v>
      </c>
      <c r="J11" s="29">
        <v>29.784999999999997</v>
      </c>
      <c r="K11" s="29">
        <v>29.784999999999997</v>
      </c>
      <c r="L11" s="29" t="s">
        <v>383</v>
      </c>
      <c r="M11" s="29">
        <v>1</v>
      </c>
      <c r="N11" s="29">
        <v>0.7</v>
      </c>
      <c r="P11" s="29">
        <v>29.784999999999997</v>
      </c>
      <c r="Q11" s="29" t="s">
        <v>384</v>
      </c>
    </row>
    <row r="12" spans="1:17" x14ac:dyDescent="0.3">
      <c r="B12" s="29">
        <v>3</v>
      </c>
      <c r="C12" s="45" t="s">
        <v>386</v>
      </c>
      <c r="D12" s="30">
        <v>16</v>
      </c>
      <c r="E12" s="29">
        <v>330</v>
      </c>
      <c r="F12" s="29">
        <v>330</v>
      </c>
      <c r="G12" s="29" t="s">
        <v>292</v>
      </c>
      <c r="H12" s="29">
        <v>1</v>
      </c>
      <c r="J12" s="29">
        <v>13.67784</v>
      </c>
      <c r="K12" s="29">
        <v>13.67784</v>
      </c>
      <c r="L12" s="29" t="s">
        <v>293</v>
      </c>
      <c r="M12" s="29">
        <v>1</v>
      </c>
      <c r="O12" s="29">
        <v>1</v>
      </c>
      <c r="P12" s="29">
        <v>13.67784</v>
      </c>
      <c r="Q12" s="29" t="s">
        <v>294</v>
      </c>
    </row>
    <row r="13" spans="1:17" x14ac:dyDescent="0.3">
      <c r="B13" s="29">
        <v>4</v>
      </c>
      <c r="C13" s="29" t="s">
        <v>387</v>
      </c>
      <c r="D13" s="30" t="s">
        <v>388</v>
      </c>
      <c r="E13" s="29">
        <v>150</v>
      </c>
      <c r="G13" s="29" t="s">
        <v>292</v>
      </c>
      <c r="H13" s="29">
        <v>2</v>
      </c>
      <c r="I13" s="29">
        <v>2.95</v>
      </c>
      <c r="J13" s="29">
        <v>0.4425</v>
      </c>
      <c r="K13" s="29">
        <v>0.88500000000000001</v>
      </c>
      <c r="L13" s="29" t="s">
        <v>383</v>
      </c>
      <c r="M13" s="29">
        <v>1</v>
      </c>
      <c r="N13" s="29">
        <v>0.3</v>
      </c>
      <c r="O13" s="29">
        <v>2</v>
      </c>
      <c r="P13" s="29">
        <v>0.88500000000000001</v>
      </c>
      <c r="Q13" s="29" t="s">
        <v>384</v>
      </c>
    </row>
    <row r="14" spans="1:17" x14ac:dyDescent="0.3">
      <c r="A14" s="29" t="s">
        <v>299</v>
      </c>
      <c r="B14" s="29">
        <v>1</v>
      </c>
      <c r="C14" s="29" t="s">
        <v>380</v>
      </c>
      <c r="D14" s="30" t="s">
        <v>393</v>
      </c>
      <c r="E14" s="29">
        <v>453</v>
      </c>
      <c r="G14" s="29" t="s">
        <v>382</v>
      </c>
      <c r="H14" s="29">
        <v>1</v>
      </c>
      <c r="I14" s="29">
        <v>42.55</v>
      </c>
      <c r="J14" s="29">
        <v>19.27515</v>
      </c>
      <c r="K14" s="29">
        <v>19.27515</v>
      </c>
      <c r="L14" s="29" t="s">
        <v>383</v>
      </c>
      <c r="M14" s="29">
        <v>1</v>
      </c>
      <c r="N14" s="29">
        <v>0.45300000000000001</v>
      </c>
      <c r="P14" s="29">
        <v>19.27515</v>
      </c>
      <c r="Q14" s="29" t="s">
        <v>384</v>
      </c>
    </row>
    <row r="15" spans="1:17" x14ac:dyDescent="0.3">
      <c r="B15" s="29">
        <v>2</v>
      </c>
      <c r="C15" s="29" t="s">
        <v>380</v>
      </c>
      <c r="D15" s="30" t="s">
        <v>393</v>
      </c>
      <c r="E15" s="29">
        <v>800</v>
      </c>
      <c r="G15" s="29" t="s">
        <v>385</v>
      </c>
      <c r="H15" s="29">
        <v>1</v>
      </c>
      <c r="I15" s="29">
        <v>42.55</v>
      </c>
      <c r="J15" s="29">
        <v>34.04</v>
      </c>
      <c r="K15" s="29">
        <v>34.04</v>
      </c>
      <c r="L15" s="29" t="s">
        <v>383</v>
      </c>
      <c r="M15" s="29">
        <v>1</v>
      </c>
      <c r="N15" s="29">
        <v>0.8</v>
      </c>
      <c r="P15" s="29">
        <v>34.04</v>
      </c>
      <c r="Q15" s="29" t="s">
        <v>384</v>
      </c>
    </row>
    <row r="16" spans="1:17" x14ac:dyDescent="0.3">
      <c r="B16" s="29">
        <v>3</v>
      </c>
      <c r="C16" s="29" t="s">
        <v>386</v>
      </c>
      <c r="D16" s="30">
        <v>16</v>
      </c>
      <c r="E16" s="29">
        <v>330</v>
      </c>
      <c r="F16" s="29">
        <v>330</v>
      </c>
      <c r="G16" s="29" t="s">
        <v>292</v>
      </c>
      <c r="H16" s="29">
        <v>1</v>
      </c>
      <c r="J16" s="29">
        <v>13.67784</v>
      </c>
      <c r="K16" s="29">
        <v>13.67784</v>
      </c>
      <c r="L16" s="29" t="s">
        <v>293</v>
      </c>
      <c r="M16" s="29">
        <v>1</v>
      </c>
      <c r="O16" s="29">
        <v>1</v>
      </c>
      <c r="P16" s="29">
        <v>13.67784</v>
      </c>
      <c r="Q16" s="29" t="s">
        <v>294</v>
      </c>
    </row>
    <row r="17" spans="1:17" x14ac:dyDescent="0.3">
      <c r="A17" s="29" t="s">
        <v>300</v>
      </c>
      <c r="B17" s="29">
        <v>1</v>
      </c>
      <c r="C17" s="29" t="s">
        <v>380</v>
      </c>
      <c r="D17" s="30" t="s">
        <v>393</v>
      </c>
      <c r="E17" s="29">
        <v>470</v>
      </c>
      <c r="G17" s="29" t="s">
        <v>382</v>
      </c>
      <c r="H17" s="29">
        <v>1</v>
      </c>
      <c r="I17" s="29">
        <v>42.55</v>
      </c>
      <c r="J17" s="29">
        <v>19.998499999999996</v>
      </c>
      <c r="K17" s="29">
        <v>19.998499999999996</v>
      </c>
      <c r="L17" s="29" t="s">
        <v>383</v>
      </c>
      <c r="M17" s="29">
        <v>1</v>
      </c>
      <c r="N17" s="29">
        <v>0.47</v>
      </c>
      <c r="P17" s="29">
        <v>19.998499999999996</v>
      </c>
      <c r="Q17" s="29" t="s">
        <v>384</v>
      </c>
    </row>
    <row r="18" spans="1:17" x14ac:dyDescent="0.3">
      <c r="B18" s="29">
        <v>2</v>
      </c>
      <c r="C18" s="45" t="s">
        <v>380</v>
      </c>
      <c r="D18" s="30" t="s">
        <v>393</v>
      </c>
      <c r="E18" s="29">
        <v>200</v>
      </c>
      <c r="G18" s="29" t="s">
        <v>385</v>
      </c>
      <c r="H18" s="29">
        <v>1</v>
      </c>
      <c r="I18" s="29">
        <v>42.55</v>
      </c>
      <c r="J18" s="29">
        <v>8.51</v>
      </c>
      <c r="K18" s="29">
        <v>8.51</v>
      </c>
      <c r="L18" s="29" t="s">
        <v>383</v>
      </c>
      <c r="M18" s="29">
        <v>1</v>
      </c>
      <c r="N18" s="29">
        <v>0.2</v>
      </c>
      <c r="P18" s="29">
        <v>8.51</v>
      </c>
      <c r="Q18" s="29" t="s">
        <v>384</v>
      </c>
    </row>
    <row r="19" spans="1:17" x14ac:dyDescent="0.3">
      <c r="B19" s="29">
        <v>3</v>
      </c>
      <c r="C19" s="29" t="s">
        <v>386</v>
      </c>
      <c r="D19" s="30">
        <v>16</v>
      </c>
      <c r="E19" s="29">
        <v>330</v>
      </c>
      <c r="F19" s="29">
        <v>330</v>
      </c>
      <c r="G19" s="29" t="s">
        <v>292</v>
      </c>
      <c r="H19" s="29">
        <v>1</v>
      </c>
      <c r="J19" s="29">
        <v>13.67784</v>
      </c>
      <c r="K19" s="29">
        <v>13.67784</v>
      </c>
      <c r="L19" s="29" t="s">
        <v>293</v>
      </c>
      <c r="M19" s="29">
        <v>1</v>
      </c>
      <c r="O19" s="29">
        <v>1</v>
      </c>
      <c r="P19" s="29">
        <v>13.67784</v>
      </c>
      <c r="Q19" s="29" t="s">
        <v>294</v>
      </c>
    </row>
    <row r="20" spans="1:17" x14ac:dyDescent="0.3">
      <c r="A20" s="29" t="s">
        <v>301</v>
      </c>
      <c r="B20" s="29">
        <v>1</v>
      </c>
      <c r="C20" s="29" t="s">
        <v>380</v>
      </c>
      <c r="D20" s="30" t="s">
        <v>393</v>
      </c>
      <c r="E20" s="29">
        <v>470</v>
      </c>
      <c r="G20" s="29" t="s">
        <v>382</v>
      </c>
      <c r="H20" s="29">
        <v>1</v>
      </c>
      <c r="I20" s="29">
        <v>42.55</v>
      </c>
      <c r="J20" s="29">
        <v>19.998499999999996</v>
      </c>
      <c r="K20" s="29">
        <v>19.998499999999996</v>
      </c>
      <c r="L20" s="29" t="s">
        <v>383</v>
      </c>
      <c r="M20" s="29">
        <v>1</v>
      </c>
      <c r="N20" s="29">
        <v>0.47</v>
      </c>
      <c r="P20" s="29">
        <v>19.998499999999996</v>
      </c>
      <c r="Q20" s="29" t="s">
        <v>384</v>
      </c>
    </row>
    <row r="21" spans="1:17" x14ac:dyDescent="0.3">
      <c r="B21" s="29">
        <v>2</v>
      </c>
      <c r="C21" s="29" t="s">
        <v>380</v>
      </c>
      <c r="D21" s="30" t="s">
        <v>393</v>
      </c>
      <c r="E21" s="29">
        <v>500</v>
      </c>
      <c r="G21" s="29" t="s">
        <v>385</v>
      </c>
      <c r="H21" s="29">
        <v>1</v>
      </c>
      <c r="I21" s="29">
        <v>42.55</v>
      </c>
      <c r="J21" s="29">
        <v>21.274999999999999</v>
      </c>
      <c r="K21" s="29">
        <v>21.274999999999999</v>
      </c>
      <c r="L21" s="29" t="s">
        <v>383</v>
      </c>
      <c r="M21" s="29">
        <v>1</v>
      </c>
      <c r="N21" s="29">
        <v>0.5</v>
      </c>
      <c r="P21" s="29">
        <v>21.274999999999999</v>
      </c>
      <c r="Q21" s="29" t="s">
        <v>384</v>
      </c>
    </row>
    <row r="22" spans="1:17" x14ac:dyDescent="0.3">
      <c r="B22" s="29">
        <v>3</v>
      </c>
      <c r="C22" s="29" t="s">
        <v>386</v>
      </c>
      <c r="D22" s="30">
        <v>16</v>
      </c>
      <c r="E22" s="29">
        <v>330</v>
      </c>
      <c r="F22" s="29">
        <v>330</v>
      </c>
      <c r="G22" s="29" t="s">
        <v>292</v>
      </c>
      <c r="H22" s="29">
        <v>1</v>
      </c>
      <c r="J22" s="29">
        <v>13.67784</v>
      </c>
      <c r="K22" s="29">
        <v>13.67784</v>
      </c>
      <c r="L22" s="29" t="s">
        <v>293</v>
      </c>
      <c r="M22" s="29">
        <v>1</v>
      </c>
      <c r="O22" s="29">
        <v>1</v>
      </c>
      <c r="P22" s="29">
        <v>13.67784</v>
      </c>
      <c r="Q22" s="29" t="s">
        <v>294</v>
      </c>
    </row>
    <row r="23" spans="1:17" x14ac:dyDescent="0.3">
      <c r="A23" s="29" t="s">
        <v>302</v>
      </c>
      <c r="B23" s="29">
        <v>1</v>
      </c>
      <c r="C23" s="29" t="s">
        <v>380</v>
      </c>
      <c r="D23" s="30" t="s">
        <v>394</v>
      </c>
      <c r="E23" s="29">
        <v>573</v>
      </c>
      <c r="G23" s="29" t="s">
        <v>382</v>
      </c>
      <c r="H23" s="29">
        <v>1</v>
      </c>
      <c r="I23" s="29">
        <v>60.29</v>
      </c>
      <c r="J23" s="29">
        <v>34.546169999999996</v>
      </c>
      <c r="K23" s="29">
        <v>34.546169999999996</v>
      </c>
      <c r="L23" s="29" t="s">
        <v>383</v>
      </c>
      <c r="M23" s="29">
        <v>1</v>
      </c>
      <c r="N23" s="29">
        <v>0.57299999999999995</v>
      </c>
      <c r="P23" s="29">
        <v>34.546169999999996</v>
      </c>
      <c r="Q23" s="29" t="s">
        <v>384</v>
      </c>
    </row>
    <row r="24" spans="1:17" x14ac:dyDescent="0.3">
      <c r="B24" s="29">
        <v>2</v>
      </c>
      <c r="C24" s="45" t="s">
        <v>380</v>
      </c>
      <c r="D24" s="30" t="s">
        <v>394</v>
      </c>
      <c r="E24" s="29">
        <v>100</v>
      </c>
      <c r="G24" s="29" t="s">
        <v>385</v>
      </c>
      <c r="H24" s="29">
        <v>1</v>
      </c>
      <c r="I24" s="29">
        <v>60.29</v>
      </c>
      <c r="J24" s="29">
        <v>6.0289999999999999</v>
      </c>
      <c r="K24" s="29">
        <v>6.0289999999999999</v>
      </c>
      <c r="L24" s="29" t="s">
        <v>383</v>
      </c>
      <c r="M24" s="29">
        <v>1</v>
      </c>
      <c r="N24" s="29">
        <v>0.1</v>
      </c>
      <c r="P24" s="29">
        <v>6.0289999999999999</v>
      </c>
      <c r="Q24" s="29" t="s">
        <v>384</v>
      </c>
    </row>
    <row r="25" spans="1:17" x14ac:dyDescent="0.3">
      <c r="B25" s="29">
        <v>3</v>
      </c>
      <c r="C25" s="29" t="s">
        <v>386</v>
      </c>
      <c r="D25" s="30">
        <v>16</v>
      </c>
      <c r="E25" s="29">
        <v>330</v>
      </c>
      <c r="F25" s="29">
        <v>330</v>
      </c>
      <c r="G25" s="29" t="s">
        <v>292</v>
      </c>
      <c r="H25" s="29">
        <v>1</v>
      </c>
      <c r="J25" s="29">
        <v>13.67784</v>
      </c>
      <c r="K25" s="29">
        <v>13.67784</v>
      </c>
      <c r="L25" s="29" t="s">
        <v>293</v>
      </c>
      <c r="M25" s="29">
        <v>1</v>
      </c>
      <c r="O25" s="29">
        <v>1</v>
      </c>
      <c r="P25" s="29">
        <v>13.67784</v>
      </c>
      <c r="Q25" s="29" t="s">
        <v>294</v>
      </c>
    </row>
    <row r="26" spans="1:17" x14ac:dyDescent="0.3">
      <c r="A26" s="29" t="s">
        <v>303</v>
      </c>
      <c r="B26" s="29">
        <v>1</v>
      </c>
      <c r="C26" s="29" t="s">
        <v>380</v>
      </c>
      <c r="D26" s="30" t="s">
        <v>381</v>
      </c>
      <c r="E26" s="29">
        <v>170</v>
      </c>
      <c r="G26" s="29" t="s">
        <v>382</v>
      </c>
      <c r="H26" s="29">
        <v>1</v>
      </c>
      <c r="I26" s="29">
        <v>5.41</v>
      </c>
      <c r="J26" s="29">
        <v>0.91970000000000007</v>
      </c>
      <c r="K26" s="29">
        <v>0.91970000000000007</v>
      </c>
      <c r="L26" s="29" t="s">
        <v>383</v>
      </c>
      <c r="M26" s="29">
        <v>1</v>
      </c>
      <c r="N26" s="29">
        <v>0.17</v>
      </c>
      <c r="P26" s="29">
        <v>0.91970000000000007</v>
      </c>
      <c r="Q26" s="29" t="s">
        <v>384</v>
      </c>
    </row>
    <row r="27" spans="1:17" x14ac:dyDescent="0.3">
      <c r="B27" s="29">
        <v>2</v>
      </c>
      <c r="C27" s="29" t="s">
        <v>380</v>
      </c>
      <c r="D27" s="30" t="s">
        <v>381</v>
      </c>
      <c r="E27" s="29">
        <v>100</v>
      </c>
      <c r="G27" s="29" t="s">
        <v>385</v>
      </c>
      <c r="H27" s="29">
        <v>1</v>
      </c>
      <c r="I27" s="29">
        <v>5.41</v>
      </c>
      <c r="J27" s="29">
        <v>0.54100000000000004</v>
      </c>
      <c r="K27" s="29">
        <v>0.54100000000000004</v>
      </c>
      <c r="L27" s="29" t="s">
        <v>383</v>
      </c>
      <c r="M27" s="29">
        <v>1</v>
      </c>
      <c r="N27" s="29">
        <v>0.1</v>
      </c>
      <c r="P27" s="29">
        <v>0.54100000000000004</v>
      </c>
      <c r="Q27" s="29" t="s">
        <v>384</v>
      </c>
    </row>
    <row r="28" spans="1:17" x14ac:dyDescent="0.3">
      <c r="B28" s="29">
        <v>3</v>
      </c>
      <c r="C28" s="29" t="s">
        <v>386</v>
      </c>
      <c r="D28" s="30">
        <v>9</v>
      </c>
      <c r="E28" s="29">
        <v>150</v>
      </c>
      <c r="F28" s="29">
        <v>150</v>
      </c>
      <c r="G28" s="29" t="s">
        <v>292</v>
      </c>
      <c r="H28" s="29">
        <v>1</v>
      </c>
      <c r="J28" s="29">
        <v>1.5896249999999998</v>
      </c>
      <c r="K28" s="29">
        <v>1.5896249999999998</v>
      </c>
      <c r="L28" s="29" t="s">
        <v>293</v>
      </c>
      <c r="M28" s="29">
        <v>1</v>
      </c>
      <c r="O28" s="29">
        <v>1</v>
      </c>
      <c r="P28" s="29">
        <v>1.5896249999999998</v>
      </c>
      <c r="Q28" s="29" t="s">
        <v>294</v>
      </c>
    </row>
    <row r="29" spans="1:17" x14ac:dyDescent="0.3">
      <c r="B29" s="29">
        <v>4</v>
      </c>
      <c r="C29" s="29" t="s">
        <v>387</v>
      </c>
      <c r="D29" s="30" t="s">
        <v>388</v>
      </c>
      <c r="E29" s="29">
        <v>150</v>
      </c>
      <c r="G29" s="29" t="s">
        <v>292</v>
      </c>
      <c r="H29" s="29">
        <v>2</v>
      </c>
      <c r="I29" s="29">
        <v>2.95</v>
      </c>
      <c r="J29" s="29">
        <v>0.4425</v>
      </c>
      <c r="K29" s="29">
        <v>0.88500000000000001</v>
      </c>
      <c r="L29" s="29" t="s">
        <v>383</v>
      </c>
      <c r="M29" s="29">
        <v>1</v>
      </c>
      <c r="N29" s="29">
        <v>0.3</v>
      </c>
      <c r="O29" s="29">
        <v>2</v>
      </c>
      <c r="P29" s="29">
        <v>0.88500000000000001</v>
      </c>
      <c r="Q29" s="29" t="s">
        <v>384</v>
      </c>
    </row>
    <row r="30" spans="1:17" x14ac:dyDescent="0.3">
      <c r="A30" s="29" t="s">
        <v>304</v>
      </c>
      <c r="B30" s="29">
        <v>1</v>
      </c>
      <c r="C30" s="29" t="s">
        <v>380</v>
      </c>
      <c r="D30" s="30" t="s">
        <v>381</v>
      </c>
      <c r="E30" s="29">
        <v>170</v>
      </c>
      <c r="G30" s="29" t="s">
        <v>382</v>
      </c>
      <c r="H30" s="29">
        <v>1</v>
      </c>
      <c r="I30" s="29">
        <v>5.41</v>
      </c>
      <c r="J30" s="29">
        <v>0.91970000000000007</v>
      </c>
      <c r="K30" s="29">
        <v>0.91970000000000007</v>
      </c>
      <c r="L30" s="29" t="s">
        <v>383</v>
      </c>
      <c r="M30" s="29">
        <v>1</v>
      </c>
      <c r="N30" s="29">
        <v>0.17</v>
      </c>
      <c r="P30" s="29">
        <v>0.91970000000000007</v>
      </c>
      <c r="Q30" s="29" t="s">
        <v>384</v>
      </c>
    </row>
    <row r="31" spans="1:17" x14ac:dyDescent="0.3">
      <c r="B31" s="29">
        <v>2</v>
      </c>
      <c r="C31" s="29" t="s">
        <v>380</v>
      </c>
      <c r="D31" s="30" t="s">
        <v>381</v>
      </c>
      <c r="E31" s="29">
        <v>400</v>
      </c>
      <c r="G31" s="29" t="s">
        <v>385</v>
      </c>
      <c r="H31" s="29">
        <v>1</v>
      </c>
      <c r="I31" s="29">
        <v>5.41</v>
      </c>
      <c r="J31" s="29">
        <v>2.1640000000000001</v>
      </c>
      <c r="K31" s="29">
        <v>2.1640000000000001</v>
      </c>
      <c r="L31" s="29" t="s">
        <v>383</v>
      </c>
      <c r="M31" s="29">
        <v>1</v>
      </c>
      <c r="N31" s="29">
        <v>0.4</v>
      </c>
      <c r="P31" s="29">
        <v>2.1640000000000001</v>
      </c>
      <c r="Q31" s="29" t="s">
        <v>384</v>
      </c>
    </row>
    <row r="32" spans="1:17" x14ac:dyDescent="0.3">
      <c r="B32" s="29">
        <v>3</v>
      </c>
      <c r="C32" s="29" t="s">
        <v>386</v>
      </c>
      <c r="D32" s="30">
        <v>9</v>
      </c>
      <c r="E32" s="29">
        <v>150</v>
      </c>
      <c r="F32" s="29">
        <v>150</v>
      </c>
      <c r="G32" s="29" t="s">
        <v>292</v>
      </c>
      <c r="H32" s="29">
        <v>1</v>
      </c>
      <c r="J32" s="29">
        <v>1.5896249999999998</v>
      </c>
      <c r="K32" s="29">
        <v>1.5896249999999998</v>
      </c>
      <c r="L32" s="29" t="s">
        <v>293</v>
      </c>
      <c r="M32" s="29">
        <v>1</v>
      </c>
      <c r="O32" s="29">
        <v>1</v>
      </c>
      <c r="P32" s="29">
        <v>1.5896249999999998</v>
      </c>
      <c r="Q32" s="29" t="s">
        <v>294</v>
      </c>
    </row>
    <row r="33" spans="1:17" x14ac:dyDescent="0.3">
      <c r="B33" s="29">
        <v>4</v>
      </c>
      <c r="C33" s="45" t="s">
        <v>389</v>
      </c>
      <c r="D33" s="30">
        <v>9</v>
      </c>
      <c r="E33" s="29">
        <v>290</v>
      </c>
      <c r="F33" s="29">
        <v>290</v>
      </c>
      <c r="G33" s="29" t="s">
        <v>292</v>
      </c>
      <c r="H33" s="29">
        <v>1</v>
      </c>
      <c r="J33" s="29">
        <v>5.9416649999999995</v>
      </c>
      <c r="K33" s="29">
        <v>5.9416649999999995</v>
      </c>
      <c r="L33" s="29" t="s">
        <v>293</v>
      </c>
      <c r="M33" s="29">
        <v>1</v>
      </c>
      <c r="O33" s="29">
        <v>1</v>
      </c>
      <c r="P33" s="29">
        <v>5.9416649999999995</v>
      </c>
      <c r="Q33" s="29" t="s">
        <v>294</v>
      </c>
    </row>
    <row r="34" spans="1:17" x14ac:dyDescent="0.3">
      <c r="B34" s="29">
        <v>5</v>
      </c>
      <c r="C34" s="29" t="s">
        <v>390</v>
      </c>
      <c r="D34" s="30" t="s">
        <v>295</v>
      </c>
      <c r="G34" s="29" t="s">
        <v>382</v>
      </c>
      <c r="H34" s="29">
        <v>4</v>
      </c>
      <c r="J34" s="29">
        <v>1</v>
      </c>
      <c r="K34" s="29">
        <v>4</v>
      </c>
      <c r="L34" s="29" t="s">
        <v>391</v>
      </c>
      <c r="M34" s="29">
        <v>1</v>
      </c>
      <c r="O34" s="29">
        <v>4</v>
      </c>
      <c r="P34" s="29">
        <v>4</v>
      </c>
      <c r="Q34" s="29" t="s">
        <v>392</v>
      </c>
    </row>
    <row r="35" spans="1:17" x14ac:dyDescent="0.3">
      <c r="B35" s="29">
        <v>6</v>
      </c>
      <c r="C35" s="29" t="s">
        <v>387</v>
      </c>
      <c r="D35" s="30" t="s">
        <v>388</v>
      </c>
      <c r="E35" s="29">
        <v>150</v>
      </c>
      <c r="G35" s="29" t="s">
        <v>292</v>
      </c>
      <c r="H35" s="29">
        <v>2</v>
      </c>
      <c r="I35" s="29">
        <v>2.95</v>
      </c>
      <c r="J35" s="29">
        <v>0.4425</v>
      </c>
      <c r="K35" s="29">
        <v>0.88500000000000001</v>
      </c>
      <c r="L35" s="29" t="s">
        <v>383</v>
      </c>
      <c r="M35" s="29">
        <v>1</v>
      </c>
      <c r="N35" s="29">
        <v>0.3</v>
      </c>
      <c r="O35" s="29">
        <v>2</v>
      </c>
      <c r="P35" s="29">
        <v>0.88500000000000001</v>
      </c>
      <c r="Q35" s="29" t="s">
        <v>384</v>
      </c>
    </row>
    <row r="36" spans="1:17" x14ac:dyDescent="0.3">
      <c r="A36" s="29" t="s">
        <v>291</v>
      </c>
      <c r="B36" s="29">
        <v>1</v>
      </c>
      <c r="C36" s="29" t="s">
        <v>380</v>
      </c>
      <c r="D36" s="30" t="s">
        <v>381</v>
      </c>
      <c r="E36" s="29">
        <v>170</v>
      </c>
      <c r="G36" s="29" t="s">
        <v>382</v>
      </c>
      <c r="H36" s="29">
        <v>1</v>
      </c>
      <c r="I36" s="29">
        <v>5.41</v>
      </c>
      <c r="J36" s="29">
        <v>0.91970000000000007</v>
      </c>
      <c r="K36" s="29">
        <v>0.91970000000000007</v>
      </c>
      <c r="L36" s="29" t="s">
        <v>383</v>
      </c>
      <c r="M36" s="29">
        <v>1</v>
      </c>
      <c r="N36" s="29">
        <v>0.17</v>
      </c>
      <c r="P36" s="29">
        <v>0.91970000000000007</v>
      </c>
      <c r="Q36" s="29" t="s">
        <v>384</v>
      </c>
    </row>
    <row r="37" spans="1:17" x14ac:dyDescent="0.3">
      <c r="B37" s="29">
        <v>2</v>
      </c>
      <c r="C37" s="29" t="s">
        <v>380</v>
      </c>
      <c r="D37" s="30" t="s">
        <v>381</v>
      </c>
      <c r="E37" s="29">
        <v>400</v>
      </c>
      <c r="G37" s="29" t="s">
        <v>385</v>
      </c>
      <c r="H37" s="29">
        <v>1</v>
      </c>
      <c r="I37" s="29">
        <v>5.41</v>
      </c>
      <c r="J37" s="29">
        <v>2.1640000000000001</v>
      </c>
      <c r="K37" s="29">
        <v>2.1640000000000001</v>
      </c>
      <c r="L37" s="29" t="s">
        <v>383</v>
      </c>
      <c r="M37" s="29">
        <v>1</v>
      </c>
      <c r="N37" s="29">
        <v>0.4</v>
      </c>
      <c r="P37" s="29">
        <v>2.1640000000000001</v>
      </c>
      <c r="Q37" s="29" t="s">
        <v>384</v>
      </c>
    </row>
    <row r="38" spans="1:17" x14ac:dyDescent="0.3">
      <c r="B38" s="29">
        <v>3</v>
      </c>
      <c r="C38" s="29" t="s">
        <v>386</v>
      </c>
      <c r="D38" s="30">
        <v>9</v>
      </c>
      <c r="E38" s="29">
        <v>150</v>
      </c>
      <c r="F38" s="29">
        <v>150</v>
      </c>
      <c r="G38" s="29" t="s">
        <v>292</v>
      </c>
      <c r="H38" s="29">
        <v>1</v>
      </c>
      <c r="J38" s="29">
        <v>1.5896249999999998</v>
      </c>
      <c r="K38" s="29">
        <v>1.5896249999999998</v>
      </c>
      <c r="L38" s="29" t="s">
        <v>293</v>
      </c>
      <c r="M38" s="29">
        <v>1</v>
      </c>
      <c r="O38" s="29">
        <v>1</v>
      </c>
      <c r="P38" s="29">
        <v>1.5896249999999998</v>
      </c>
      <c r="Q38" s="29" t="s">
        <v>294</v>
      </c>
    </row>
    <row r="39" spans="1:17" x14ac:dyDescent="0.3">
      <c r="B39" s="29">
        <v>4</v>
      </c>
      <c r="C39" s="29" t="s">
        <v>389</v>
      </c>
      <c r="D39" s="30">
        <v>9</v>
      </c>
      <c r="E39" s="29">
        <v>290</v>
      </c>
      <c r="F39" s="29">
        <v>290</v>
      </c>
      <c r="G39" s="29" t="s">
        <v>292</v>
      </c>
      <c r="H39" s="29">
        <v>1</v>
      </c>
      <c r="J39" s="29">
        <v>5.9416649999999995</v>
      </c>
      <c r="K39" s="29">
        <v>5.9416649999999995</v>
      </c>
      <c r="L39" s="29" t="s">
        <v>293</v>
      </c>
      <c r="M39" s="29">
        <v>1</v>
      </c>
      <c r="O39" s="29">
        <v>1</v>
      </c>
      <c r="P39" s="29">
        <v>5.9416649999999995</v>
      </c>
      <c r="Q39" s="29" t="s">
        <v>294</v>
      </c>
    </row>
    <row r="40" spans="1:17" x14ac:dyDescent="0.3">
      <c r="B40" s="29">
        <v>5</v>
      </c>
      <c r="C40" s="29" t="s">
        <v>390</v>
      </c>
      <c r="D40" s="30" t="s">
        <v>295</v>
      </c>
      <c r="G40" s="29" t="s">
        <v>382</v>
      </c>
      <c r="H40" s="29">
        <v>4</v>
      </c>
      <c r="J40" s="29">
        <v>1</v>
      </c>
      <c r="K40" s="29">
        <v>4</v>
      </c>
      <c r="L40" s="29" t="s">
        <v>391</v>
      </c>
      <c r="M40" s="29">
        <v>1</v>
      </c>
      <c r="O40" s="29">
        <v>4</v>
      </c>
      <c r="P40" s="29">
        <v>4</v>
      </c>
      <c r="Q40" s="29" t="s">
        <v>392</v>
      </c>
    </row>
    <row r="41" spans="1:17" x14ac:dyDescent="0.3">
      <c r="B41" s="29">
        <v>6</v>
      </c>
      <c r="C41" s="29" t="s">
        <v>387</v>
      </c>
      <c r="D41" s="30" t="s">
        <v>388</v>
      </c>
      <c r="E41" s="29">
        <v>150</v>
      </c>
      <c r="G41" s="29" t="s">
        <v>292</v>
      </c>
      <c r="H41" s="29">
        <v>2</v>
      </c>
      <c r="I41" s="29">
        <v>2.95</v>
      </c>
      <c r="J41" s="29">
        <v>0.4425</v>
      </c>
      <c r="K41" s="29">
        <v>0.88500000000000001</v>
      </c>
      <c r="L41" s="29" t="s">
        <v>383</v>
      </c>
      <c r="M41" s="29">
        <v>1</v>
      </c>
      <c r="N41" s="29">
        <v>0.3</v>
      </c>
      <c r="O41" s="29">
        <v>2</v>
      </c>
      <c r="P41" s="29">
        <v>0.88500000000000001</v>
      </c>
      <c r="Q41" s="29" t="s">
        <v>384</v>
      </c>
    </row>
    <row r="42" spans="1:17" x14ac:dyDescent="0.3">
      <c r="A42" s="29" t="s">
        <v>305</v>
      </c>
      <c r="B42" s="29">
        <v>1</v>
      </c>
      <c r="C42" s="45" t="s">
        <v>380</v>
      </c>
      <c r="D42" s="30" t="s">
        <v>381</v>
      </c>
      <c r="E42" s="29">
        <v>170</v>
      </c>
      <c r="G42" s="29" t="s">
        <v>382</v>
      </c>
      <c r="H42" s="29">
        <v>1</v>
      </c>
      <c r="I42" s="29">
        <v>5.41</v>
      </c>
      <c r="J42" s="29">
        <v>0.91970000000000007</v>
      </c>
      <c r="K42" s="29">
        <v>0.91970000000000007</v>
      </c>
      <c r="L42" s="29" t="s">
        <v>383</v>
      </c>
      <c r="M42" s="29">
        <v>1</v>
      </c>
      <c r="N42" s="29">
        <v>0.17</v>
      </c>
      <c r="P42" s="29">
        <v>0.91970000000000007</v>
      </c>
      <c r="Q42" s="29" t="s">
        <v>384</v>
      </c>
    </row>
    <row r="43" spans="1:17" x14ac:dyDescent="0.3">
      <c r="B43" s="29">
        <v>2</v>
      </c>
      <c r="C43" s="29" t="s">
        <v>380</v>
      </c>
      <c r="D43" s="30" t="s">
        <v>381</v>
      </c>
      <c r="E43" s="29">
        <v>400</v>
      </c>
      <c r="G43" s="29" t="s">
        <v>385</v>
      </c>
      <c r="H43" s="29">
        <v>1</v>
      </c>
      <c r="I43" s="29">
        <v>5.41</v>
      </c>
      <c r="J43" s="29">
        <v>2.1640000000000001</v>
      </c>
      <c r="K43" s="29">
        <v>2.1640000000000001</v>
      </c>
      <c r="L43" s="29" t="s">
        <v>383</v>
      </c>
      <c r="M43" s="29">
        <v>1</v>
      </c>
      <c r="N43" s="29">
        <v>0.4</v>
      </c>
      <c r="P43" s="29">
        <v>2.1640000000000001</v>
      </c>
      <c r="Q43" s="29" t="s">
        <v>384</v>
      </c>
    </row>
    <row r="44" spans="1:17" x14ac:dyDescent="0.3">
      <c r="B44" s="29">
        <v>3</v>
      </c>
      <c r="C44" s="29" t="s">
        <v>386</v>
      </c>
      <c r="D44" s="30">
        <v>9</v>
      </c>
      <c r="E44" s="29">
        <v>150</v>
      </c>
      <c r="F44" s="29">
        <v>150</v>
      </c>
      <c r="G44" s="29" t="s">
        <v>292</v>
      </c>
      <c r="H44" s="29">
        <v>1</v>
      </c>
      <c r="J44" s="29">
        <v>1.5896249999999998</v>
      </c>
      <c r="K44" s="29">
        <v>1.5896249999999998</v>
      </c>
      <c r="L44" s="29" t="s">
        <v>293</v>
      </c>
      <c r="M44" s="29">
        <v>1</v>
      </c>
      <c r="O44" s="29">
        <v>1</v>
      </c>
      <c r="P44" s="29">
        <v>1.5896249999999998</v>
      </c>
      <c r="Q44" s="29" t="s">
        <v>294</v>
      </c>
    </row>
    <row r="45" spans="1:17" x14ac:dyDescent="0.3">
      <c r="B45" s="29">
        <v>4</v>
      </c>
      <c r="C45" s="29" t="s">
        <v>387</v>
      </c>
      <c r="D45" s="30" t="s">
        <v>388</v>
      </c>
      <c r="E45" s="29">
        <v>150</v>
      </c>
      <c r="G45" s="29" t="s">
        <v>292</v>
      </c>
      <c r="H45" s="29">
        <v>2</v>
      </c>
      <c r="I45" s="29">
        <v>2.95</v>
      </c>
      <c r="J45" s="29">
        <v>0.4425</v>
      </c>
      <c r="K45" s="29">
        <v>0.88500000000000001</v>
      </c>
      <c r="L45" s="29" t="s">
        <v>383</v>
      </c>
      <c r="M45" s="29">
        <v>1</v>
      </c>
      <c r="N45" s="29">
        <v>0.3</v>
      </c>
      <c r="O45" s="29">
        <v>2</v>
      </c>
      <c r="P45" s="29">
        <v>0.88500000000000001</v>
      </c>
      <c r="Q45" s="29" t="s">
        <v>384</v>
      </c>
    </row>
    <row r="46" spans="1:17" x14ac:dyDescent="0.3">
      <c r="A46" s="29" t="s">
        <v>306</v>
      </c>
      <c r="B46" s="29">
        <v>1</v>
      </c>
      <c r="C46" s="29" t="s">
        <v>380</v>
      </c>
      <c r="D46" s="30" t="s">
        <v>381</v>
      </c>
      <c r="E46" s="29">
        <v>170</v>
      </c>
      <c r="G46" s="29" t="s">
        <v>382</v>
      </c>
      <c r="H46" s="29">
        <v>1</v>
      </c>
      <c r="I46" s="29">
        <v>5.41</v>
      </c>
      <c r="J46" s="29">
        <v>0.91970000000000007</v>
      </c>
      <c r="K46" s="29">
        <v>0.91970000000000007</v>
      </c>
      <c r="L46" s="29" t="s">
        <v>383</v>
      </c>
      <c r="M46" s="29">
        <v>1</v>
      </c>
      <c r="N46" s="29">
        <v>0.17</v>
      </c>
      <c r="P46" s="29">
        <v>0.91970000000000007</v>
      </c>
      <c r="Q46" s="29" t="s">
        <v>384</v>
      </c>
    </row>
    <row r="47" spans="1:17" x14ac:dyDescent="0.3">
      <c r="B47" s="29">
        <v>2</v>
      </c>
      <c r="C47" s="29" t="s">
        <v>380</v>
      </c>
      <c r="D47" s="30" t="s">
        <v>381</v>
      </c>
      <c r="E47" s="29">
        <v>600</v>
      </c>
      <c r="G47" s="29" t="s">
        <v>385</v>
      </c>
      <c r="H47" s="29">
        <v>1</v>
      </c>
      <c r="I47" s="29">
        <v>5.41</v>
      </c>
      <c r="J47" s="29">
        <v>3.246</v>
      </c>
      <c r="K47" s="29">
        <v>3.246</v>
      </c>
      <c r="L47" s="29" t="s">
        <v>383</v>
      </c>
      <c r="M47" s="29">
        <v>1</v>
      </c>
      <c r="N47" s="29">
        <v>0.6</v>
      </c>
      <c r="P47" s="29">
        <v>3.246</v>
      </c>
      <c r="Q47" s="29" t="s">
        <v>384</v>
      </c>
    </row>
    <row r="48" spans="1:17" x14ac:dyDescent="0.3">
      <c r="B48" s="29">
        <v>3</v>
      </c>
      <c r="C48" s="29" t="s">
        <v>386</v>
      </c>
      <c r="D48" s="30">
        <v>9</v>
      </c>
      <c r="E48" s="29">
        <v>150</v>
      </c>
      <c r="F48" s="29">
        <v>150</v>
      </c>
      <c r="G48" s="29" t="s">
        <v>292</v>
      </c>
      <c r="H48" s="29">
        <v>1</v>
      </c>
      <c r="J48" s="29">
        <v>1.5896249999999998</v>
      </c>
      <c r="K48" s="29">
        <v>1.5896249999999998</v>
      </c>
      <c r="L48" s="29" t="s">
        <v>293</v>
      </c>
      <c r="M48" s="29">
        <v>1</v>
      </c>
      <c r="O48" s="29">
        <v>1</v>
      </c>
      <c r="P48" s="29">
        <v>1.5896249999999998</v>
      </c>
      <c r="Q48" s="29" t="s">
        <v>294</v>
      </c>
    </row>
    <row r="49" spans="1:17" x14ac:dyDescent="0.3">
      <c r="B49" s="29">
        <v>4</v>
      </c>
      <c r="C49" s="29" t="s">
        <v>389</v>
      </c>
      <c r="D49" s="30">
        <v>9</v>
      </c>
      <c r="E49" s="29">
        <v>290</v>
      </c>
      <c r="F49" s="29">
        <v>290</v>
      </c>
      <c r="G49" s="29" t="s">
        <v>292</v>
      </c>
      <c r="H49" s="29">
        <v>1</v>
      </c>
      <c r="J49" s="29">
        <v>5.9416649999999995</v>
      </c>
      <c r="K49" s="29">
        <v>5.9416649999999995</v>
      </c>
      <c r="L49" s="29" t="s">
        <v>293</v>
      </c>
      <c r="M49" s="29">
        <v>1</v>
      </c>
      <c r="O49" s="29">
        <v>1</v>
      </c>
      <c r="P49" s="29">
        <v>5.9416649999999995</v>
      </c>
      <c r="Q49" s="29" t="s">
        <v>294</v>
      </c>
    </row>
    <row r="50" spans="1:17" x14ac:dyDescent="0.3">
      <c r="B50" s="29">
        <v>5</v>
      </c>
      <c r="C50" s="29" t="s">
        <v>390</v>
      </c>
      <c r="D50" s="30" t="s">
        <v>295</v>
      </c>
      <c r="G50" s="29" t="s">
        <v>382</v>
      </c>
      <c r="H50" s="29">
        <v>4</v>
      </c>
      <c r="J50" s="29">
        <v>1</v>
      </c>
      <c r="K50" s="29">
        <v>4</v>
      </c>
      <c r="L50" s="29" t="s">
        <v>391</v>
      </c>
      <c r="M50" s="29">
        <v>1</v>
      </c>
      <c r="O50" s="29">
        <v>4</v>
      </c>
      <c r="P50" s="29">
        <v>4</v>
      </c>
      <c r="Q50" s="29" t="s">
        <v>392</v>
      </c>
    </row>
    <row r="51" spans="1:17" x14ac:dyDescent="0.3">
      <c r="B51" s="29">
        <v>6</v>
      </c>
      <c r="C51" s="45" t="s">
        <v>387</v>
      </c>
      <c r="D51" s="30" t="s">
        <v>388</v>
      </c>
      <c r="E51" s="29">
        <v>150</v>
      </c>
      <c r="G51" s="29" t="s">
        <v>292</v>
      </c>
      <c r="H51" s="29">
        <v>2</v>
      </c>
      <c r="I51" s="29">
        <v>2.95</v>
      </c>
      <c r="J51" s="29">
        <v>0.4425</v>
      </c>
      <c r="K51" s="29">
        <v>0.88500000000000001</v>
      </c>
      <c r="L51" s="29" t="s">
        <v>383</v>
      </c>
      <c r="M51" s="29">
        <v>1</v>
      </c>
      <c r="N51" s="29">
        <v>0.3</v>
      </c>
      <c r="O51" s="29">
        <v>2</v>
      </c>
      <c r="P51" s="29">
        <v>0.88500000000000001</v>
      </c>
      <c r="Q51" s="29" t="s">
        <v>384</v>
      </c>
    </row>
    <row r="52" spans="1:17" x14ac:dyDescent="0.3">
      <c r="A52" s="29" t="s">
        <v>307</v>
      </c>
      <c r="B52" s="29">
        <v>1</v>
      </c>
      <c r="C52" s="29" t="s">
        <v>380</v>
      </c>
      <c r="D52" s="30" t="s">
        <v>381</v>
      </c>
      <c r="E52" s="29">
        <v>170</v>
      </c>
      <c r="G52" s="29" t="s">
        <v>382</v>
      </c>
      <c r="H52" s="29">
        <v>1</v>
      </c>
      <c r="I52" s="29">
        <v>5.41</v>
      </c>
      <c r="J52" s="29">
        <v>0.91970000000000007</v>
      </c>
      <c r="K52" s="29">
        <v>0.91970000000000007</v>
      </c>
      <c r="L52" s="29" t="s">
        <v>383</v>
      </c>
      <c r="M52" s="29">
        <v>1</v>
      </c>
      <c r="N52" s="29">
        <v>0.17</v>
      </c>
      <c r="P52" s="29">
        <v>0.91970000000000007</v>
      </c>
      <c r="Q52" s="29" t="s">
        <v>384</v>
      </c>
    </row>
    <row r="53" spans="1:17" x14ac:dyDescent="0.3">
      <c r="B53" s="29">
        <v>2</v>
      </c>
      <c r="C53" s="29" t="s">
        <v>380</v>
      </c>
      <c r="D53" s="30" t="s">
        <v>381</v>
      </c>
      <c r="E53" s="29">
        <v>600</v>
      </c>
      <c r="G53" s="29" t="s">
        <v>385</v>
      </c>
      <c r="H53" s="29">
        <v>1</v>
      </c>
      <c r="I53" s="29">
        <v>5.41</v>
      </c>
      <c r="J53" s="29">
        <v>3.246</v>
      </c>
      <c r="K53" s="29">
        <v>3.246</v>
      </c>
      <c r="L53" s="29" t="s">
        <v>383</v>
      </c>
      <c r="M53" s="29">
        <v>1</v>
      </c>
      <c r="N53" s="29">
        <v>0.6</v>
      </c>
      <c r="P53" s="29">
        <v>3.246</v>
      </c>
      <c r="Q53" s="29" t="s">
        <v>384</v>
      </c>
    </row>
    <row r="54" spans="1:17" x14ac:dyDescent="0.3">
      <c r="B54" s="29">
        <v>3</v>
      </c>
      <c r="C54" s="29" t="s">
        <v>386</v>
      </c>
      <c r="D54" s="30">
        <v>9</v>
      </c>
      <c r="E54" s="29">
        <v>150</v>
      </c>
      <c r="F54" s="29">
        <v>150</v>
      </c>
      <c r="G54" s="29" t="s">
        <v>292</v>
      </c>
      <c r="H54" s="29">
        <v>1</v>
      </c>
      <c r="J54" s="29">
        <v>1.5896249999999998</v>
      </c>
      <c r="K54" s="29">
        <v>1.5896249999999998</v>
      </c>
      <c r="L54" s="29" t="s">
        <v>293</v>
      </c>
      <c r="M54" s="29">
        <v>1</v>
      </c>
      <c r="O54" s="29">
        <v>1</v>
      </c>
      <c r="P54" s="29">
        <v>1.5896249999999998</v>
      </c>
      <c r="Q54" s="29" t="s">
        <v>294</v>
      </c>
    </row>
    <row r="55" spans="1:17" x14ac:dyDescent="0.3">
      <c r="B55" s="29">
        <v>4</v>
      </c>
      <c r="C55" s="29" t="s">
        <v>389</v>
      </c>
      <c r="D55" s="30">
        <v>9</v>
      </c>
      <c r="E55" s="29">
        <v>290</v>
      </c>
      <c r="F55" s="29">
        <v>290</v>
      </c>
      <c r="G55" s="29" t="s">
        <v>292</v>
      </c>
      <c r="H55" s="29">
        <v>1</v>
      </c>
      <c r="J55" s="29">
        <v>5.9416649999999995</v>
      </c>
      <c r="K55" s="29">
        <v>5.9416649999999995</v>
      </c>
      <c r="L55" s="29" t="s">
        <v>293</v>
      </c>
      <c r="M55" s="29">
        <v>1</v>
      </c>
      <c r="O55" s="29">
        <v>1</v>
      </c>
      <c r="P55" s="29">
        <v>5.9416649999999995</v>
      </c>
      <c r="Q55" s="29" t="s">
        <v>294</v>
      </c>
    </row>
    <row r="56" spans="1:17" x14ac:dyDescent="0.3">
      <c r="B56" s="29">
        <v>5</v>
      </c>
      <c r="C56" s="29" t="s">
        <v>390</v>
      </c>
      <c r="D56" s="30" t="s">
        <v>295</v>
      </c>
      <c r="G56" s="29" t="s">
        <v>382</v>
      </c>
      <c r="H56" s="29">
        <v>4</v>
      </c>
      <c r="J56" s="29">
        <v>1</v>
      </c>
      <c r="K56" s="29">
        <v>4</v>
      </c>
      <c r="L56" s="29" t="s">
        <v>391</v>
      </c>
      <c r="M56" s="29">
        <v>1</v>
      </c>
      <c r="O56" s="29">
        <v>4</v>
      </c>
      <c r="P56" s="29">
        <v>4</v>
      </c>
      <c r="Q56" s="29" t="s">
        <v>392</v>
      </c>
    </row>
    <row r="57" spans="1:17" x14ac:dyDescent="0.3">
      <c r="B57" s="29">
        <v>6</v>
      </c>
      <c r="C57" s="29" t="s">
        <v>387</v>
      </c>
      <c r="D57" s="30" t="s">
        <v>388</v>
      </c>
      <c r="E57" s="29">
        <v>150</v>
      </c>
      <c r="G57" s="29" t="s">
        <v>292</v>
      </c>
      <c r="H57" s="29">
        <v>2</v>
      </c>
      <c r="I57" s="29">
        <v>2.95</v>
      </c>
      <c r="J57" s="29">
        <v>0.4425</v>
      </c>
      <c r="K57" s="29">
        <v>0.88500000000000001</v>
      </c>
      <c r="L57" s="29" t="s">
        <v>383</v>
      </c>
      <c r="M57" s="29">
        <v>1</v>
      </c>
      <c r="N57" s="29">
        <v>0.3</v>
      </c>
      <c r="O57" s="29">
        <v>2</v>
      </c>
      <c r="P57" s="29">
        <v>0.88500000000000001</v>
      </c>
      <c r="Q57" s="29" t="s">
        <v>384</v>
      </c>
    </row>
    <row r="58" spans="1:17" x14ac:dyDescent="0.3">
      <c r="A58" s="29" t="s">
        <v>308</v>
      </c>
      <c r="B58" s="29">
        <v>1</v>
      </c>
      <c r="C58" s="29" t="s">
        <v>380</v>
      </c>
      <c r="D58" s="30" t="s">
        <v>381</v>
      </c>
      <c r="E58" s="29">
        <v>170</v>
      </c>
      <c r="G58" s="29" t="s">
        <v>382</v>
      </c>
      <c r="H58" s="29">
        <v>1</v>
      </c>
      <c r="I58" s="29">
        <v>5.41</v>
      </c>
      <c r="J58" s="29">
        <v>0.91970000000000007</v>
      </c>
      <c r="K58" s="29">
        <v>0.91970000000000007</v>
      </c>
      <c r="L58" s="29" t="s">
        <v>383</v>
      </c>
      <c r="M58" s="29">
        <v>1</v>
      </c>
      <c r="N58" s="29">
        <v>0.17</v>
      </c>
      <c r="P58" s="29">
        <v>0.91970000000000007</v>
      </c>
      <c r="Q58" s="29" t="s">
        <v>384</v>
      </c>
    </row>
    <row r="59" spans="1:17" x14ac:dyDescent="0.3">
      <c r="B59" s="29">
        <v>2</v>
      </c>
      <c r="C59" s="29" t="s">
        <v>380</v>
      </c>
      <c r="D59" s="30" t="s">
        <v>381</v>
      </c>
      <c r="E59" s="29">
        <v>700</v>
      </c>
      <c r="G59" s="29" t="s">
        <v>385</v>
      </c>
      <c r="H59" s="29">
        <v>1</v>
      </c>
      <c r="I59" s="29">
        <v>5.41</v>
      </c>
      <c r="J59" s="29">
        <v>3.7869999999999999</v>
      </c>
      <c r="K59" s="29">
        <v>3.7869999999999999</v>
      </c>
      <c r="L59" s="29" t="s">
        <v>383</v>
      </c>
      <c r="M59" s="29">
        <v>1</v>
      </c>
      <c r="N59" s="29">
        <v>0.7</v>
      </c>
      <c r="P59" s="29">
        <v>3.7869999999999999</v>
      </c>
      <c r="Q59" s="29" t="s">
        <v>384</v>
      </c>
    </row>
    <row r="60" spans="1:17" x14ac:dyDescent="0.3">
      <c r="B60" s="29">
        <v>3</v>
      </c>
      <c r="C60" s="45" t="s">
        <v>386</v>
      </c>
      <c r="D60" s="30">
        <v>9</v>
      </c>
      <c r="E60" s="29">
        <v>150</v>
      </c>
      <c r="F60" s="29">
        <v>150</v>
      </c>
      <c r="G60" s="29" t="s">
        <v>292</v>
      </c>
      <c r="H60" s="29">
        <v>1</v>
      </c>
      <c r="J60" s="29">
        <v>1.5896249999999998</v>
      </c>
      <c r="K60" s="29">
        <v>1.5896249999999998</v>
      </c>
      <c r="L60" s="29" t="s">
        <v>293</v>
      </c>
      <c r="M60" s="29">
        <v>1</v>
      </c>
      <c r="O60" s="29">
        <v>1</v>
      </c>
      <c r="P60" s="29">
        <v>1.5896249999999998</v>
      </c>
      <c r="Q60" s="29" t="s">
        <v>294</v>
      </c>
    </row>
    <row r="61" spans="1:17" x14ac:dyDescent="0.3">
      <c r="B61" s="29">
        <v>4</v>
      </c>
      <c r="C61" s="29" t="s">
        <v>389</v>
      </c>
      <c r="D61" s="30">
        <v>9</v>
      </c>
      <c r="E61" s="29">
        <v>290</v>
      </c>
      <c r="F61" s="29">
        <v>290</v>
      </c>
      <c r="G61" s="29" t="s">
        <v>292</v>
      </c>
      <c r="H61" s="29">
        <v>1</v>
      </c>
      <c r="J61" s="29">
        <v>5.9416649999999995</v>
      </c>
      <c r="K61" s="29">
        <v>5.9416649999999995</v>
      </c>
      <c r="L61" s="29" t="s">
        <v>293</v>
      </c>
      <c r="M61" s="29">
        <v>1</v>
      </c>
      <c r="O61" s="29">
        <v>1</v>
      </c>
      <c r="P61" s="29">
        <v>5.9416649999999995</v>
      </c>
      <c r="Q61" s="29" t="s">
        <v>294</v>
      </c>
    </row>
    <row r="62" spans="1:17" x14ac:dyDescent="0.3">
      <c r="B62" s="29">
        <v>5</v>
      </c>
      <c r="C62" s="29" t="s">
        <v>390</v>
      </c>
      <c r="D62" s="30" t="s">
        <v>295</v>
      </c>
      <c r="G62" s="29" t="s">
        <v>382</v>
      </c>
      <c r="H62" s="29">
        <v>4</v>
      </c>
      <c r="J62" s="29">
        <v>1</v>
      </c>
      <c r="K62" s="29">
        <v>4</v>
      </c>
      <c r="L62" s="29" t="s">
        <v>391</v>
      </c>
      <c r="M62" s="29">
        <v>1</v>
      </c>
      <c r="O62" s="29">
        <v>4</v>
      </c>
      <c r="P62" s="29">
        <v>4</v>
      </c>
      <c r="Q62" s="29" t="s">
        <v>392</v>
      </c>
    </row>
    <row r="63" spans="1:17" x14ac:dyDescent="0.3">
      <c r="A63" s="29" t="s">
        <v>396</v>
      </c>
      <c r="B63" s="29">
        <v>1</v>
      </c>
      <c r="C63" s="29" t="s">
        <v>380</v>
      </c>
      <c r="D63" s="30" t="s">
        <v>381</v>
      </c>
      <c r="E63" s="29">
        <v>170</v>
      </c>
      <c r="G63" s="29" t="s">
        <v>382</v>
      </c>
      <c r="H63" s="29">
        <v>1</v>
      </c>
      <c r="I63" s="29">
        <v>5.41</v>
      </c>
      <c r="J63" s="29">
        <v>0.91970000000000007</v>
      </c>
      <c r="K63" s="29">
        <v>0.91970000000000007</v>
      </c>
      <c r="L63" s="29" t="s">
        <v>383</v>
      </c>
      <c r="M63" s="29">
        <v>1</v>
      </c>
      <c r="N63" s="29">
        <v>0.17</v>
      </c>
      <c r="P63" s="29">
        <v>0.91970000000000007</v>
      </c>
      <c r="Q63" s="29" t="s">
        <v>384</v>
      </c>
    </row>
    <row r="64" spans="1:17" x14ac:dyDescent="0.3">
      <c r="B64" s="29">
        <v>2</v>
      </c>
      <c r="C64" s="29" t="s">
        <v>380</v>
      </c>
      <c r="D64" s="30" t="s">
        <v>381</v>
      </c>
      <c r="E64" s="29">
        <v>900</v>
      </c>
      <c r="G64" s="29" t="s">
        <v>385</v>
      </c>
      <c r="H64" s="29">
        <v>1</v>
      </c>
      <c r="I64" s="29">
        <v>5.41</v>
      </c>
      <c r="J64" s="29">
        <v>4.8690000000000007</v>
      </c>
      <c r="K64" s="29">
        <v>4.8690000000000007</v>
      </c>
      <c r="L64" s="29" t="s">
        <v>383</v>
      </c>
      <c r="M64" s="29">
        <v>1</v>
      </c>
      <c r="N64" s="29">
        <v>0.9</v>
      </c>
      <c r="P64" s="29">
        <v>4.8690000000000007</v>
      </c>
      <c r="Q64" s="29" t="s">
        <v>384</v>
      </c>
    </row>
    <row r="65" spans="1:17" x14ac:dyDescent="0.3">
      <c r="B65" s="29">
        <v>3</v>
      </c>
      <c r="C65" s="29" t="s">
        <v>386</v>
      </c>
      <c r="D65" s="30">
        <v>9</v>
      </c>
      <c r="E65" s="29">
        <v>150</v>
      </c>
      <c r="F65" s="29">
        <v>150</v>
      </c>
      <c r="G65" s="29" t="s">
        <v>292</v>
      </c>
      <c r="H65" s="29">
        <v>1</v>
      </c>
      <c r="J65" s="29">
        <v>1.5896249999999998</v>
      </c>
      <c r="K65" s="29">
        <v>1.5896249999999998</v>
      </c>
      <c r="L65" s="29" t="s">
        <v>293</v>
      </c>
      <c r="M65" s="29">
        <v>1</v>
      </c>
      <c r="O65" s="29">
        <v>1</v>
      </c>
      <c r="P65" s="29">
        <v>1.5896249999999998</v>
      </c>
      <c r="Q65" s="29" t="s">
        <v>294</v>
      </c>
    </row>
    <row r="66" spans="1:17" x14ac:dyDescent="0.3">
      <c r="B66" s="29">
        <v>4</v>
      </c>
      <c r="C66" s="29" t="s">
        <v>389</v>
      </c>
      <c r="D66" s="30">
        <v>9</v>
      </c>
      <c r="E66" s="29">
        <v>290</v>
      </c>
      <c r="F66" s="29">
        <v>290</v>
      </c>
      <c r="G66" s="29" t="s">
        <v>292</v>
      </c>
      <c r="H66" s="29">
        <v>1</v>
      </c>
      <c r="J66" s="29">
        <v>5.9416649999999995</v>
      </c>
      <c r="K66" s="29">
        <v>5.9416649999999995</v>
      </c>
      <c r="L66" s="29" t="s">
        <v>293</v>
      </c>
      <c r="M66" s="29">
        <v>1</v>
      </c>
      <c r="O66" s="29">
        <v>1</v>
      </c>
      <c r="P66" s="29">
        <v>5.9416649999999995</v>
      </c>
      <c r="Q66" s="29" t="s">
        <v>294</v>
      </c>
    </row>
    <row r="67" spans="1:17" x14ac:dyDescent="0.3">
      <c r="B67" s="29">
        <v>5</v>
      </c>
      <c r="C67" s="29" t="s">
        <v>390</v>
      </c>
      <c r="D67" s="30" t="s">
        <v>295</v>
      </c>
      <c r="G67" s="29" t="s">
        <v>382</v>
      </c>
      <c r="H67" s="29">
        <v>4</v>
      </c>
      <c r="J67" s="29">
        <v>1</v>
      </c>
      <c r="K67" s="29">
        <v>4</v>
      </c>
      <c r="L67" s="29" t="s">
        <v>391</v>
      </c>
      <c r="M67" s="29">
        <v>1</v>
      </c>
      <c r="O67" s="29">
        <v>4</v>
      </c>
      <c r="P67" s="29">
        <v>4</v>
      </c>
      <c r="Q67" s="29" t="s">
        <v>392</v>
      </c>
    </row>
    <row r="68" spans="1:17" x14ac:dyDescent="0.3">
      <c r="B68" s="29">
        <v>6</v>
      </c>
      <c r="C68" s="29" t="s">
        <v>387</v>
      </c>
      <c r="D68" s="30" t="s">
        <v>388</v>
      </c>
      <c r="E68" s="29">
        <v>150</v>
      </c>
      <c r="G68" s="29" t="s">
        <v>292</v>
      </c>
      <c r="H68" s="29">
        <v>2</v>
      </c>
      <c r="I68" s="29">
        <v>2.95</v>
      </c>
      <c r="J68" s="29">
        <v>0.4425</v>
      </c>
      <c r="K68" s="29">
        <v>0.88500000000000001</v>
      </c>
      <c r="L68" s="29" t="s">
        <v>383</v>
      </c>
      <c r="M68" s="29">
        <v>1</v>
      </c>
      <c r="N68" s="29">
        <v>0.3</v>
      </c>
      <c r="O68" s="29">
        <v>2</v>
      </c>
      <c r="P68" s="29">
        <v>0.88500000000000001</v>
      </c>
      <c r="Q68" s="29" t="s">
        <v>384</v>
      </c>
    </row>
    <row r="69" spans="1:17" x14ac:dyDescent="0.3">
      <c r="A69" s="29" t="s">
        <v>397</v>
      </c>
      <c r="B69" s="29">
        <v>1</v>
      </c>
      <c r="C69" s="45" t="s">
        <v>380</v>
      </c>
      <c r="D69" s="30" t="s">
        <v>381</v>
      </c>
      <c r="E69" s="29">
        <v>170</v>
      </c>
      <c r="G69" s="29" t="s">
        <v>382</v>
      </c>
      <c r="H69" s="29">
        <v>1</v>
      </c>
      <c r="I69" s="29">
        <v>5.41</v>
      </c>
      <c r="J69" s="29">
        <v>0.91970000000000007</v>
      </c>
      <c r="K69" s="29">
        <v>0.91970000000000007</v>
      </c>
      <c r="L69" s="29" t="s">
        <v>383</v>
      </c>
      <c r="M69" s="29">
        <v>1</v>
      </c>
      <c r="N69" s="29">
        <v>0.17</v>
      </c>
      <c r="P69" s="29">
        <v>0.91970000000000007</v>
      </c>
      <c r="Q69" s="29" t="s">
        <v>384</v>
      </c>
    </row>
    <row r="70" spans="1:17" x14ac:dyDescent="0.3">
      <c r="B70" s="29">
        <v>2</v>
      </c>
      <c r="C70" s="29" t="s">
        <v>380</v>
      </c>
      <c r="D70" s="30" t="s">
        <v>381</v>
      </c>
      <c r="E70" s="29">
        <v>900</v>
      </c>
      <c r="G70" s="29" t="s">
        <v>385</v>
      </c>
      <c r="H70" s="29">
        <v>1</v>
      </c>
      <c r="I70" s="29">
        <v>5.41</v>
      </c>
      <c r="J70" s="29">
        <v>4.8690000000000007</v>
      </c>
      <c r="K70" s="29">
        <v>4.8690000000000007</v>
      </c>
      <c r="L70" s="29" t="s">
        <v>383</v>
      </c>
      <c r="M70" s="29">
        <v>1</v>
      </c>
      <c r="N70" s="29">
        <v>0.9</v>
      </c>
      <c r="P70" s="29">
        <v>4.8690000000000007</v>
      </c>
      <c r="Q70" s="29" t="s">
        <v>384</v>
      </c>
    </row>
    <row r="71" spans="1:17" x14ac:dyDescent="0.3">
      <c r="B71" s="29">
        <v>3</v>
      </c>
      <c r="C71" s="29" t="s">
        <v>386</v>
      </c>
      <c r="D71" s="30">
        <v>9</v>
      </c>
      <c r="E71" s="29">
        <v>150</v>
      </c>
      <c r="F71" s="29">
        <v>150</v>
      </c>
      <c r="G71" s="29" t="s">
        <v>292</v>
      </c>
      <c r="H71" s="29">
        <v>1</v>
      </c>
      <c r="J71" s="29">
        <v>1.5896249999999998</v>
      </c>
      <c r="K71" s="29">
        <v>1.5896249999999998</v>
      </c>
      <c r="L71" s="29" t="s">
        <v>293</v>
      </c>
      <c r="M71" s="29">
        <v>1</v>
      </c>
      <c r="O71" s="29">
        <v>1</v>
      </c>
      <c r="P71" s="29">
        <v>1.5896249999999998</v>
      </c>
      <c r="Q71" s="29" t="s">
        <v>294</v>
      </c>
    </row>
    <row r="72" spans="1:17" x14ac:dyDescent="0.3">
      <c r="B72" s="29">
        <v>4</v>
      </c>
      <c r="C72" s="29" t="s">
        <v>389</v>
      </c>
      <c r="D72" s="30">
        <v>9</v>
      </c>
      <c r="E72" s="29">
        <v>290</v>
      </c>
      <c r="F72" s="29">
        <v>290</v>
      </c>
      <c r="G72" s="29" t="s">
        <v>292</v>
      </c>
      <c r="H72" s="29">
        <v>1</v>
      </c>
      <c r="J72" s="29">
        <v>5.9416649999999995</v>
      </c>
      <c r="K72" s="29">
        <v>5.9416649999999995</v>
      </c>
      <c r="L72" s="29" t="s">
        <v>293</v>
      </c>
      <c r="M72" s="29">
        <v>1</v>
      </c>
      <c r="O72" s="29">
        <v>1</v>
      </c>
      <c r="P72" s="29">
        <v>5.9416649999999995</v>
      </c>
      <c r="Q72" s="29" t="s">
        <v>294</v>
      </c>
    </row>
    <row r="73" spans="1:17" x14ac:dyDescent="0.3">
      <c r="B73" s="29">
        <v>5</v>
      </c>
      <c r="C73" s="29" t="s">
        <v>390</v>
      </c>
      <c r="D73" s="30" t="s">
        <v>295</v>
      </c>
      <c r="G73" s="29" t="s">
        <v>382</v>
      </c>
      <c r="H73" s="29">
        <v>4</v>
      </c>
      <c r="J73" s="29">
        <v>1</v>
      </c>
      <c r="K73" s="29">
        <v>4</v>
      </c>
      <c r="L73" s="29" t="s">
        <v>391</v>
      </c>
      <c r="M73" s="29">
        <v>1</v>
      </c>
      <c r="O73" s="29">
        <v>4</v>
      </c>
      <c r="P73" s="29">
        <v>4</v>
      </c>
      <c r="Q73" s="29" t="s">
        <v>392</v>
      </c>
    </row>
    <row r="74" spans="1:17" x14ac:dyDescent="0.3">
      <c r="B74" s="29">
        <v>6</v>
      </c>
      <c r="C74" s="29" t="s">
        <v>387</v>
      </c>
      <c r="D74" s="30" t="s">
        <v>388</v>
      </c>
      <c r="E74" s="29">
        <v>150</v>
      </c>
      <c r="G74" s="29" t="s">
        <v>292</v>
      </c>
      <c r="H74" s="29">
        <v>2</v>
      </c>
      <c r="I74" s="29">
        <v>2.95</v>
      </c>
      <c r="J74" s="29">
        <v>0.4425</v>
      </c>
      <c r="K74" s="29">
        <v>0.88500000000000001</v>
      </c>
      <c r="L74" s="29" t="s">
        <v>383</v>
      </c>
      <c r="M74" s="29">
        <v>1</v>
      </c>
      <c r="N74" s="29">
        <v>0.3</v>
      </c>
      <c r="O74" s="29">
        <v>2</v>
      </c>
      <c r="P74" s="29">
        <v>0.88500000000000001</v>
      </c>
      <c r="Q74" s="29" t="s">
        <v>384</v>
      </c>
    </row>
    <row r="75" spans="1:17" x14ac:dyDescent="0.3">
      <c r="A75" s="29" t="s">
        <v>398</v>
      </c>
      <c r="B75" s="29">
        <v>1</v>
      </c>
      <c r="C75" s="45" t="s">
        <v>380</v>
      </c>
      <c r="D75" s="30" t="s">
        <v>1023</v>
      </c>
      <c r="E75" s="29">
        <v>193</v>
      </c>
      <c r="G75" s="29" t="s">
        <v>382</v>
      </c>
      <c r="H75" s="29">
        <v>1</v>
      </c>
      <c r="I75" s="29">
        <v>5.44</v>
      </c>
      <c r="J75" s="29">
        <v>1.0499200000000002</v>
      </c>
      <c r="K75" s="29">
        <v>1.0499200000000002</v>
      </c>
      <c r="L75" s="29" t="s">
        <v>383</v>
      </c>
      <c r="M75" s="29">
        <v>1</v>
      </c>
      <c r="N75" s="29">
        <v>0.193</v>
      </c>
      <c r="P75" s="29">
        <v>1.0499200000000002</v>
      </c>
      <c r="Q75" s="29" t="s">
        <v>384</v>
      </c>
    </row>
    <row r="76" spans="1:17" x14ac:dyDescent="0.3">
      <c r="B76" s="29">
        <v>2</v>
      </c>
      <c r="C76" s="29" t="s">
        <v>380</v>
      </c>
      <c r="D76" s="30" t="s">
        <v>1023</v>
      </c>
      <c r="E76" s="29">
        <v>100</v>
      </c>
      <c r="G76" s="29" t="s">
        <v>385</v>
      </c>
      <c r="H76" s="29">
        <v>1</v>
      </c>
      <c r="I76" s="29">
        <v>5.44</v>
      </c>
      <c r="J76" s="29">
        <v>0.54400000000000004</v>
      </c>
      <c r="K76" s="29">
        <v>0.54400000000000004</v>
      </c>
      <c r="L76" s="29" t="s">
        <v>383</v>
      </c>
      <c r="M76" s="29">
        <v>1</v>
      </c>
      <c r="N76" s="29">
        <v>0.1</v>
      </c>
      <c r="P76" s="29">
        <v>0.54400000000000004</v>
      </c>
      <c r="Q76" s="29" t="s">
        <v>384</v>
      </c>
    </row>
    <row r="77" spans="1:17" x14ac:dyDescent="0.3">
      <c r="B77" s="29">
        <v>3</v>
      </c>
      <c r="C77" s="29" t="s">
        <v>386</v>
      </c>
      <c r="D77" s="30">
        <v>9</v>
      </c>
      <c r="E77" s="29">
        <v>150</v>
      </c>
      <c r="F77" s="29">
        <v>150</v>
      </c>
      <c r="G77" s="29" t="s">
        <v>292</v>
      </c>
      <c r="H77" s="29">
        <v>1</v>
      </c>
      <c r="J77" s="29">
        <v>1.5896249999999998</v>
      </c>
      <c r="K77" s="29">
        <v>1.5896249999999998</v>
      </c>
      <c r="L77" s="29" t="s">
        <v>293</v>
      </c>
      <c r="M77" s="29">
        <v>1</v>
      </c>
      <c r="O77" s="29">
        <v>1</v>
      </c>
      <c r="P77" s="29">
        <v>1.5896249999999998</v>
      </c>
      <c r="Q77" s="29" t="s">
        <v>294</v>
      </c>
    </row>
    <row r="78" spans="1:17" x14ac:dyDescent="0.3">
      <c r="B78" s="29">
        <v>4</v>
      </c>
      <c r="C78" s="29" t="s">
        <v>387</v>
      </c>
      <c r="D78" s="30" t="s">
        <v>388</v>
      </c>
      <c r="E78" s="29">
        <v>150</v>
      </c>
      <c r="G78" s="29" t="s">
        <v>292</v>
      </c>
      <c r="H78" s="29">
        <v>2</v>
      </c>
      <c r="I78" s="29">
        <v>2.95</v>
      </c>
      <c r="J78" s="29">
        <v>0.4425</v>
      </c>
      <c r="K78" s="29">
        <v>0.88500000000000001</v>
      </c>
      <c r="L78" s="29" t="s">
        <v>383</v>
      </c>
      <c r="M78" s="29">
        <v>1</v>
      </c>
      <c r="N78" s="29">
        <v>0.3</v>
      </c>
      <c r="O78" s="29">
        <v>2</v>
      </c>
      <c r="P78" s="29">
        <v>0.88500000000000001</v>
      </c>
      <c r="Q78" s="29" t="s">
        <v>384</v>
      </c>
    </row>
    <row r="79" spans="1:17" x14ac:dyDescent="0.3">
      <c r="A79" s="29" t="s">
        <v>399</v>
      </c>
      <c r="B79" s="29">
        <v>1</v>
      </c>
      <c r="C79" s="45" t="s">
        <v>380</v>
      </c>
      <c r="D79" s="30" t="s">
        <v>1023</v>
      </c>
      <c r="E79" s="29">
        <v>193</v>
      </c>
      <c r="G79" s="29" t="s">
        <v>382</v>
      </c>
      <c r="H79" s="29">
        <v>1</v>
      </c>
      <c r="I79" s="29">
        <v>5.44</v>
      </c>
      <c r="J79" s="29">
        <v>1.0499200000000002</v>
      </c>
      <c r="K79" s="29">
        <v>1.0499200000000002</v>
      </c>
      <c r="L79" s="29" t="s">
        <v>383</v>
      </c>
      <c r="M79" s="29">
        <v>1</v>
      </c>
      <c r="N79" s="29">
        <v>0.193</v>
      </c>
      <c r="P79" s="29">
        <v>1.0499200000000002</v>
      </c>
      <c r="Q79" s="29" t="s">
        <v>384</v>
      </c>
    </row>
    <row r="80" spans="1:17" x14ac:dyDescent="0.3">
      <c r="B80" s="29">
        <v>2</v>
      </c>
      <c r="C80" s="29" t="s">
        <v>380</v>
      </c>
      <c r="D80" s="30" t="s">
        <v>1023</v>
      </c>
      <c r="E80" s="29">
        <v>100</v>
      </c>
      <c r="G80" s="29" t="s">
        <v>385</v>
      </c>
      <c r="H80" s="29">
        <v>1</v>
      </c>
      <c r="I80" s="29">
        <v>5.44</v>
      </c>
      <c r="J80" s="29">
        <v>0.54400000000000004</v>
      </c>
      <c r="K80" s="29">
        <v>0.54400000000000004</v>
      </c>
      <c r="L80" s="29" t="s">
        <v>383</v>
      </c>
      <c r="M80" s="29">
        <v>1</v>
      </c>
      <c r="N80" s="29">
        <v>0.1</v>
      </c>
      <c r="P80" s="29">
        <v>0.54400000000000004</v>
      </c>
      <c r="Q80" s="29" t="s">
        <v>384</v>
      </c>
    </row>
    <row r="81" spans="1:17" x14ac:dyDescent="0.3">
      <c r="B81" s="29">
        <v>3</v>
      </c>
      <c r="C81" s="29" t="s">
        <v>386</v>
      </c>
      <c r="D81" s="30">
        <v>9</v>
      </c>
      <c r="E81" s="29">
        <v>150</v>
      </c>
      <c r="F81" s="29">
        <v>150</v>
      </c>
      <c r="G81" s="29" t="s">
        <v>292</v>
      </c>
      <c r="H81" s="29">
        <v>1</v>
      </c>
      <c r="J81" s="29">
        <v>1.5896249999999998</v>
      </c>
      <c r="K81" s="29">
        <v>1.5896249999999998</v>
      </c>
      <c r="L81" s="29" t="s">
        <v>293</v>
      </c>
      <c r="M81" s="29">
        <v>1</v>
      </c>
      <c r="O81" s="29">
        <v>1</v>
      </c>
      <c r="P81" s="29">
        <v>1.5896249999999998</v>
      </c>
      <c r="Q81" s="29" t="s">
        <v>294</v>
      </c>
    </row>
    <row r="82" spans="1:17" x14ac:dyDescent="0.3">
      <c r="B82" s="29">
        <v>4</v>
      </c>
      <c r="C82" s="29" t="s">
        <v>387</v>
      </c>
      <c r="D82" s="30" t="s">
        <v>388</v>
      </c>
      <c r="E82" s="29">
        <v>150</v>
      </c>
      <c r="G82" s="29" t="s">
        <v>292</v>
      </c>
      <c r="H82" s="29">
        <v>2</v>
      </c>
      <c r="I82" s="29">
        <v>2.95</v>
      </c>
      <c r="J82" s="29">
        <v>0.4425</v>
      </c>
      <c r="K82" s="29">
        <v>0.88500000000000001</v>
      </c>
      <c r="L82" s="29" t="s">
        <v>383</v>
      </c>
      <c r="M82" s="29">
        <v>1</v>
      </c>
      <c r="N82" s="29">
        <v>0.3</v>
      </c>
      <c r="O82" s="29">
        <v>2</v>
      </c>
      <c r="P82" s="29">
        <v>0.88500000000000001</v>
      </c>
      <c r="Q82" s="29" t="s">
        <v>384</v>
      </c>
    </row>
    <row r="83" spans="1:17" x14ac:dyDescent="0.3">
      <c r="A83" s="29" t="s">
        <v>400</v>
      </c>
      <c r="B83" s="29">
        <v>1</v>
      </c>
      <c r="C83" s="29" t="s">
        <v>380</v>
      </c>
      <c r="D83" s="30" t="s">
        <v>1023</v>
      </c>
      <c r="E83" s="29">
        <v>193</v>
      </c>
      <c r="G83" s="29" t="s">
        <v>382</v>
      </c>
      <c r="H83" s="29">
        <v>1</v>
      </c>
      <c r="I83" s="29">
        <v>5.44</v>
      </c>
      <c r="J83" s="29">
        <v>1.0499200000000002</v>
      </c>
      <c r="K83" s="29">
        <v>1.0499200000000002</v>
      </c>
      <c r="L83" s="29" t="s">
        <v>383</v>
      </c>
      <c r="M83" s="29">
        <v>1</v>
      </c>
      <c r="N83" s="29">
        <v>0.193</v>
      </c>
      <c r="P83" s="29">
        <v>1.0499200000000002</v>
      </c>
      <c r="Q83" s="29" t="s">
        <v>384</v>
      </c>
    </row>
    <row r="84" spans="1:17" x14ac:dyDescent="0.3">
      <c r="B84" s="29">
        <v>2</v>
      </c>
      <c r="C84" s="45" t="s">
        <v>380</v>
      </c>
      <c r="D84" s="30" t="s">
        <v>1023</v>
      </c>
      <c r="E84" s="29">
        <v>200</v>
      </c>
      <c r="G84" s="29" t="s">
        <v>385</v>
      </c>
      <c r="H84" s="29">
        <v>1</v>
      </c>
      <c r="I84" s="29">
        <v>5.44</v>
      </c>
      <c r="J84" s="29">
        <v>1.0880000000000001</v>
      </c>
      <c r="K84" s="29">
        <v>1.0880000000000001</v>
      </c>
      <c r="L84" s="29" t="s">
        <v>383</v>
      </c>
      <c r="M84" s="29">
        <v>1</v>
      </c>
      <c r="N84" s="29">
        <v>0.2</v>
      </c>
      <c r="P84" s="29">
        <v>1.0880000000000001</v>
      </c>
      <c r="Q84" s="29" t="s">
        <v>384</v>
      </c>
    </row>
    <row r="85" spans="1:17" x14ac:dyDescent="0.3">
      <c r="B85" s="29">
        <v>3</v>
      </c>
      <c r="C85" s="29" t="s">
        <v>386</v>
      </c>
      <c r="D85" s="30">
        <v>9</v>
      </c>
      <c r="E85" s="29">
        <v>150</v>
      </c>
      <c r="F85" s="29">
        <v>150</v>
      </c>
      <c r="G85" s="29" t="s">
        <v>292</v>
      </c>
      <c r="H85" s="29">
        <v>1</v>
      </c>
      <c r="J85" s="29">
        <v>1.5896249999999998</v>
      </c>
      <c r="K85" s="29">
        <v>1.5896249999999998</v>
      </c>
      <c r="L85" s="29" t="s">
        <v>293</v>
      </c>
      <c r="M85" s="29">
        <v>1</v>
      </c>
      <c r="O85" s="29">
        <v>1</v>
      </c>
      <c r="P85" s="29">
        <v>1.5896249999999998</v>
      </c>
      <c r="Q85" s="29" t="s">
        <v>294</v>
      </c>
    </row>
    <row r="86" spans="1:17" x14ac:dyDescent="0.3">
      <c r="B86" s="29">
        <v>4</v>
      </c>
      <c r="C86" s="29" t="s">
        <v>387</v>
      </c>
      <c r="D86" s="30" t="s">
        <v>388</v>
      </c>
      <c r="E86" s="29">
        <v>150</v>
      </c>
      <c r="G86" s="29" t="s">
        <v>292</v>
      </c>
      <c r="H86" s="29">
        <v>2</v>
      </c>
      <c r="I86" s="29">
        <v>2.95</v>
      </c>
      <c r="J86" s="29">
        <v>0.4425</v>
      </c>
      <c r="K86" s="29">
        <v>0.88500000000000001</v>
      </c>
      <c r="L86" s="29" t="s">
        <v>383</v>
      </c>
      <c r="M86" s="29">
        <v>1</v>
      </c>
      <c r="N86" s="29">
        <v>0.3</v>
      </c>
      <c r="O86" s="29">
        <v>2</v>
      </c>
      <c r="P86" s="29">
        <v>0.88500000000000001</v>
      </c>
      <c r="Q86" s="29" t="s">
        <v>384</v>
      </c>
    </row>
    <row r="87" spans="1:17" x14ac:dyDescent="0.3">
      <c r="A87" s="29" t="s">
        <v>401</v>
      </c>
      <c r="B87" s="29">
        <v>1</v>
      </c>
      <c r="C87" s="29" t="s">
        <v>380</v>
      </c>
      <c r="D87" s="30" t="s">
        <v>1023</v>
      </c>
      <c r="E87" s="29">
        <v>193</v>
      </c>
      <c r="G87" s="29" t="s">
        <v>382</v>
      </c>
      <c r="H87" s="29">
        <v>1</v>
      </c>
      <c r="I87" s="29">
        <v>5.44</v>
      </c>
      <c r="J87" s="29">
        <v>1.0499200000000002</v>
      </c>
      <c r="K87" s="29">
        <v>1.0499200000000002</v>
      </c>
      <c r="L87" s="29" t="s">
        <v>383</v>
      </c>
      <c r="M87" s="29">
        <v>1</v>
      </c>
      <c r="N87" s="29">
        <v>0.193</v>
      </c>
      <c r="P87" s="29">
        <v>1.0499200000000002</v>
      </c>
      <c r="Q87" s="29" t="s">
        <v>384</v>
      </c>
    </row>
    <row r="88" spans="1:17" x14ac:dyDescent="0.3">
      <c r="B88" s="29">
        <v>2</v>
      </c>
      <c r="C88" s="29" t="s">
        <v>380</v>
      </c>
      <c r="D88" s="30" t="s">
        <v>1023</v>
      </c>
      <c r="E88" s="29">
        <v>400</v>
      </c>
      <c r="G88" s="29" t="s">
        <v>385</v>
      </c>
      <c r="H88" s="29">
        <v>1</v>
      </c>
      <c r="I88" s="29">
        <v>5.44</v>
      </c>
      <c r="J88" s="29">
        <v>2.1760000000000002</v>
      </c>
      <c r="K88" s="29">
        <v>2.1760000000000002</v>
      </c>
      <c r="L88" s="29" t="s">
        <v>383</v>
      </c>
      <c r="M88" s="29">
        <v>1</v>
      </c>
      <c r="N88" s="29">
        <v>0.4</v>
      </c>
      <c r="P88" s="29">
        <v>2.1760000000000002</v>
      </c>
      <c r="Q88" s="29" t="s">
        <v>384</v>
      </c>
    </row>
    <row r="89" spans="1:17" x14ac:dyDescent="0.3">
      <c r="B89" s="29">
        <v>3</v>
      </c>
      <c r="C89" s="45" t="s">
        <v>386</v>
      </c>
      <c r="D89" s="30">
        <v>9</v>
      </c>
      <c r="E89" s="29">
        <v>150</v>
      </c>
      <c r="F89" s="29">
        <v>150</v>
      </c>
      <c r="G89" s="29" t="s">
        <v>292</v>
      </c>
      <c r="H89" s="29">
        <v>1</v>
      </c>
      <c r="J89" s="29">
        <v>1.5896249999999998</v>
      </c>
      <c r="K89" s="29">
        <v>1.5896249999999998</v>
      </c>
      <c r="L89" s="29" t="s">
        <v>293</v>
      </c>
      <c r="M89" s="29">
        <v>1</v>
      </c>
      <c r="O89" s="29">
        <v>1</v>
      </c>
      <c r="P89" s="29">
        <v>1.5896249999999998</v>
      </c>
      <c r="Q89" s="29" t="s">
        <v>294</v>
      </c>
    </row>
    <row r="90" spans="1:17" x14ac:dyDescent="0.3">
      <c r="B90" s="29">
        <v>4</v>
      </c>
      <c r="C90" s="29" t="s">
        <v>389</v>
      </c>
      <c r="D90" s="30">
        <v>9</v>
      </c>
      <c r="E90" s="29">
        <v>290</v>
      </c>
      <c r="F90" s="29">
        <v>290</v>
      </c>
      <c r="G90" s="29" t="s">
        <v>292</v>
      </c>
      <c r="H90" s="29">
        <v>1</v>
      </c>
      <c r="J90" s="29">
        <v>5.9416649999999995</v>
      </c>
      <c r="K90" s="29">
        <v>5.9416649999999995</v>
      </c>
      <c r="L90" s="29" t="s">
        <v>293</v>
      </c>
      <c r="M90" s="29">
        <v>1</v>
      </c>
      <c r="O90" s="29">
        <v>1</v>
      </c>
      <c r="P90" s="29">
        <v>5.9416649999999995</v>
      </c>
      <c r="Q90" s="29" t="s">
        <v>294</v>
      </c>
    </row>
    <row r="91" spans="1:17" x14ac:dyDescent="0.3">
      <c r="B91" s="29">
        <v>5</v>
      </c>
      <c r="C91" s="29" t="s">
        <v>390</v>
      </c>
      <c r="D91" s="30" t="s">
        <v>295</v>
      </c>
      <c r="G91" s="29" t="s">
        <v>382</v>
      </c>
      <c r="H91" s="29">
        <v>4</v>
      </c>
      <c r="J91" s="29">
        <v>1</v>
      </c>
      <c r="K91" s="29">
        <v>4</v>
      </c>
      <c r="L91" s="29" t="s">
        <v>391</v>
      </c>
      <c r="M91" s="29">
        <v>1</v>
      </c>
      <c r="O91" s="29">
        <v>4</v>
      </c>
      <c r="P91" s="29">
        <v>4</v>
      </c>
      <c r="Q91" s="29" t="s">
        <v>392</v>
      </c>
    </row>
    <row r="92" spans="1:17" x14ac:dyDescent="0.3">
      <c r="B92" s="29">
        <v>6</v>
      </c>
      <c r="C92" s="29" t="s">
        <v>387</v>
      </c>
      <c r="D92" s="30" t="s">
        <v>388</v>
      </c>
      <c r="E92" s="29">
        <v>150</v>
      </c>
      <c r="G92" s="29" t="s">
        <v>292</v>
      </c>
      <c r="H92" s="29">
        <v>2</v>
      </c>
      <c r="I92" s="29">
        <v>2.95</v>
      </c>
      <c r="J92" s="29">
        <v>0.4425</v>
      </c>
      <c r="K92" s="29">
        <v>0.88500000000000001</v>
      </c>
      <c r="L92" s="29" t="s">
        <v>383</v>
      </c>
      <c r="M92" s="29">
        <v>1</v>
      </c>
      <c r="N92" s="29">
        <v>0.3</v>
      </c>
      <c r="O92" s="29">
        <v>2</v>
      </c>
      <c r="P92" s="29">
        <v>0.88500000000000001</v>
      </c>
      <c r="Q92" s="29" t="s">
        <v>384</v>
      </c>
    </row>
    <row r="93" spans="1:17" x14ac:dyDescent="0.3">
      <c r="A93" s="29" t="s">
        <v>402</v>
      </c>
      <c r="B93" s="29">
        <v>1</v>
      </c>
      <c r="C93" s="29" t="s">
        <v>380</v>
      </c>
      <c r="D93" s="30" t="s">
        <v>1023</v>
      </c>
      <c r="E93" s="29">
        <v>193</v>
      </c>
      <c r="G93" s="29" t="s">
        <v>382</v>
      </c>
      <c r="H93" s="29">
        <v>1</v>
      </c>
      <c r="I93" s="29">
        <v>5.44</v>
      </c>
      <c r="J93" s="29">
        <v>1.0499200000000002</v>
      </c>
      <c r="K93" s="29">
        <v>1.0499200000000002</v>
      </c>
      <c r="L93" s="29" t="s">
        <v>383</v>
      </c>
      <c r="M93" s="29">
        <v>1</v>
      </c>
      <c r="N93" s="29">
        <v>0.193</v>
      </c>
      <c r="P93" s="29">
        <v>1.0499200000000002</v>
      </c>
      <c r="Q93" s="29" t="s">
        <v>384</v>
      </c>
    </row>
    <row r="94" spans="1:17" x14ac:dyDescent="0.3">
      <c r="B94" s="29">
        <v>2</v>
      </c>
      <c r="C94" s="29" t="s">
        <v>380</v>
      </c>
      <c r="D94" s="30" t="s">
        <v>1023</v>
      </c>
      <c r="E94" s="29">
        <v>400</v>
      </c>
      <c r="G94" s="29" t="s">
        <v>385</v>
      </c>
      <c r="H94" s="29">
        <v>1</v>
      </c>
      <c r="I94" s="29">
        <v>5.44</v>
      </c>
      <c r="J94" s="29">
        <v>2.1760000000000002</v>
      </c>
      <c r="K94" s="29">
        <v>2.1760000000000002</v>
      </c>
      <c r="L94" s="29" t="s">
        <v>383</v>
      </c>
      <c r="M94" s="29">
        <v>1</v>
      </c>
      <c r="N94" s="29">
        <v>0.4</v>
      </c>
      <c r="P94" s="29">
        <v>2.1760000000000002</v>
      </c>
      <c r="Q94" s="29" t="s">
        <v>384</v>
      </c>
    </row>
    <row r="95" spans="1:17" x14ac:dyDescent="0.3">
      <c r="B95" s="29">
        <v>3</v>
      </c>
      <c r="C95" s="29" t="s">
        <v>386</v>
      </c>
      <c r="D95" s="30">
        <v>9</v>
      </c>
      <c r="E95" s="29">
        <v>150</v>
      </c>
      <c r="F95" s="29">
        <v>150</v>
      </c>
      <c r="G95" s="29" t="s">
        <v>292</v>
      </c>
      <c r="H95" s="29">
        <v>1</v>
      </c>
      <c r="J95" s="29">
        <v>1.5896249999999998</v>
      </c>
      <c r="K95" s="29">
        <v>1.5896249999999998</v>
      </c>
      <c r="L95" s="29" t="s">
        <v>293</v>
      </c>
      <c r="M95" s="29">
        <v>1</v>
      </c>
      <c r="O95" s="29">
        <v>1</v>
      </c>
      <c r="P95" s="29">
        <v>1.5896249999999998</v>
      </c>
      <c r="Q95" s="29" t="s">
        <v>294</v>
      </c>
    </row>
    <row r="96" spans="1:17" x14ac:dyDescent="0.3">
      <c r="B96" s="29">
        <v>4</v>
      </c>
      <c r="C96" s="29" t="s">
        <v>389</v>
      </c>
      <c r="D96" s="30">
        <v>9</v>
      </c>
      <c r="E96" s="29">
        <v>290</v>
      </c>
      <c r="F96" s="29">
        <v>290</v>
      </c>
      <c r="G96" s="29" t="s">
        <v>292</v>
      </c>
      <c r="H96" s="29">
        <v>1</v>
      </c>
      <c r="J96" s="29">
        <v>5.9416649999999995</v>
      </c>
      <c r="K96" s="29">
        <v>5.9416649999999995</v>
      </c>
      <c r="L96" s="29" t="s">
        <v>293</v>
      </c>
      <c r="M96" s="29">
        <v>1</v>
      </c>
      <c r="O96" s="29">
        <v>1</v>
      </c>
      <c r="P96" s="29">
        <v>5.9416649999999995</v>
      </c>
      <c r="Q96" s="29" t="s">
        <v>294</v>
      </c>
    </row>
    <row r="97" spans="1:17" x14ac:dyDescent="0.3">
      <c r="B97" s="29">
        <v>5</v>
      </c>
      <c r="C97" s="45" t="s">
        <v>390</v>
      </c>
      <c r="D97" s="30" t="s">
        <v>295</v>
      </c>
      <c r="G97" s="29" t="s">
        <v>382</v>
      </c>
      <c r="H97" s="29">
        <v>4</v>
      </c>
      <c r="J97" s="29">
        <v>1</v>
      </c>
      <c r="K97" s="29">
        <v>4</v>
      </c>
      <c r="L97" s="29" t="s">
        <v>391</v>
      </c>
      <c r="M97" s="29">
        <v>1</v>
      </c>
      <c r="O97" s="29">
        <v>4</v>
      </c>
      <c r="P97" s="29">
        <v>4</v>
      </c>
      <c r="Q97" s="29" t="s">
        <v>392</v>
      </c>
    </row>
    <row r="98" spans="1:17" x14ac:dyDescent="0.3">
      <c r="B98" s="29">
        <v>6</v>
      </c>
      <c r="C98" s="29" t="s">
        <v>387</v>
      </c>
      <c r="D98" s="30" t="s">
        <v>388</v>
      </c>
      <c r="E98" s="29">
        <v>150</v>
      </c>
      <c r="G98" s="29" t="s">
        <v>292</v>
      </c>
      <c r="H98" s="29">
        <v>2</v>
      </c>
      <c r="I98" s="29">
        <v>2.95</v>
      </c>
      <c r="J98" s="29">
        <v>0.4425</v>
      </c>
      <c r="K98" s="29">
        <v>0.88500000000000001</v>
      </c>
      <c r="L98" s="29" t="s">
        <v>383</v>
      </c>
      <c r="M98" s="29">
        <v>1</v>
      </c>
      <c r="N98" s="29">
        <v>0.3</v>
      </c>
      <c r="O98" s="29">
        <v>2</v>
      </c>
      <c r="P98" s="29">
        <v>0.88500000000000001</v>
      </c>
      <c r="Q98" s="29" t="s">
        <v>384</v>
      </c>
    </row>
    <row r="99" spans="1:17" x14ac:dyDescent="0.3">
      <c r="A99" s="29" t="s">
        <v>403</v>
      </c>
      <c r="B99" s="29">
        <v>1</v>
      </c>
      <c r="C99" s="29" t="s">
        <v>380</v>
      </c>
      <c r="D99" s="30" t="s">
        <v>1023</v>
      </c>
      <c r="E99" s="29">
        <v>193</v>
      </c>
      <c r="G99" s="29" t="s">
        <v>382</v>
      </c>
      <c r="H99" s="29">
        <v>1</v>
      </c>
      <c r="I99" s="29">
        <v>5.44</v>
      </c>
      <c r="J99" s="29">
        <v>1.0499200000000002</v>
      </c>
      <c r="K99" s="29">
        <v>1.0499200000000002</v>
      </c>
      <c r="L99" s="29" t="s">
        <v>383</v>
      </c>
      <c r="M99" s="29">
        <v>1</v>
      </c>
      <c r="N99" s="29">
        <v>0.193</v>
      </c>
      <c r="P99" s="29">
        <v>1.0499200000000002</v>
      </c>
      <c r="Q99" s="29" t="s">
        <v>384</v>
      </c>
    </row>
    <row r="100" spans="1:17" x14ac:dyDescent="0.3">
      <c r="B100" s="29">
        <v>2</v>
      </c>
      <c r="C100" s="29" t="s">
        <v>380</v>
      </c>
      <c r="D100" s="30" t="s">
        <v>1023</v>
      </c>
      <c r="E100" s="29">
        <v>400</v>
      </c>
      <c r="G100" s="29" t="s">
        <v>385</v>
      </c>
      <c r="H100" s="29">
        <v>1</v>
      </c>
      <c r="I100" s="29">
        <v>5.44</v>
      </c>
      <c r="J100" s="29">
        <v>2.1760000000000002</v>
      </c>
      <c r="K100" s="29">
        <v>2.1760000000000002</v>
      </c>
      <c r="L100" s="29" t="s">
        <v>383</v>
      </c>
      <c r="M100" s="29">
        <v>1</v>
      </c>
      <c r="N100" s="29">
        <v>0.4</v>
      </c>
      <c r="P100" s="29">
        <v>2.1760000000000002</v>
      </c>
      <c r="Q100" s="29" t="s">
        <v>384</v>
      </c>
    </row>
    <row r="101" spans="1:17" x14ac:dyDescent="0.3">
      <c r="B101" s="29">
        <v>3</v>
      </c>
      <c r="C101" s="29" t="s">
        <v>386</v>
      </c>
      <c r="D101" s="30">
        <v>9</v>
      </c>
      <c r="E101" s="29">
        <v>150</v>
      </c>
      <c r="F101" s="29">
        <v>150</v>
      </c>
      <c r="G101" s="29" t="s">
        <v>292</v>
      </c>
      <c r="H101" s="29">
        <v>1</v>
      </c>
      <c r="J101" s="29">
        <v>1.5896249999999998</v>
      </c>
      <c r="K101" s="29">
        <v>1.5896249999999998</v>
      </c>
      <c r="L101" s="29" t="s">
        <v>293</v>
      </c>
      <c r="M101" s="29">
        <v>1</v>
      </c>
      <c r="O101" s="29">
        <v>1</v>
      </c>
      <c r="P101" s="29">
        <v>1.5896249999999998</v>
      </c>
      <c r="Q101" s="29" t="s">
        <v>294</v>
      </c>
    </row>
    <row r="102" spans="1:17" x14ac:dyDescent="0.3">
      <c r="B102" s="29">
        <v>4</v>
      </c>
      <c r="C102" s="45" t="s">
        <v>389</v>
      </c>
      <c r="D102" s="30">
        <v>9</v>
      </c>
      <c r="E102" s="29">
        <v>290</v>
      </c>
      <c r="F102" s="29">
        <v>290</v>
      </c>
      <c r="G102" s="29" t="s">
        <v>292</v>
      </c>
      <c r="H102" s="29">
        <v>1</v>
      </c>
      <c r="J102" s="29">
        <v>5.9416649999999995</v>
      </c>
      <c r="K102" s="29">
        <v>5.9416649999999995</v>
      </c>
      <c r="L102" s="29" t="s">
        <v>293</v>
      </c>
      <c r="M102" s="29">
        <v>1</v>
      </c>
      <c r="O102" s="29">
        <v>1</v>
      </c>
      <c r="P102" s="29">
        <v>5.9416649999999995</v>
      </c>
      <c r="Q102" s="29" t="s">
        <v>294</v>
      </c>
    </row>
    <row r="103" spans="1:17" x14ac:dyDescent="0.3">
      <c r="B103" s="29">
        <v>5</v>
      </c>
      <c r="C103" s="29" t="s">
        <v>390</v>
      </c>
      <c r="D103" s="30" t="s">
        <v>295</v>
      </c>
      <c r="G103" s="29" t="s">
        <v>382</v>
      </c>
      <c r="H103" s="29">
        <v>4</v>
      </c>
      <c r="J103" s="29">
        <v>1</v>
      </c>
      <c r="K103" s="29">
        <v>4</v>
      </c>
      <c r="L103" s="29" t="s">
        <v>391</v>
      </c>
      <c r="M103" s="29">
        <v>1</v>
      </c>
      <c r="O103" s="29">
        <v>4</v>
      </c>
      <c r="P103" s="29">
        <v>4</v>
      </c>
      <c r="Q103" s="29" t="s">
        <v>392</v>
      </c>
    </row>
    <row r="104" spans="1:17" x14ac:dyDescent="0.3">
      <c r="B104" s="29">
        <v>6</v>
      </c>
      <c r="C104" s="29" t="s">
        <v>387</v>
      </c>
      <c r="D104" s="30" t="s">
        <v>388</v>
      </c>
      <c r="E104" s="29">
        <v>150</v>
      </c>
      <c r="G104" s="29" t="s">
        <v>292</v>
      </c>
      <c r="H104" s="29">
        <v>2</v>
      </c>
      <c r="I104" s="29">
        <v>2.95</v>
      </c>
      <c r="J104" s="29">
        <v>0.4425</v>
      </c>
      <c r="K104" s="29">
        <v>0.88500000000000001</v>
      </c>
      <c r="L104" s="29" t="s">
        <v>383</v>
      </c>
      <c r="M104" s="29">
        <v>1</v>
      </c>
      <c r="N104" s="29">
        <v>0.3</v>
      </c>
      <c r="O104" s="29">
        <v>2</v>
      </c>
      <c r="P104" s="29">
        <v>0.88500000000000001</v>
      </c>
      <c r="Q104" s="29" t="s">
        <v>384</v>
      </c>
    </row>
    <row r="105" spans="1:17" x14ac:dyDescent="0.3">
      <c r="A105" s="29" t="s">
        <v>403</v>
      </c>
      <c r="B105" s="29">
        <v>1</v>
      </c>
      <c r="C105" s="45" t="s">
        <v>380</v>
      </c>
      <c r="D105" s="30" t="s">
        <v>1023</v>
      </c>
      <c r="E105" s="29">
        <v>193</v>
      </c>
      <c r="G105" s="29" t="s">
        <v>382</v>
      </c>
      <c r="H105" s="29">
        <v>1</v>
      </c>
      <c r="I105" s="29">
        <v>5.44</v>
      </c>
      <c r="J105" s="29">
        <v>1.0499200000000002</v>
      </c>
      <c r="K105" s="29">
        <v>1.0499200000000002</v>
      </c>
      <c r="L105" s="29" t="s">
        <v>383</v>
      </c>
      <c r="M105" s="29">
        <v>1</v>
      </c>
      <c r="N105" s="29">
        <v>0.193</v>
      </c>
      <c r="P105" s="29">
        <v>1.0499200000000002</v>
      </c>
      <c r="Q105" s="29" t="s">
        <v>384</v>
      </c>
    </row>
    <row r="106" spans="1:17" x14ac:dyDescent="0.3">
      <c r="B106" s="29">
        <v>2</v>
      </c>
      <c r="C106" s="29" t="s">
        <v>380</v>
      </c>
      <c r="D106" s="30" t="s">
        <v>1023</v>
      </c>
      <c r="E106" s="29">
        <v>400</v>
      </c>
      <c r="G106" s="29" t="s">
        <v>385</v>
      </c>
      <c r="H106" s="29">
        <v>1</v>
      </c>
      <c r="I106" s="29">
        <v>5.44</v>
      </c>
      <c r="J106" s="29">
        <v>2.1760000000000002</v>
      </c>
      <c r="K106" s="29">
        <v>2.1760000000000002</v>
      </c>
      <c r="L106" s="29" t="s">
        <v>383</v>
      </c>
      <c r="M106" s="29">
        <v>1</v>
      </c>
      <c r="N106" s="29">
        <v>0.4</v>
      </c>
      <c r="P106" s="29">
        <v>2.1760000000000002</v>
      </c>
      <c r="Q106" s="29" t="s">
        <v>384</v>
      </c>
    </row>
    <row r="107" spans="1:17" x14ac:dyDescent="0.3">
      <c r="B107" s="29">
        <v>3</v>
      </c>
      <c r="C107" s="29" t="s">
        <v>386</v>
      </c>
      <c r="D107" s="30">
        <v>9</v>
      </c>
      <c r="E107" s="29">
        <v>150</v>
      </c>
      <c r="F107" s="29">
        <v>150</v>
      </c>
      <c r="G107" s="29" t="s">
        <v>292</v>
      </c>
      <c r="H107" s="29">
        <v>1</v>
      </c>
      <c r="J107" s="29">
        <v>1.5896249999999998</v>
      </c>
      <c r="K107" s="29">
        <v>1.5896249999999998</v>
      </c>
      <c r="L107" s="29" t="s">
        <v>293</v>
      </c>
      <c r="M107" s="29">
        <v>1</v>
      </c>
      <c r="O107" s="29">
        <v>1</v>
      </c>
      <c r="P107" s="29">
        <v>1.5896249999999998</v>
      </c>
      <c r="Q107" s="29" t="s">
        <v>294</v>
      </c>
    </row>
    <row r="108" spans="1:17" x14ac:dyDescent="0.3">
      <c r="B108" s="29">
        <v>4</v>
      </c>
      <c r="C108" s="29" t="s">
        <v>389</v>
      </c>
      <c r="D108" s="30">
        <v>9</v>
      </c>
      <c r="E108" s="29">
        <v>290</v>
      </c>
      <c r="F108" s="29">
        <v>290</v>
      </c>
      <c r="G108" s="29" t="s">
        <v>292</v>
      </c>
      <c r="H108" s="29">
        <v>1</v>
      </c>
      <c r="J108" s="29">
        <v>5.9416649999999995</v>
      </c>
      <c r="K108" s="29">
        <v>5.9416649999999995</v>
      </c>
      <c r="L108" s="29" t="s">
        <v>293</v>
      </c>
      <c r="M108" s="29">
        <v>1</v>
      </c>
      <c r="O108" s="29">
        <v>1</v>
      </c>
      <c r="P108" s="29">
        <v>5.9416649999999995</v>
      </c>
      <c r="Q108" s="29" t="s">
        <v>294</v>
      </c>
    </row>
    <row r="109" spans="1:17" x14ac:dyDescent="0.3">
      <c r="B109" s="29">
        <v>5</v>
      </c>
      <c r="C109" s="29" t="s">
        <v>390</v>
      </c>
      <c r="D109" s="30" t="s">
        <v>295</v>
      </c>
      <c r="G109" s="29" t="s">
        <v>382</v>
      </c>
      <c r="H109" s="29">
        <v>4</v>
      </c>
      <c r="J109" s="29">
        <v>1</v>
      </c>
      <c r="K109" s="29">
        <v>4</v>
      </c>
      <c r="L109" s="29" t="s">
        <v>391</v>
      </c>
      <c r="M109" s="29">
        <v>1</v>
      </c>
      <c r="O109" s="29">
        <v>4</v>
      </c>
      <c r="P109" s="29">
        <v>4</v>
      </c>
      <c r="Q109" s="29" t="s">
        <v>392</v>
      </c>
    </row>
    <row r="110" spans="1:17" x14ac:dyDescent="0.3">
      <c r="B110" s="29">
        <v>6</v>
      </c>
      <c r="C110" s="29" t="s">
        <v>387</v>
      </c>
      <c r="D110" s="30" t="s">
        <v>388</v>
      </c>
      <c r="E110" s="29">
        <v>150</v>
      </c>
      <c r="G110" s="29" t="s">
        <v>292</v>
      </c>
      <c r="H110" s="29">
        <v>2</v>
      </c>
      <c r="I110" s="29">
        <v>2.95</v>
      </c>
      <c r="J110" s="29">
        <v>0.4425</v>
      </c>
      <c r="K110" s="29">
        <v>0.88500000000000001</v>
      </c>
      <c r="L110" s="29" t="s">
        <v>383</v>
      </c>
      <c r="M110" s="29">
        <v>1</v>
      </c>
      <c r="N110" s="29">
        <v>0.3</v>
      </c>
      <c r="O110" s="29">
        <v>2</v>
      </c>
      <c r="P110" s="29">
        <v>0.88500000000000001</v>
      </c>
      <c r="Q110" s="29" t="s">
        <v>384</v>
      </c>
    </row>
    <row r="111" spans="1:17" x14ac:dyDescent="0.3">
      <c r="A111" s="29" t="s">
        <v>404</v>
      </c>
      <c r="B111" s="29">
        <v>1</v>
      </c>
      <c r="C111" s="29" t="s">
        <v>380</v>
      </c>
      <c r="D111" s="30" t="s">
        <v>1023</v>
      </c>
      <c r="E111" s="29">
        <v>193</v>
      </c>
      <c r="G111" s="29" t="s">
        <v>382</v>
      </c>
      <c r="H111" s="29">
        <v>1</v>
      </c>
      <c r="I111" s="29">
        <v>5.44</v>
      </c>
      <c r="J111" s="29">
        <v>1.0499200000000002</v>
      </c>
      <c r="K111" s="29">
        <v>1.0499200000000002</v>
      </c>
      <c r="L111" s="29" t="s">
        <v>383</v>
      </c>
      <c r="M111" s="29">
        <v>1</v>
      </c>
      <c r="N111" s="29">
        <v>0.193</v>
      </c>
      <c r="P111" s="29">
        <v>1.0499200000000002</v>
      </c>
      <c r="Q111" s="29" t="s">
        <v>384</v>
      </c>
    </row>
    <row r="112" spans="1:17" x14ac:dyDescent="0.3">
      <c r="B112" s="29">
        <v>2</v>
      </c>
      <c r="C112" s="29" t="s">
        <v>380</v>
      </c>
      <c r="D112" s="30" t="s">
        <v>1023</v>
      </c>
      <c r="E112" s="29">
        <v>500</v>
      </c>
      <c r="G112" s="29" t="s">
        <v>385</v>
      </c>
      <c r="H112" s="29">
        <v>1</v>
      </c>
      <c r="I112" s="29">
        <v>5.44</v>
      </c>
      <c r="J112" s="29">
        <v>2.72</v>
      </c>
      <c r="K112" s="29">
        <v>2.72</v>
      </c>
      <c r="L112" s="29" t="s">
        <v>383</v>
      </c>
      <c r="M112" s="29">
        <v>1</v>
      </c>
      <c r="N112" s="29">
        <v>0.5</v>
      </c>
      <c r="P112" s="29">
        <v>2.72</v>
      </c>
      <c r="Q112" s="29" t="s">
        <v>384</v>
      </c>
    </row>
    <row r="113" spans="1:17" x14ac:dyDescent="0.3">
      <c r="B113" s="29">
        <v>3</v>
      </c>
      <c r="C113" s="45" t="s">
        <v>386</v>
      </c>
      <c r="D113" s="30">
        <v>9</v>
      </c>
      <c r="E113" s="29">
        <v>150</v>
      </c>
      <c r="F113" s="29">
        <v>150</v>
      </c>
      <c r="G113" s="29" t="s">
        <v>292</v>
      </c>
      <c r="H113" s="29">
        <v>1</v>
      </c>
      <c r="J113" s="29">
        <v>1.5896249999999998</v>
      </c>
      <c r="K113" s="29">
        <v>1.5896249999999998</v>
      </c>
      <c r="L113" s="29" t="s">
        <v>293</v>
      </c>
      <c r="M113" s="29">
        <v>1</v>
      </c>
      <c r="O113" s="29">
        <v>1</v>
      </c>
      <c r="P113" s="29">
        <v>1.5896249999999998</v>
      </c>
      <c r="Q113" s="29" t="s">
        <v>294</v>
      </c>
    </row>
    <row r="114" spans="1:17" x14ac:dyDescent="0.3">
      <c r="A114" s="29" t="s">
        <v>405</v>
      </c>
      <c r="B114" s="29">
        <v>1</v>
      </c>
      <c r="C114" s="29" t="s">
        <v>380</v>
      </c>
      <c r="D114" s="30" t="s">
        <v>1023</v>
      </c>
      <c r="E114" s="29">
        <v>193</v>
      </c>
      <c r="G114" s="29" t="s">
        <v>382</v>
      </c>
      <c r="H114" s="29">
        <v>1</v>
      </c>
      <c r="I114" s="29">
        <v>5.44</v>
      </c>
      <c r="J114" s="29">
        <v>1.0499200000000002</v>
      </c>
      <c r="K114" s="29">
        <v>1.0499200000000002</v>
      </c>
      <c r="L114" s="29" t="s">
        <v>383</v>
      </c>
      <c r="M114" s="29">
        <v>1</v>
      </c>
      <c r="N114" s="29">
        <v>0.193</v>
      </c>
      <c r="P114" s="29">
        <v>1.0499200000000002</v>
      </c>
      <c r="Q114" s="29" t="s">
        <v>384</v>
      </c>
    </row>
    <row r="115" spans="1:17" x14ac:dyDescent="0.3">
      <c r="B115" s="29">
        <v>2</v>
      </c>
      <c r="C115" s="29" t="s">
        <v>380</v>
      </c>
      <c r="D115" s="30" t="s">
        <v>1023</v>
      </c>
      <c r="E115" s="29">
        <v>700</v>
      </c>
      <c r="G115" s="29" t="s">
        <v>385</v>
      </c>
      <c r="H115" s="29">
        <v>1</v>
      </c>
      <c r="I115" s="29">
        <v>5.44</v>
      </c>
      <c r="J115" s="29">
        <v>3.8079999999999998</v>
      </c>
      <c r="K115" s="29">
        <v>3.8079999999999998</v>
      </c>
      <c r="L115" s="29" t="s">
        <v>383</v>
      </c>
      <c r="M115" s="29">
        <v>1</v>
      </c>
      <c r="N115" s="29">
        <v>0.7</v>
      </c>
      <c r="P115" s="29">
        <v>3.8079999999999998</v>
      </c>
      <c r="Q115" s="29" t="s">
        <v>384</v>
      </c>
    </row>
    <row r="116" spans="1:17" x14ac:dyDescent="0.3">
      <c r="B116" s="29">
        <v>3</v>
      </c>
      <c r="C116" s="29" t="s">
        <v>386</v>
      </c>
      <c r="D116" s="30">
        <v>9</v>
      </c>
      <c r="E116" s="29">
        <v>150</v>
      </c>
      <c r="F116" s="29">
        <v>150</v>
      </c>
      <c r="G116" s="29" t="s">
        <v>292</v>
      </c>
      <c r="H116" s="29">
        <v>1</v>
      </c>
      <c r="J116" s="29">
        <v>1.5896249999999998</v>
      </c>
      <c r="K116" s="29">
        <v>1.5896249999999998</v>
      </c>
      <c r="L116" s="29" t="s">
        <v>293</v>
      </c>
      <c r="M116" s="29">
        <v>1</v>
      </c>
      <c r="O116" s="29">
        <v>1</v>
      </c>
      <c r="P116" s="29">
        <v>1.5896249999999998</v>
      </c>
      <c r="Q116" s="29" t="s">
        <v>294</v>
      </c>
    </row>
    <row r="117" spans="1:17" x14ac:dyDescent="0.3">
      <c r="B117" s="29">
        <v>4</v>
      </c>
      <c r="C117" s="29" t="s">
        <v>389</v>
      </c>
      <c r="D117" s="30">
        <v>9</v>
      </c>
      <c r="E117" s="29">
        <v>290</v>
      </c>
      <c r="F117" s="29">
        <v>290</v>
      </c>
      <c r="G117" s="29" t="s">
        <v>292</v>
      </c>
      <c r="H117" s="29">
        <v>1</v>
      </c>
      <c r="J117" s="29">
        <v>5.9416649999999995</v>
      </c>
      <c r="K117" s="29">
        <v>5.9416649999999995</v>
      </c>
      <c r="L117" s="29" t="s">
        <v>293</v>
      </c>
      <c r="M117" s="29">
        <v>1</v>
      </c>
      <c r="O117" s="29">
        <v>1</v>
      </c>
      <c r="P117" s="29">
        <v>5.9416649999999995</v>
      </c>
      <c r="Q117" s="29" t="s">
        <v>294</v>
      </c>
    </row>
    <row r="118" spans="1:17" x14ac:dyDescent="0.3">
      <c r="B118" s="29">
        <v>5</v>
      </c>
      <c r="C118" s="45" t="s">
        <v>390</v>
      </c>
      <c r="D118" s="30" t="s">
        <v>295</v>
      </c>
      <c r="G118" s="29" t="s">
        <v>382</v>
      </c>
      <c r="H118" s="29">
        <v>4</v>
      </c>
      <c r="J118" s="29">
        <v>1</v>
      </c>
      <c r="K118" s="29">
        <v>4</v>
      </c>
      <c r="L118" s="29" t="s">
        <v>391</v>
      </c>
      <c r="M118" s="29">
        <v>1</v>
      </c>
      <c r="O118" s="29">
        <v>4</v>
      </c>
      <c r="P118" s="29">
        <v>4</v>
      </c>
      <c r="Q118" s="29" t="s">
        <v>392</v>
      </c>
    </row>
    <row r="119" spans="1:17" x14ac:dyDescent="0.3">
      <c r="A119" s="29" t="s">
        <v>406</v>
      </c>
      <c r="B119" s="29">
        <v>1</v>
      </c>
      <c r="C119" s="29" t="s">
        <v>380</v>
      </c>
      <c r="D119" s="30" t="s">
        <v>1023</v>
      </c>
      <c r="E119" s="29">
        <v>193</v>
      </c>
      <c r="G119" s="29" t="s">
        <v>382</v>
      </c>
      <c r="H119" s="29">
        <v>1</v>
      </c>
      <c r="I119" s="29">
        <v>5.44</v>
      </c>
      <c r="J119" s="29">
        <v>1.0499200000000002</v>
      </c>
      <c r="K119" s="29">
        <v>1.0499200000000002</v>
      </c>
      <c r="L119" s="29" t="s">
        <v>383</v>
      </c>
      <c r="M119" s="29">
        <v>1</v>
      </c>
      <c r="N119" s="29">
        <v>0.193</v>
      </c>
      <c r="P119" s="29">
        <v>1.0499200000000002</v>
      </c>
      <c r="Q119" s="29" t="s">
        <v>384</v>
      </c>
    </row>
    <row r="120" spans="1:17" x14ac:dyDescent="0.3">
      <c r="B120" s="29">
        <v>2</v>
      </c>
      <c r="C120" s="29" t="s">
        <v>380</v>
      </c>
      <c r="D120" s="30" t="s">
        <v>1023</v>
      </c>
      <c r="E120" s="29">
        <v>700</v>
      </c>
      <c r="G120" s="29" t="s">
        <v>385</v>
      </c>
      <c r="H120" s="29">
        <v>1</v>
      </c>
      <c r="I120" s="29">
        <v>5.44</v>
      </c>
      <c r="J120" s="29">
        <v>3.8079999999999998</v>
      </c>
      <c r="K120" s="29">
        <v>3.8079999999999998</v>
      </c>
      <c r="L120" s="29" t="s">
        <v>383</v>
      </c>
      <c r="M120" s="29">
        <v>1</v>
      </c>
      <c r="N120" s="29">
        <v>0.7</v>
      </c>
      <c r="P120" s="29">
        <v>3.8079999999999998</v>
      </c>
      <c r="Q120" s="29" t="s">
        <v>384</v>
      </c>
    </row>
    <row r="121" spans="1:17" x14ac:dyDescent="0.3">
      <c r="B121" s="29">
        <v>3</v>
      </c>
      <c r="C121" s="45" t="s">
        <v>386</v>
      </c>
      <c r="D121" s="30">
        <v>9</v>
      </c>
      <c r="E121" s="29">
        <v>150</v>
      </c>
      <c r="F121" s="29">
        <v>150</v>
      </c>
      <c r="G121" s="29" t="s">
        <v>292</v>
      </c>
      <c r="H121" s="29">
        <v>1</v>
      </c>
      <c r="J121" s="29">
        <v>1.5896249999999998</v>
      </c>
      <c r="K121" s="29">
        <v>1.5896249999999998</v>
      </c>
      <c r="L121" s="29" t="s">
        <v>293</v>
      </c>
      <c r="M121" s="29">
        <v>1</v>
      </c>
      <c r="O121" s="29">
        <v>1</v>
      </c>
      <c r="P121" s="29">
        <v>1.5896249999999998</v>
      </c>
      <c r="Q121" s="29" t="s">
        <v>294</v>
      </c>
    </row>
    <row r="122" spans="1:17" x14ac:dyDescent="0.3">
      <c r="B122" s="29">
        <v>4</v>
      </c>
      <c r="C122" s="29" t="s">
        <v>389</v>
      </c>
      <c r="D122" s="30">
        <v>9</v>
      </c>
      <c r="E122" s="29">
        <v>290</v>
      </c>
      <c r="F122" s="29">
        <v>290</v>
      </c>
      <c r="G122" s="29" t="s">
        <v>292</v>
      </c>
      <c r="H122" s="29">
        <v>1</v>
      </c>
      <c r="J122" s="29">
        <v>5.9416649999999995</v>
      </c>
      <c r="K122" s="29">
        <v>5.9416649999999995</v>
      </c>
      <c r="L122" s="29" t="s">
        <v>293</v>
      </c>
      <c r="M122" s="29">
        <v>1</v>
      </c>
      <c r="O122" s="29">
        <v>1</v>
      </c>
      <c r="P122" s="29">
        <v>5.9416649999999995</v>
      </c>
      <c r="Q122" s="29" t="s">
        <v>294</v>
      </c>
    </row>
    <row r="123" spans="1:17" x14ac:dyDescent="0.3">
      <c r="B123" s="29">
        <v>5</v>
      </c>
      <c r="C123" s="29" t="s">
        <v>390</v>
      </c>
      <c r="D123" s="30" t="s">
        <v>295</v>
      </c>
      <c r="G123" s="29" t="s">
        <v>382</v>
      </c>
      <c r="H123" s="29">
        <v>4</v>
      </c>
      <c r="J123" s="29">
        <v>1</v>
      </c>
      <c r="K123" s="29">
        <v>4</v>
      </c>
      <c r="L123" s="29" t="s">
        <v>391</v>
      </c>
      <c r="M123" s="29">
        <v>1</v>
      </c>
      <c r="O123" s="29">
        <v>4</v>
      </c>
      <c r="P123" s="29">
        <v>4</v>
      </c>
      <c r="Q123" s="29" t="s">
        <v>392</v>
      </c>
    </row>
    <row r="124" spans="1:17" x14ac:dyDescent="0.3">
      <c r="B124" s="29">
        <v>6</v>
      </c>
      <c r="C124" s="29" t="s">
        <v>387</v>
      </c>
      <c r="D124" s="30" t="s">
        <v>388</v>
      </c>
      <c r="E124" s="29">
        <v>150</v>
      </c>
      <c r="G124" s="29" t="s">
        <v>292</v>
      </c>
      <c r="H124" s="29">
        <v>2</v>
      </c>
      <c r="I124" s="29">
        <v>2.95</v>
      </c>
      <c r="J124" s="29">
        <v>0.4425</v>
      </c>
      <c r="K124" s="29">
        <v>0.88500000000000001</v>
      </c>
      <c r="L124" s="29" t="s">
        <v>383</v>
      </c>
      <c r="M124" s="29">
        <v>1</v>
      </c>
      <c r="N124" s="29">
        <v>0.3</v>
      </c>
      <c r="O124" s="29">
        <v>2</v>
      </c>
      <c r="P124" s="29">
        <v>0.88500000000000001</v>
      </c>
      <c r="Q124" s="29" t="s">
        <v>384</v>
      </c>
    </row>
    <row r="125" spans="1:17" x14ac:dyDescent="0.3">
      <c r="A125" s="29" t="s">
        <v>406</v>
      </c>
      <c r="B125" s="29">
        <v>1</v>
      </c>
      <c r="C125" s="29" t="s">
        <v>380</v>
      </c>
      <c r="D125" s="30" t="s">
        <v>1023</v>
      </c>
      <c r="E125" s="29">
        <v>193</v>
      </c>
      <c r="G125" s="29" t="s">
        <v>382</v>
      </c>
      <c r="H125" s="29">
        <v>1</v>
      </c>
      <c r="I125" s="29">
        <v>5.44</v>
      </c>
      <c r="J125" s="29">
        <v>1.0499200000000002</v>
      </c>
      <c r="K125" s="29">
        <v>1.0499200000000002</v>
      </c>
      <c r="L125" s="29" t="s">
        <v>383</v>
      </c>
      <c r="M125" s="29">
        <v>1</v>
      </c>
      <c r="N125" s="29">
        <v>0.193</v>
      </c>
      <c r="P125" s="29">
        <v>1.0499200000000002</v>
      </c>
      <c r="Q125" s="29" t="s">
        <v>384</v>
      </c>
    </row>
    <row r="126" spans="1:17" x14ac:dyDescent="0.3">
      <c r="B126" s="29">
        <v>2</v>
      </c>
      <c r="C126" s="45" t="s">
        <v>380</v>
      </c>
      <c r="D126" s="30" t="s">
        <v>1023</v>
      </c>
      <c r="E126" s="29">
        <v>700</v>
      </c>
      <c r="G126" s="29" t="s">
        <v>385</v>
      </c>
      <c r="H126" s="29">
        <v>1</v>
      </c>
      <c r="I126" s="29">
        <v>5.44</v>
      </c>
      <c r="J126" s="29">
        <v>3.8079999999999998</v>
      </c>
      <c r="K126" s="29">
        <v>3.8079999999999998</v>
      </c>
      <c r="L126" s="29" t="s">
        <v>383</v>
      </c>
      <c r="M126" s="29">
        <v>1</v>
      </c>
      <c r="N126" s="29">
        <v>0.7</v>
      </c>
      <c r="P126" s="29">
        <v>3.8079999999999998</v>
      </c>
      <c r="Q126" s="29" t="s">
        <v>384</v>
      </c>
    </row>
    <row r="127" spans="1:17" x14ac:dyDescent="0.3">
      <c r="B127" s="29">
        <v>3</v>
      </c>
      <c r="C127" s="29" t="s">
        <v>386</v>
      </c>
      <c r="D127" s="30">
        <v>9</v>
      </c>
      <c r="E127" s="29">
        <v>150</v>
      </c>
      <c r="F127" s="29">
        <v>150</v>
      </c>
      <c r="G127" s="29" t="s">
        <v>292</v>
      </c>
      <c r="H127" s="29">
        <v>1</v>
      </c>
      <c r="J127" s="29">
        <v>1.5896249999999998</v>
      </c>
      <c r="K127" s="29">
        <v>1.5896249999999998</v>
      </c>
      <c r="L127" s="29" t="s">
        <v>293</v>
      </c>
      <c r="M127" s="29">
        <v>1</v>
      </c>
      <c r="O127" s="29">
        <v>1</v>
      </c>
      <c r="P127" s="29">
        <v>1.5896249999999998</v>
      </c>
      <c r="Q127" s="29" t="s">
        <v>294</v>
      </c>
    </row>
    <row r="128" spans="1:17" x14ac:dyDescent="0.3">
      <c r="B128" s="29">
        <v>4</v>
      </c>
      <c r="C128" s="29" t="s">
        <v>389</v>
      </c>
      <c r="D128" s="30">
        <v>9</v>
      </c>
      <c r="E128" s="29">
        <v>290</v>
      </c>
      <c r="F128" s="29">
        <v>290</v>
      </c>
      <c r="G128" s="29" t="s">
        <v>292</v>
      </c>
      <c r="H128" s="29">
        <v>1</v>
      </c>
      <c r="J128" s="29">
        <v>5.9416649999999995</v>
      </c>
      <c r="K128" s="29">
        <v>5.9416649999999995</v>
      </c>
      <c r="L128" s="29" t="s">
        <v>293</v>
      </c>
      <c r="M128" s="29">
        <v>1</v>
      </c>
      <c r="O128" s="29">
        <v>1</v>
      </c>
      <c r="P128" s="29">
        <v>5.9416649999999995</v>
      </c>
      <c r="Q128" s="29" t="s">
        <v>294</v>
      </c>
    </row>
    <row r="129" spans="1:17" x14ac:dyDescent="0.3">
      <c r="B129" s="29">
        <v>5</v>
      </c>
      <c r="C129" s="29" t="s">
        <v>390</v>
      </c>
      <c r="D129" s="30" t="s">
        <v>295</v>
      </c>
      <c r="G129" s="29" t="s">
        <v>382</v>
      </c>
      <c r="H129" s="29">
        <v>4</v>
      </c>
      <c r="J129" s="29">
        <v>1</v>
      </c>
      <c r="K129" s="29">
        <v>4</v>
      </c>
      <c r="L129" s="29" t="s">
        <v>391</v>
      </c>
      <c r="M129" s="29">
        <v>1</v>
      </c>
      <c r="O129" s="29">
        <v>4</v>
      </c>
      <c r="P129" s="29">
        <v>4</v>
      </c>
      <c r="Q129" s="29" t="s">
        <v>392</v>
      </c>
    </row>
    <row r="130" spans="1:17" x14ac:dyDescent="0.3">
      <c r="B130" s="29">
        <v>6</v>
      </c>
      <c r="C130" s="29" t="s">
        <v>387</v>
      </c>
      <c r="D130" s="30" t="s">
        <v>388</v>
      </c>
      <c r="E130" s="29">
        <v>150</v>
      </c>
      <c r="G130" s="29" t="s">
        <v>292</v>
      </c>
      <c r="H130" s="29">
        <v>2</v>
      </c>
      <c r="I130" s="29">
        <v>2.95</v>
      </c>
      <c r="J130" s="29">
        <v>0.4425</v>
      </c>
      <c r="K130" s="29">
        <v>0.88500000000000001</v>
      </c>
      <c r="L130" s="29" t="s">
        <v>383</v>
      </c>
      <c r="M130" s="29">
        <v>1</v>
      </c>
      <c r="N130" s="29">
        <v>0.3</v>
      </c>
      <c r="O130" s="29">
        <v>2</v>
      </c>
      <c r="P130" s="29">
        <v>0.88500000000000001</v>
      </c>
      <c r="Q130" s="29" t="s">
        <v>384</v>
      </c>
    </row>
    <row r="131" spans="1:17" x14ac:dyDescent="0.3">
      <c r="A131" s="29" t="s">
        <v>407</v>
      </c>
      <c r="B131" s="29">
        <v>1</v>
      </c>
      <c r="C131" s="29" t="s">
        <v>380</v>
      </c>
      <c r="D131" s="30" t="s">
        <v>1023</v>
      </c>
      <c r="E131" s="29">
        <v>193</v>
      </c>
      <c r="G131" s="29" t="s">
        <v>382</v>
      </c>
      <c r="H131" s="29">
        <v>1</v>
      </c>
      <c r="I131" s="29">
        <v>5.44</v>
      </c>
      <c r="J131" s="29">
        <v>1.0499200000000002</v>
      </c>
      <c r="K131" s="29">
        <v>1.0499200000000002</v>
      </c>
      <c r="L131" s="29" t="s">
        <v>383</v>
      </c>
      <c r="M131" s="29">
        <v>1</v>
      </c>
      <c r="N131" s="29">
        <v>0.193</v>
      </c>
      <c r="P131" s="29">
        <v>1.0499200000000002</v>
      </c>
      <c r="Q131" s="29" t="s">
        <v>384</v>
      </c>
    </row>
    <row r="132" spans="1:17" x14ac:dyDescent="0.3">
      <c r="B132" s="29">
        <v>2</v>
      </c>
      <c r="C132" s="29" t="s">
        <v>380</v>
      </c>
      <c r="D132" s="30" t="s">
        <v>1023</v>
      </c>
      <c r="E132" s="29">
        <v>900</v>
      </c>
      <c r="G132" s="29" t="s">
        <v>385</v>
      </c>
      <c r="H132" s="29">
        <v>1</v>
      </c>
      <c r="I132" s="29">
        <v>5.44</v>
      </c>
      <c r="J132" s="29">
        <v>4.8960000000000008</v>
      </c>
      <c r="K132" s="29">
        <v>4.8960000000000008</v>
      </c>
      <c r="L132" s="29" t="s">
        <v>383</v>
      </c>
      <c r="M132" s="29">
        <v>1</v>
      </c>
      <c r="N132" s="29">
        <v>0.9</v>
      </c>
      <c r="P132" s="29">
        <v>4.8960000000000008</v>
      </c>
      <c r="Q132" s="29" t="s">
        <v>384</v>
      </c>
    </row>
    <row r="133" spans="1:17" x14ac:dyDescent="0.3">
      <c r="B133" s="29">
        <v>3</v>
      </c>
      <c r="C133" s="29" t="s">
        <v>386</v>
      </c>
      <c r="D133" s="30">
        <v>9</v>
      </c>
      <c r="E133" s="29">
        <v>150</v>
      </c>
      <c r="F133" s="29">
        <v>150</v>
      </c>
      <c r="G133" s="29" t="s">
        <v>292</v>
      </c>
      <c r="H133" s="29">
        <v>1</v>
      </c>
      <c r="J133" s="29">
        <v>1.5896249999999998</v>
      </c>
      <c r="K133" s="29">
        <v>1.5896249999999998</v>
      </c>
      <c r="L133" s="29" t="s">
        <v>293</v>
      </c>
      <c r="M133" s="29">
        <v>1</v>
      </c>
      <c r="O133" s="29">
        <v>1</v>
      </c>
      <c r="P133" s="29">
        <v>1.5896249999999998</v>
      </c>
      <c r="Q133" s="29" t="s">
        <v>294</v>
      </c>
    </row>
    <row r="134" spans="1:17" x14ac:dyDescent="0.3">
      <c r="B134" s="29">
        <v>4</v>
      </c>
      <c r="C134" s="29" t="s">
        <v>389</v>
      </c>
      <c r="D134" s="30">
        <v>9</v>
      </c>
      <c r="E134" s="29">
        <v>290</v>
      </c>
      <c r="F134" s="29">
        <v>290</v>
      </c>
      <c r="G134" s="29" t="s">
        <v>292</v>
      </c>
      <c r="H134" s="29">
        <v>1</v>
      </c>
      <c r="J134" s="29">
        <v>5.9416649999999995</v>
      </c>
      <c r="K134" s="29">
        <v>5.9416649999999995</v>
      </c>
      <c r="L134" s="29" t="s">
        <v>293</v>
      </c>
      <c r="M134" s="29">
        <v>1</v>
      </c>
      <c r="O134" s="29">
        <v>1</v>
      </c>
      <c r="P134" s="29">
        <v>5.9416649999999995</v>
      </c>
      <c r="Q134" s="29" t="s">
        <v>294</v>
      </c>
    </row>
    <row r="135" spans="1:17" x14ac:dyDescent="0.3">
      <c r="B135" s="29">
        <v>5</v>
      </c>
      <c r="C135" s="45" t="s">
        <v>390</v>
      </c>
      <c r="D135" s="30" t="s">
        <v>295</v>
      </c>
      <c r="G135" s="29" t="s">
        <v>382</v>
      </c>
      <c r="H135" s="29">
        <v>4</v>
      </c>
      <c r="J135" s="29">
        <v>1</v>
      </c>
      <c r="K135" s="29">
        <v>4</v>
      </c>
      <c r="L135" s="29" t="s">
        <v>391</v>
      </c>
      <c r="M135" s="29">
        <v>1</v>
      </c>
      <c r="O135" s="29">
        <v>4</v>
      </c>
      <c r="P135" s="29">
        <v>4</v>
      </c>
      <c r="Q135" s="29" t="s">
        <v>392</v>
      </c>
    </row>
    <row r="136" spans="1:17" x14ac:dyDescent="0.3">
      <c r="A136" s="29" t="s">
        <v>408</v>
      </c>
      <c r="B136" s="29">
        <v>1</v>
      </c>
      <c r="C136" s="29" t="s">
        <v>380</v>
      </c>
      <c r="D136" s="30" t="s">
        <v>1024</v>
      </c>
      <c r="E136" s="29">
        <v>239</v>
      </c>
      <c r="G136" s="29" t="s">
        <v>382</v>
      </c>
      <c r="H136" s="29">
        <v>1</v>
      </c>
      <c r="I136" s="29">
        <v>11.29</v>
      </c>
      <c r="J136" s="29">
        <v>2.6983099999999998</v>
      </c>
      <c r="K136" s="29">
        <v>2.6983099999999998</v>
      </c>
      <c r="L136" s="29" t="s">
        <v>383</v>
      </c>
      <c r="M136" s="29">
        <v>1</v>
      </c>
      <c r="N136" s="29">
        <v>0.23899999999999999</v>
      </c>
      <c r="P136" s="29">
        <v>2.6983099999999998</v>
      </c>
      <c r="Q136" s="29" t="s">
        <v>384</v>
      </c>
    </row>
    <row r="137" spans="1:17" x14ac:dyDescent="0.3">
      <c r="B137" s="29">
        <v>2</v>
      </c>
      <c r="C137" s="29" t="s">
        <v>386</v>
      </c>
      <c r="D137" s="30">
        <v>9</v>
      </c>
      <c r="E137" s="29">
        <v>150</v>
      </c>
      <c r="F137" s="29">
        <v>150</v>
      </c>
      <c r="G137" s="29" t="s">
        <v>292</v>
      </c>
      <c r="H137" s="29">
        <v>1</v>
      </c>
      <c r="J137" s="29">
        <v>1.5896249999999998</v>
      </c>
      <c r="K137" s="29">
        <v>1.5896249999999998</v>
      </c>
      <c r="L137" s="29" t="s">
        <v>293</v>
      </c>
      <c r="M137" s="29">
        <v>1</v>
      </c>
      <c r="O137" s="29">
        <v>1</v>
      </c>
      <c r="P137" s="29">
        <v>1.5896249999999998</v>
      </c>
      <c r="Q137" s="29" t="s">
        <v>294</v>
      </c>
    </row>
    <row r="138" spans="1:17" x14ac:dyDescent="0.3">
      <c r="A138" s="29" t="s">
        <v>408</v>
      </c>
      <c r="B138" s="29">
        <v>1</v>
      </c>
      <c r="C138" s="29" t="s">
        <v>380</v>
      </c>
      <c r="D138" s="30" t="s">
        <v>1024</v>
      </c>
      <c r="E138" s="29">
        <v>239</v>
      </c>
      <c r="G138" s="29" t="s">
        <v>382</v>
      </c>
      <c r="H138" s="29">
        <v>1</v>
      </c>
      <c r="I138" s="29">
        <v>11.29</v>
      </c>
      <c r="J138" s="29">
        <v>2.6983099999999998</v>
      </c>
      <c r="K138" s="29">
        <v>2.6983099999999998</v>
      </c>
      <c r="L138" s="29" t="s">
        <v>383</v>
      </c>
      <c r="M138" s="29">
        <v>1</v>
      </c>
      <c r="N138" s="29">
        <v>0.23899999999999999</v>
      </c>
      <c r="P138" s="29">
        <v>2.6983099999999998</v>
      </c>
      <c r="Q138" s="29" t="s">
        <v>384</v>
      </c>
    </row>
    <row r="139" spans="1:17" x14ac:dyDescent="0.3">
      <c r="B139" s="29">
        <v>2</v>
      </c>
      <c r="C139" s="29" t="s">
        <v>386</v>
      </c>
      <c r="D139" s="30">
        <v>9</v>
      </c>
      <c r="E139" s="29">
        <v>150</v>
      </c>
      <c r="F139" s="29">
        <v>150</v>
      </c>
      <c r="G139" s="29" t="s">
        <v>292</v>
      </c>
      <c r="H139" s="29">
        <v>1</v>
      </c>
      <c r="J139" s="29">
        <v>1.5896249999999998</v>
      </c>
      <c r="K139" s="29">
        <v>1.5896249999999998</v>
      </c>
      <c r="L139" s="29" t="s">
        <v>293</v>
      </c>
      <c r="M139" s="29">
        <v>1</v>
      </c>
      <c r="O139" s="29">
        <v>1</v>
      </c>
      <c r="P139" s="29">
        <v>1.5896249999999998</v>
      </c>
      <c r="Q139" s="29" t="s">
        <v>294</v>
      </c>
    </row>
    <row r="140" spans="1:17" x14ac:dyDescent="0.3">
      <c r="A140" s="29" t="s">
        <v>408</v>
      </c>
      <c r="B140" s="29">
        <v>1</v>
      </c>
      <c r="C140" s="29" t="s">
        <v>380</v>
      </c>
      <c r="D140" s="30" t="s">
        <v>1024</v>
      </c>
      <c r="E140" s="29">
        <v>239</v>
      </c>
      <c r="G140" s="29" t="s">
        <v>382</v>
      </c>
      <c r="H140" s="29">
        <v>1</v>
      </c>
      <c r="I140" s="29">
        <v>11.29</v>
      </c>
      <c r="J140" s="29">
        <v>2.6983099999999998</v>
      </c>
      <c r="K140" s="29">
        <v>2.6983099999999998</v>
      </c>
      <c r="L140" s="29" t="s">
        <v>383</v>
      </c>
      <c r="M140" s="29">
        <v>1</v>
      </c>
      <c r="N140" s="29">
        <v>0.23899999999999999</v>
      </c>
      <c r="P140" s="29">
        <v>2.6983099999999998</v>
      </c>
      <c r="Q140" s="29" t="s">
        <v>384</v>
      </c>
    </row>
    <row r="141" spans="1:17" x14ac:dyDescent="0.3">
      <c r="B141" s="29">
        <v>2</v>
      </c>
      <c r="C141" s="45" t="s">
        <v>386</v>
      </c>
      <c r="D141" s="30">
        <v>9</v>
      </c>
      <c r="E141" s="29">
        <v>150</v>
      </c>
      <c r="F141" s="29">
        <v>150</v>
      </c>
      <c r="G141" s="29" t="s">
        <v>292</v>
      </c>
      <c r="H141" s="29">
        <v>1</v>
      </c>
      <c r="J141" s="29">
        <v>1.5896249999999998</v>
      </c>
      <c r="K141" s="29">
        <v>1.5896249999999998</v>
      </c>
      <c r="L141" s="29" t="s">
        <v>293</v>
      </c>
      <c r="M141" s="29">
        <v>1</v>
      </c>
      <c r="O141" s="29">
        <v>1</v>
      </c>
      <c r="P141" s="29">
        <v>1.5896249999999998</v>
      </c>
      <c r="Q141" s="29" t="s">
        <v>294</v>
      </c>
    </row>
    <row r="142" spans="1:17" x14ac:dyDescent="0.3">
      <c r="A142" s="29" t="s">
        <v>409</v>
      </c>
      <c r="B142" s="29">
        <v>1</v>
      </c>
      <c r="C142" s="29" t="s">
        <v>380</v>
      </c>
      <c r="D142" s="30" t="s">
        <v>1024</v>
      </c>
      <c r="E142" s="29">
        <v>239</v>
      </c>
      <c r="G142" s="29" t="s">
        <v>382</v>
      </c>
      <c r="H142" s="29">
        <v>1</v>
      </c>
      <c r="I142" s="29">
        <v>11.29</v>
      </c>
      <c r="J142" s="29">
        <v>2.6983099999999998</v>
      </c>
      <c r="K142" s="29">
        <v>2.6983099999999998</v>
      </c>
      <c r="L142" s="29" t="s">
        <v>383</v>
      </c>
      <c r="M142" s="29">
        <v>1</v>
      </c>
      <c r="N142" s="29">
        <v>0.23899999999999999</v>
      </c>
      <c r="P142" s="29">
        <v>2.6983099999999998</v>
      </c>
      <c r="Q142" s="29" t="s">
        <v>384</v>
      </c>
    </row>
    <row r="143" spans="1:17" x14ac:dyDescent="0.3">
      <c r="B143" s="29">
        <v>2</v>
      </c>
      <c r="C143" s="29" t="s">
        <v>380</v>
      </c>
      <c r="D143" s="30" t="s">
        <v>1024</v>
      </c>
      <c r="E143" s="29">
        <v>100</v>
      </c>
      <c r="G143" s="29" t="s">
        <v>385</v>
      </c>
      <c r="H143" s="29">
        <v>1</v>
      </c>
      <c r="I143" s="29">
        <v>11.29</v>
      </c>
      <c r="J143" s="29">
        <v>1.129</v>
      </c>
      <c r="K143" s="29">
        <v>1.129</v>
      </c>
      <c r="L143" s="29" t="s">
        <v>383</v>
      </c>
      <c r="M143" s="29">
        <v>1</v>
      </c>
      <c r="N143" s="29">
        <v>0.1</v>
      </c>
      <c r="P143" s="29">
        <v>1.129</v>
      </c>
      <c r="Q143" s="29" t="s">
        <v>384</v>
      </c>
    </row>
    <row r="144" spans="1:17" x14ac:dyDescent="0.3">
      <c r="B144" s="29">
        <v>3</v>
      </c>
      <c r="C144" s="29" t="s">
        <v>386</v>
      </c>
      <c r="D144" s="30">
        <v>9</v>
      </c>
      <c r="E144" s="29">
        <v>150</v>
      </c>
      <c r="F144" s="29">
        <v>150</v>
      </c>
      <c r="G144" s="29" t="s">
        <v>292</v>
      </c>
      <c r="H144" s="29">
        <v>1</v>
      </c>
      <c r="J144" s="29">
        <v>1.5896249999999998</v>
      </c>
      <c r="K144" s="29">
        <v>1.5896249999999998</v>
      </c>
      <c r="L144" s="29" t="s">
        <v>293</v>
      </c>
      <c r="M144" s="29">
        <v>1</v>
      </c>
      <c r="O144" s="29">
        <v>1</v>
      </c>
      <c r="P144" s="29">
        <v>1.5896249999999998</v>
      </c>
      <c r="Q144" s="29" t="s">
        <v>294</v>
      </c>
    </row>
    <row r="145" spans="1:17" x14ac:dyDescent="0.3">
      <c r="B145" s="29">
        <v>4</v>
      </c>
      <c r="C145" s="29" t="s">
        <v>387</v>
      </c>
      <c r="D145" s="30" t="s">
        <v>388</v>
      </c>
      <c r="E145" s="29">
        <v>150</v>
      </c>
      <c r="G145" s="29" t="s">
        <v>292</v>
      </c>
      <c r="H145" s="29">
        <v>2</v>
      </c>
      <c r="I145" s="29">
        <v>2.95</v>
      </c>
      <c r="J145" s="29">
        <v>0.4425</v>
      </c>
      <c r="K145" s="29">
        <v>0.88500000000000001</v>
      </c>
      <c r="L145" s="29" t="s">
        <v>383</v>
      </c>
      <c r="M145" s="29">
        <v>1</v>
      </c>
      <c r="N145" s="29">
        <v>0.3</v>
      </c>
      <c r="O145" s="29">
        <v>2</v>
      </c>
      <c r="P145" s="29">
        <v>0.88500000000000001</v>
      </c>
      <c r="Q145" s="29" t="s">
        <v>384</v>
      </c>
    </row>
    <row r="146" spans="1:17" x14ac:dyDescent="0.3">
      <c r="A146" s="29" t="s">
        <v>410</v>
      </c>
      <c r="B146" s="29">
        <v>1</v>
      </c>
      <c r="C146" s="45" t="s">
        <v>380</v>
      </c>
      <c r="D146" s="30" t="s">
        <v>1024</v>
      </c>
      <c r="E146" s="29">
        <v>239</v>
      </c>
      <c r="G146" s="29" t="s">
        <v>382</v>
      </c>
      <c r="H146" s="29">
        <v>1</v>
      </c>
      <c r="I146" s="29">
        <v>11.29</v>
      </c>
      <c r="J146" s="29">
        <v>2.6983099999999998</v>
      </c>
      <c r="K146" s="29">
        <v>2.6983099999999998</v>
      </c>
      <c r="L146" s="29" t="s">
        <v>383</v>
      </c>
      <c r="M146" s="29">
        <v>1</v>
      </c>
      <c r="N146" s="29">
        <v>0.23899999999999999</v>
      </c>
      <c r="P146" s="29">
        <v>2.6983099999999998</v>
      </c>
      <c r="Q146" s="29" t="s">
        <v>384</v>
      </c>
    </row>
    <row r="147" spans="1:17" x14ac:dyDescent="0.3">
      <c r="B147" s="29">
        <v>2</v>
      </c>
      <c r="C147" s="29" t="s">
        <v>380</v>
      </c>
      <c r="D147" s="30" t="s">
        <v>1024</v>
      </c>
      <c r="E147" s="29">
        <v>300</v>
      </c>
      <c r="G147" s="29" t="s">
        <v>385</v>
      </c>
      <c r="H147" s="29">
        <v>1</v>
      </c>
      <c r="I147" s="29">
        <v>11.29</v>
      </c>
      <c r="J147" s="29">
        <v>3.3869999999999996</v>
      </c>
      <c r="K147" s="29">
        <v>3.3869999999999996</v>
      </c>
      <c r="L147" s="29" t="s">
        <v>383</v>
      </c>
      <c r="M147" s="29">
        <v>1</v>
      </c>
      <c r="N147" s="29">
        <v>0.3</v>
      </c>
      <c r="P147" s="29">
        <v>3.3869999999999996</v>
      </c>
      <c r="Q147" s="29" t="s">
        <v>384</v>
      </c>
    </row>
    <row r="148" spans="1:17" x14ac:dyDescent="0.3">
      <c r="B148" s="29">
        <v>3</v>
      </c>
      <c r="C148" s="29" t="s">
        <v>386</v>
      </c>
      <c r="D148" s="30">
        <v>9</v>
      </c>
      <c r="E148" s="29">
        <v>150</v>
      </c>
      <c r="F148" s="29">
        <v>150</v>
      </c>
      <c r="G148" s="29" t="s">
        <v>292</v>
      </c>
      <c r="H148" s="29">
        <v>1</v>
      </c>
      <c r="J148" s="29">
        <v>1.5896249999999998</v>
      </c>
      <c r="K148" s="29">
        <v>1.5896249999999998</v>
      </c>
      <c r="L148" s="29" t="s">
        <v>293</v>
      </c>
      <c r="M148" s="29">
        <v>1</v>
      </c>
      <c r="O148" s="29">
        <v>1</v>
      </c>
      <c r="P148" s="29">
        <v>1.5896249999999998</v>
      </c>
      <c r="Q148" s="29" t="s">
        <v>294</v>
      </c>
    </row>
    <row r="149" spans="1:17" x14ac:dyDescent="0.3">
      <c r="A149" s="29" t="s">
        <v>411</v>
      </c>
      <c r="B149" s="29">
        <v>1</v>
      </c>
      <c r="C149" s="29" t="s">
        <v>380</v>
      </c>
      <c r="D149" s="30" t="s">
        <v>1024</v>
      </c>
      <c r="E149" s="29">
        <v>239</v>
      </c>
      <c r="G149" s="29" t="s">
        <v>382</v>
      </c>
      <c r="H149" s="29">
        <v>1</v>
      </c>
      <c r="I149" s="29">
        <v>11.29</v>
      </c>
      <c r="J149" s="29">
        <v>2.6983099999999998</v>
      </c>
      <c r="K149" s="29">
        <v>2.6983099999999998</v>
      </c>
      <c r="L149" s="29" t="s">
        <v>383</v>
      </c>
      <c r="M149" s="29">
        <v>1</v>
      </c>
      <c r="N149" s="29">
        <v>0.23899999999999999</v>
      </c>
      <c r="P149" s="29">
        <v>2.6983099999999998</v>
      </c>
      <c r="Q149" s="29" t="s">
        <v>384</v>
      </c>
    </row>
    <row r="150" spans="1:17" x14ac:dyDescent="0.3">
      <c r="B150" s="29">
        <v>2</v>
      </c>
      <c r="C150" s="29" t="s">
        <v>380</v>
      </c>
      <c r="D150" s="30" t="s">
        <v>1024</v>
      </c>
      <c r="E150" s="29">
        <v>400</v>
      </c>
      <c r="G150" s="29" t="s">
        <v>385</v>
      </c>
      <c r="H150" s="29">
        <v>1</v>
      </c>
      <c r="I150" s="29">
        <v>11.29</v>
      </c>
      <c r="J150" s="29">
        <v>4.516</v>
      </c>
      <c r="K150" s="29">
        <v>4.516</v>
      </c>
      <c r="L150" s="29" t="s">
        <v>383</v>
      </c>
      <c r="M150" s="29">
        <v>1</v>
      </c>
      <c r="N150" s="29">
        <v>0.4</v>
      </c>
      <c r="P150" s="29">
        <v>4.516</v>
      </c>
      <c r="Q150" s="29" t="s">
        <v>384</v>
      </c>
    </row>
    <row r="151" spans="1:17" x14ac:dyDescent="0.3">
      <c r="B151" s="29">
        <v>3</v>
      </c>
      <c r="C151" s="29" t="s">
        <v>386</v>
      </c>
      <c r="D151" s="30">
        <v>9</v>
      </c>
      <c r="E151" s="29">
        <v>150</v>
      </c>
      <c r="F151" s="29">
        <v>150</v>
      </c>
      <c r="G151" s="29" t="s">
        <v>292</v>
      </c>
      <c r="H151" s="29">
        <v>1</v>
      </c>
      <c r="J151" s="29">
        <v>1.5896249999999998</v>
      </c>
      <c r="K151" s="29">
        <v>1.5896249999999998</v>
      </c>
      <c r="L151" s="29" t="s">
        <v>293</v>
      </c>
      <c r="M151" s="29">
        <v>1</v>
      </c>
      <c r="O151" s="29">
        <v>1</v>
      </c>
      <c r="P151" s="29">
        <v>1.5896249999999998</v>
      </c>
      <c r="Q151" s="29" t="s">
        <v>294</v>
      </c>
    </row>
    <row r="152" spans="1:17" x14ac:dyDescent="0.3">
      <c r="B152" s="29">
        <v>4</v>
      </c>
      <c r="C152" s="29" t="s">
        <v>389</v>
      </c>
      <c r="D152" s="30">
        <v>9</v>
      </c>
      <c r="E152" s="29">
        <v>290</v>
      </c>
      <c r="F152" s="29">
        <v>290</v>
      </c>
      <c r="G152" s="29" t="s">
        <v>292</v>
      </c>
      <c r="H152" s="29">
        <v>1</v>
      </c>
      <c r="J152" s="29">
        <v>5.9416649999999995</v>
      </c>
      <c r="K152" s="29">
        <v>5.9416649999999995</v>
      </c>
      <c r="L152" s="29" t="s">
        <v>293</v>
      </c>
      <c r="M152" s="29">
        <v>1</v>
      </c>
      <c r="O152" s="29">
        <v>1</v>
      </c>
      <c r="P152" s="29">
        <v>5.9416649999999995</v>
      </c>
      <c r="Q152" s="29" t="s">
        <v>294</v>
      </c>
    </row>
    <row r="153" spans="1:17" x14ac:dyDescent="0.3">
      <c r="B153" s="29">
        <v>5</v>
      </c>
      <c r="C153" s="29" t="s">
        <v>390</v>
      </c>
      <c r="D153" s="30" t="s">
        <v>295</v>
      </c>
      <c r="G153" s="29" t="s">
        <v>382</v>
      </c>
      <c r="H153" s="29">
        <v>4</v>
      </c>
      <c r="J153" s="29">
        <v>1</v>
      </c>
      <c r="K153" s="29">
        <v>4</v>
      </c>
      <c r="L153" s="29" t="s">
        <v>391</v>
      </c>
      <c r="M153" s="29">
        <v>1</v>
      </c>
      <c r="O153" s="29">
        <v>4</v>
      </c>
      <c r="P153" s="29">
        <v>4</v>
      </c>
      <c r="Q153" s="29" t="s">
        <v>392</v>
      </c>
    </row>
    <row r="154" spans="1:17" x14ac:dyDescent="0.3">
      <c r="B154" s="29">
        <v>6</v>
      </c>
      <c r="C154" s="29" t="s">
        <v>387</v>
      </c>
      <c r="D154" s="30" t="s">
        <v>388</v>
      </c>
      <c r="E154" s="29">
        <v>150</v>
      </c>
      <c r="G154" s="29" t="s">
        <v>292</v>
      </c>
      <c r="H154" s="29">
        <v>2</v>
      </c>
      <c r="I154" s="29">
        <v>2.95</v>
      </c>
      <c r="J154" s="29">
        <v>0.4425</v>
      </c>
      <c r="K154" s="29">
        <v>0.88500000000000001</v>
      </c>
      <c r="L154" s="29" t="s">
        <v>383</v>
      </c>
      <c r="M154" s="29">
        <v>1</v>
      </c>
      <c r="N154" s="29">
        <v>0.3</v>
      </c>
      <c r="O154" s="29">
        <v>2</v>
      </c>
      <c r="P154" s="29">
        <v>0.88500000000000001</v>
      </c>
      <c r="Q154" s="29" t="s">
        <v>384</v>
      </c>
    </row>
    <row r="155" spans="1:17" x14ac:dyDescent="0.3">
      <c r="A155" s="29" t="s">
        <v>411</v>
      </c>
      <c r="B155" s="29">
        <v>1</v>
      </c>
      <c r="C155" s="45" t="s">
        <v>380</v>
      </c>
      <c r="D155" s="30" t="s">
        <v>1024</v>
      </c>
      <c r="E155" s="29">
        <v>239</v>
      </c>
      <c r="G155" s="29" t="s">
        <v>382</v>
      </c>
      <c r="H155" s="29">
        <v>1</v>
      </c>
      <c r="I155" s="29">
        <v>11.29</v>
      </c>
      <c r="J155" s="29">
        <v>2.6983099999999998</v>
      </c>
      <c r="K155" s="29">
        <v>2.6983099999999998</v>
      </c>
      <c r="L155" s="29" t="s">
        <v>383</v>
      </c>
      <c r="M155" s="29">
        <v>1</v>
      </c>
      <c r="N155" s="29">
        <v>0.23899999999999999</v>
      </c>
      <c r="P155" s="29">
        <v>2.6983099999999998</v>
      </c>
      <c r="Q155" s="29" t="s">
        <v>384</v>
      </c>
    </row>
    <row r="156" spans="1:17" x14ac:dyDescent="0.3">
      <c r="B156" s="29">
        <v>2</v>
      </c>
      <c r="C156" s="29" t="s">
        <v>380</v>
      </c>
      <c r="D156" s="30" t="s">
        <v>1024</v>
      </c>
      <c r="E156" s="29">
        <v>400</v>
      </c>
      <c r="G156" s="29" t="s">
        <v>385</v>
      </c>
      <c r="H156" s="29">
        <v>1</v>
      </c>
      <c r="I156" s="29">
        <v>11.29</v>
      </c>
      <c r="J156" s="29">
        <v>4.516</v>
      </c>
      <c r="K156" s="29">
        <v>4.516</v>
      </c>
      <c r="L156" s="29" t="s">
        <v>383</v>
      </c>
      <c r="M156" s="29">
        <v>1</v>
      </c>
      <c r="N156" s="29">
        <v>0.4</v>
      </c>
      <c r="P156" s="29">
        <v>4.516</v>
      </c>
      <c r="Q156" s="29" t="s">
        <v>384</v>
      </c>
    </row>
    <row r="157" spans="1:17" x14ac:dyDescent="0.3">
      <c r="B157" s="29">
        <v>3</v>
      </c>
      <c r="C157" s="29" t="s">
        <v>386</v>
      </c>
      <c r="D157" s="30">
        <v>9</v>
      </c>
      <c r="E157" s="29">
        <v>150</v>
      </c>
      <c r="F157" s="29">
        <v>150</v>
      </c>
      <c r="G157" s="29" t="s">
        <v>292</v>
      </c>
      <c r="H157" s="29">
        <v>1</v>
      </c>
      <c r="J157" s="29">
        <v>1.5896249999999998</v>
      </c>
      <c r="K157" s="29">
        <v>1.5896249999999998</v>
      </c>
      <c r="L157" s="29" t="s">
        <v>293</v>
      </c>
      <c r="M157" s="29">
        <v>1</v>
      </c>
      <c r="O157" s="29">
        <v>1</v>
      </c>
      <c r="P157" s="29">
        <v>1.5896249999999998</v>
      </c>
      <c r="Q157" s="29" t="s">
        <v>294</v>
      </c>
    </row>
    <row r="158" spans="1:17" x14ac:dyDescent="0.3">
      <c r="B158" s="29">
        <v>4</v>
      </c>
      <c r="C158" s="29" t="s">
        <v>389</v>
      </c>
      <c r="D158" s="30">
        <v>9</v>
      </c>
      <c r="E158" s="29">
        <v>290</v>
      </c>
      <c r="F158" s="29">
        <v>290</v>
      </c>
      <c r="G158" s="29" t="s">
        <v>292</v>
      </c>
      <c r="H158" s="29">
        <v>1</v>
      </c>
      <c r="J158" s="29">
        <v>5.9416649999999995</v>
      </c>
      <c r="K158" s="29">
        <v>5.9416649999999995</v>
      </c>
      <c r="L158" s="29" t="s">
        <v>293</v>
      </c>
      <c r="M158" s="29">
        <v>1</v>
      </c>
      <c r="O158" s="29">
        <v>1</v>
      </c>
      <c r="P158" s="29">
        <v>5.9416649999999995</v>
      </c>
      <c r="Q158" s="29" t="s">
        <v>294</v>
      </c>
    </row>
    <row r="159" spans="1:17" x14ac:dyDescent="0.3">
      <c r="B159" s="29">
        <v>5</v>
      </c>
      <c r="C159" s="45" t="s">
        <v>390</v>
      </c>
      <c r="D159" s="30" t="s">
        <v>295</v>
      </c>
      <c r="G159" s="29" t="s">
        <v>382</v>
      </c>
      <c r="H159" s="29">
        <v>4</v>
      </c>
      <c r="J159" s="29">
        <v>1</v>
      </c>
      <c r="K159" s="29">
        <v>4</v>
      </c>
      <c r="L159" s="29" t="s">
        <v>391</v>
      </c>
      <c r="M159" s="29">
        <v>1</v>
      </c>
      <c r="O159" s="29">
        <v>4</v>
      </c>
      <c r="P159" s="29">
        <v>4</v>
      </c>
      <c r="Q159" s="29" t="s">
        <v>392</v>
      </c>
    </row>
    <row r="160" spans="1:17" x14ac:dyDescent="0.3">
      <c r="B160" s="29">
        <v>6</v>
      </c>
      <c r="C160" s="29" t="s">
        <v>387</v>
      </c>
      <c r="D160" s="30" t="s">
        <v>388</v>
      </c>
      <c r="E160" s="29">
        <v>150</v>
      </c>
      <c r="G160" s="29" t="s">
        <v>292</v>
      </c>
      <c r="H160" s="29">
        <v>2</v>
      </c>
      <c r="I160" s="29">
        <v>2.95</v>
      </c>
      <c r="J160" s="29">
        <v>0.4425</v>
      </c>
      <c r="K160" s="29">
        <v>0.88500000000000001</v>
      </c>
      <c r="L160" s="29" t="s">
        <v>383</v>
      </c>
      <c r="M160" s="29">
        <v>1</v>
      </c>
      <c r="N160" s="29">
        <v>0.3</v>
      </c>
      <c r="O160" s="29">
        <v>2</v>
      </c>
      <c r="P160" s="29">
        <v>0.88500000000000001</v>
      </c>
      <c r="Q160" s="29" t="s">
        <v>384</v>
      </c>
    </row>
    <row r="161" spans="1:17" x14ac:dyDescent="0.3">
      <c r="A161" s="29" t="s">
        <v>412</v>
      </c>
      <c r="B161" s="29">
        <v>1</v>
      </c>
      <c r="C161" s="29" t="s">
        <v>380</v>
      </c>
      <c r="D161" s="30" t="s">
        <v>1024</v>
      </c>
      <c r="E161" s="29">
        <v>239</v>
      </c>
      <c r="G161" s="29" t="s">
        <v>382</v>
      </c>
      <c r="H161" s="29">
        <v>1</v>
      </c>
      <c r="I161" s="29">
        <v>11.29</v>
      </c>
      <c r="J161" s="29">
        <v>2.6983099999999998</v>
      </c>
      <c r="K161" s="29">
        <v>2.6983099999999998</v>
      </c>
      <c r="L161" s="29" t="s">
        <v>383</v>
      </c>
      <c r="M161" s="29">
        <v>1</v>
      </c>
      <c r="N161" s="29">
        <v>0.23899999999999999</v>
      </c>
      <c r="P161" s="29">
        <v>2.6983099999999998</v>
      </c>
      <c r="Q161" s="29" t="s">
        <v>384</v>
      </c>
    </row>
    <row r="162" spans="1:17" x14ac:dyDescent="0.3">
      <c r="B162" s="29">
        <v>2</v>
      </c>
      <c r="C162" s="29" t="s">
        <v>380</v>
      </c>
      <c r="D162" s="30" t="s">
        <v>1024</v>
      </c>
      <c r="E162" s="29">
        <v>400</v>
      </c>
      <c r="G162" s="29" t="s">
        <v>385</v>
      </c>
      <c r="H162" s="29">
        <v>1</v>
      </c>
      <c r="I162" s="29">
        <v>11.29</v>
      </c>
      <c r="J162" s="29">
        <v>4.516</v>
      </c>
      <c r="K162" s="29">
        <v>4.516</v>
      </c>
      <c r="L162" s="29" t="s">
        <v>383</v>
      </c>
      <c r="M162" s="29">
        <v>1</v>
      </c>
      <c r="N162" s="29">
        <v>0.4</v>
      </c>
      <c r="P162" s="29">
        <v>4.516</v>
      </c>
      <c r="Q162" s="29" t="s">
        <v>384</v>
      </c>
    </row>
    <row r="163" spans="1:17" x14ac:dyDescent="0.3">
      <c r="B163" s="29">
        <v>3</v>
      </c>
      <c r="C163" s="29" t="s">
        <v>386</v>
      </c>
      <c r="D163" s="30">
        <v>9</v>
      </c>
      <c r="E163" s="29">
        <v>150</v>
      </c>
      <c r="F163" s="29">
        <v>150</v>
      </c>
      <c r="G163" s="29" t="s">
        <v>292</v>
      </c>
      <c r="H163" s="29">
        <v>1</v>
      </c>
      <c r="J163" s="29">
        <v>1.5896249999999998</v>
      </c>
      <c r="K163" s="29">
        <v>1.5896249999999998</v>
      </c>
      <c r="L163" s="29" t="s">
        <v>293</v>
      </c>
      <c r="M163" s="29">
        <v>1</v>
      </c>
      <c r="O163" s="29">
        <v>1</v>
      </c>
      <c r="P163" s="29">
        <v>1.5896249999999998</v>
      </c>
      <c r="Q163" s="29" t="s">
        <v>294</v>
      </c>
    </row>
    <row r="164" spans="1:17" x14ac:dyDescent="0.3">
      <c r="B164" s="29">
        <v>4</v>
      </c>
      <c r="C164" s="45" t="s">
        <v>389</v>
      </c>
      <c r="D164" s="30">
        <v>9</v>
      </c>
      <c r="E164" s="29">
        <v>290</v>
      </c>
      <c r="F164" s="29">
        <v>290</v>
      </c>
      <c r="G164" s="29" t="s">
        <v>292</v>
      </c>
      <c r="H164" s="29">
        <v>1</v>
      </c>
      <c r="J164" s="29">
        <v>5.9416649999999995</v>
      </c>
      <c r="K164" s="29">
        <v>5.9416649999999995</v>
      </c>
      <c r="L164" s="29" t="s">
        <v>293</v>
      </c>
      <c r="M164" s="29">
        <v>1</v>
      </c>
      <c r="O164" s="29">
        <v>1</v>
      </c>
      <c r="P164" s="29">
        <v>5.9416649999999995</v>
      </c>
      <c r="Q164" s="29" t="s">
        <v>294</v>
      </c>
    </row>
    <row r="165" spans="1:17" x14ac:dyDescent="0.3">
      <c r="B165" s="29">
        <v>5</v>
      </c>
      <c r="C165" s="29" t="s">
        <v>390</v>
      </c>
      <c r="D165" s="30" t="s">
        <v>295</v>
      </c>
      <c r="G165" s="29" t="s">
        <v>382</v>
      </c>
      <c r="H165" s="29">
        <v>4</v>
      </c>
      <c r="J165" s="29">
        <v>1</v>
      </c>
      <c r="K165" s="29">
        <v>4</v>
      </c>
      <c r="L165" s="29" t="s">
        <v>391</v>
      </c>
      <c r="M165" s="29">
        <v>1</v>
      </c>
      <c r="O165" s="29">
        <v>4</v>
      </c>
      <c r="P165" s="29">
        <v>4</v>
      </c>
      <c r="Q165" s="29" t="s">
        <v>392</v>
      </c>
    </row>
    <row r="166" spans="1:17" x14ac:dyDescent="0.3">
      <c r="B166" s="29">
        <v>6</v>
      </c>
      <c r="C166" s="29" t="s">
        <v>387</v>
      </c>
      <c r="D166" s="30" t="s">
        <v>388</v>
      </c>
      <c r="E166" s="29">
        <v>150</v>
      </c>
      <c r="G166" s="29" t="s">
        <v>292</v>
      </c>
      <c r="H166" s="29">
        <v>2</v>
      </c>
      <c r="I166" s="29">
        <v>2.95</v>
      </c>
      <c r="J166" s="29">
        <v>0.4425</v>
      </c>
      <c r="K166" s="29">
        <v>0.88500000000000001</v>
      </c>
      <c r="L166" s="29" t="s">
        <v>383</v>
      </c>
      <c r="M166" s="29">
        <v>1</v>
      </c>
      <c r="N166" s="29">
        <v>0.3</v>
      </c>
      <c r="O166" s="29">
        <v>2</v>
      </c>
      <c r="P166" s="29">
        <v>0.88500000000000001</v>
      </c>
      <c r="Q166" s="29" t="s">
        <v>384</v>
      </c>
    </row>
    <row r="167" spans="1:17" x14ac:dyDescent="0.3">
      <c r="A167" s="29" t="s">
        <v>412</v>
      </c>
      <c r="B167" s="29">
        <v>1</v>
      </c>
      <c r="C167" s="29" t="s">
        <v>380</v>
      </c>
      <c r="D167" s="30" t="s">
        <v>1024</v>
      </c>
      <c r="E167" s="29">
        <v>239</v>
      </c>
      <c r="G167" s="29" t="s">
        <v>382</v>
      </c>
      <c r="H167" s="29">
        <v>1</v>
      </c>
      <c r="I167" s="29">
        <v>11.29</v>
      </c>
      <c r="J167" s="29">
        <v>2.6983099999999998</v>
      </c>
      <c r="K167" s="29">
        <v>2.6983099999999998</v>
      </c>
      <c r="L167" s="29" t="s">
        <v>383</v>
      </c>
      <c r="M167" s="29">
        <v>1</v>
      </c>
      <c r="N167" s="29">
        <v>0.23899999999999999</v>
      </c>
      <c r="P167" s="29">
        <v>2.6983099999999998</v>
      </c>
      <c r="Q167" s="29" t="s">
        <v>384</v>
      </c>
    </row>
    <row r="168" spans="1:17" x14ac:dyDescent="0.3">
      <c r="B168" s="29">
        <v>2</v>
      </c>
      <c r="C168" s="29" t="s">
        <v>380</v>
      </c>
      <c r="D168" s="30" t="s">
        <v>1024</v>
      </c>
      <c r="E168" s="29">
        <v>400</v>
      </c>
      <c r="G168" s="29" t="s">
        <v>385</v>
      </c>
      <c r="H168" s="29">
        <v>1</v>
      </c>
      <c r="I168" s="29">
        <v>11.29</v>
      </c>
      <c r="J168" s="29">
        <v>4.516</v>
      </c>
      <c r="K168" s="29">
        <v>4.516</v>
      </c>
      <c r="L168" s="29" t="s">
        <v>383</v>
      </c>
      <c r="M168" s="29">
        <v>1</v>
      </c>
      <c r="N168" s="29">
        <v>0.4</v>
      </c>
      <c r="P168" s="29">
        <v>4.516</v>
      </c>
      <c r="Q168" s="29" t="s">
        <v>384</v>
      </c>
    </row>
    <row r="169" spans="1:17" x14ac:dyDescent="0.3">
      <c r="B169" s="29">
        <v>3</v>
      </c>
      <c r="C169" s="29" t="s">
        <v>386</v>
      </c>
      <c r="D169" s="30">
        <v>9</v>
      </c>
      <c r="E169" s="29">
        <v>150</v>
      </c>
      <c r="F169" s="29">
        <v>150</v>
      </c>
      <c r="G169" s="29" t="s">
        <v>292</v>
      </c>
      <c r="H169" s="29">
        <v>1</v>
      </c>
      <c r="J169" s="29">
        <v>1.5896249999999998</v>
      </c>
      <c r="K169" s="29">
        <v>1.5896249999999998</v>
      </c>
      <c r="L169" s="29" t="s">
        <v>293</v>
      </c>
      <c r="M169" s="29">
        <v>1</v>
      </c>
      <c r="O169" s="29">
        <v>1</v>
      </c>
      <c r="P169" s="29">
        <v>1.5896249999999998</v>
      </c>
      <c r="Q169" s="29" t="s">
        <v>294</v>
      </c>
    </row>
    <row r="170" spans="1:17" x14ac:dyDescent="0.3">
      <c r="B170" s="29">
        <v>4</v>
      </c>
      <c r="C170" s="29" t="s">
        <v>389</v>
      </c>
      <c r="D170" s="30">
        <v>9</v>
      </c>
      <c r="E170" s="29">
        <v>290</v>
      </c>
      <c r="F170" s="29">
        <v>290</v>
      </c>
      <c r="G170" s="29" t="s">
        <v>292</v>
      </c>
      <c r="H170" s="29">
        <v>1</v>
      </c>
      <c r="J170" s="29">
        <v>5.9416649999999995</v>
      </c>
      <c r="K170" s="29">
        <v>5.9416649999999995</v>
      </c>
      <c r="L170" s="29" t="s">
        <v>293</v>
      </c>
      <c r="M170" s="29">
        <v>1</v>
      </c>
      <c r="O170" s="29">
        <v>1</v>
      </c>
      <c r="P170" s="29">
        <v>5.9416649999999995</v>
      </c>
      <c r="Q170" s="29" t="s">
        <v>294</v>
      </c>
    </row>
    <row r="171" spans="1:17" x14ac:dyDescent="0.3">
      <c r="B171" s="29">
        <v>5</v>
      </c>
      <c r="C171" s="29" t="s">
        <v>390</v>
      </c>
      <c r="D171" s="30" t="s">
        <v>295</v>
      </c>
      <c r="G171" s="29" t="s">
        <v>382</v>
      </c>
      <c r="H171" s="29">
        <v>4</v>
      </c>
      <c r="J171" s="29">
        <v>1</v>
      </c>
      <c r="K171" s="29">
        <v>4</v>
      </c>
      <c r="L171" s="29" t="s">
        <v>391</v>
      </c>
      <c r="M171" s="29">
        <v>1</v>
      </c>
      <c r="O171" s="29">
        <v>4</v>
      </c>
      <c r="P171" s="29">
        <v>4</v>
      </c>
      <c r="Q171" s="29" t="s">
        <v>392</v>
      </c>
    </row>
    <row r="172" spans="1:17" x14ac:dyDescent="0.3">
      <c r="B172" s="29">
        <v>6</v>
      </c>
      <c r="C172" s="29" t="s">
        <v>387</v>
      </c>
      <c r="D172" s="30" t="s">
        <v>388</v>
      </c>
      <c r="E172" s="29">
        <v>150</v>
      </c>
      <c r="G172" s="29" t="s">
        <v>292</v>
      </c>
      <c r="H172" s="29">
        <v>2</v>
      </c>
      <c r="I172" s="29">
        <v>2.95</v>
      </c>
      <c r="J172" s="29">
        <v>0.4425</v>
      </c>
      <c r="K172" s="29">
        <v>0.88500000000000001</v>
      </c>
      <c r="L172" s="29" t="s">
        <v>383</v>
      </c>
      <c r="M172" s="29">
        <v>1</v>
      </c>
      <c r="N172" s="29">
        <v>0.3</v>
      </c>
      <c r="O172" s="29">
        <v>2</v>
      </c>
      <c r="P172" s="29">
        <v>0.88500000000000001</v>
      </c>
      <c r="Q172" s="29" t="s">
        <v>384</v>
      </c>
    </row>
    <row r="173" spans="1:17" x14ac:dyDescent="0.3">
      <c r="A173" s="29" t="s">
        <v>412</v>
      </c>
      <c r="B173" s="29">
        <v>1</v>
      </c>
      <c r="C173" s="29" t="s">
        <v>380</v>
      </c>
      <c r="D173" s="30" t="s">
        <v>1024</v>
      </c>
      <c r="E173" s="29">
        <v>239</v>
      </c>
      <c r="G173" s="29" t="s">
        <v>382</v>
      </c>
      <c r="H173" s="29">
        <v>1</v>
      </c>
      <c r="I173" s="29">
        <v>11.29</v>
      </c>
      <c r="J173" s="29">
        <v>2.6983099999999998</v>
      </c>
      <c r="K173" s="29">
        <v>2.6983099999999998</v>
      </c>
      <c r="L173" s="29" t="s">
        <v>383</v>
      </c>
      <c r="M173" s="29">
        <v>1</v>
      </c>
      <c r="N173" s="29">
        <v>0.23899999999999999</v>
      </c>
      <c r="P173" s="29">
        <v>2.6983099999999998</v>
      </c>
      <c r="Q173" s="29" t="s">
        <v>384</v>
      </c>
    </row>
    <row r="174" spans="1:17" x14ac:dyDescent="0.3">
      <c r="B174" s="29">
        <v>2</v>
      </c>
      <c r="C174" s="29" t="s">
        <v>380</v>
      </c>
      <c r="D174" s="30" t="s">
        <v>1024</v>
      </c>
      <c r="E174" s="29">
        <v>400</v>
      </c>
      <c r="G174" s="29" t="s">
        <v>385</v>
      </c>
      <c r="H174" s="29">
        <v>1</v>
      </c>
      <c r="I174" s="29">
        <v>11.29</v>
      </c>
      <c r="J174" s="29">
        <v>4.516</v>
      </c>
      <c r="K174" s="29">
        <v>4.516</v>
      </c>
      <c r="L174" s="29" t="s">
        <v>383</v>
      </c>
      <c r="M174" s="29">
        <v>1</v>
      </c>
      <c r="N174" s="29">
        <v>0.4</v>
      </c>
      <c r="P174" s="29">
        <v>4.516</v>
      </c>
      <c r="Q174" s="29" t="s">
        <v>384</v>
      </c>
    </row>
    <row r="175" spans="1:17" x14ac:dyDescent="0.3">
      <c r="B175" s="29">
        <v>3</v>
      </c>
      <c r="C175" s="29" t="s">
        <v>386</v>
      </c>
      <c r="D175" s="30">
        <v>9</v>
      </c>
      <c r="E175" s="29">
        <v>150</v>
      </c>
      <c r="F175" s="29">
        <v>150</v>
      </c>
      <c r="G175" s="29" t="s">
        <v>292</v>
      </c>
      <c r="H175" s="29">
        <v>1</v>
      </c>
      <c r="J175" s="29">
        <v>1.5896249999999998</v>
      </c>
      <c r="K175" s="29">
        <v>1.5896249999999998</v>
      </c>
      <c r="L175" s="29" t="s">
        <v>293</v>
      </c>
      <c r="M175" s="29">
        <v>1</v>
      </c>
      <c r="O175" s="29">
        <v>1</v>
      </c>
      <c r="P175" s="29">
        <v>1.5896249999999998</v>
      </c>
      <c r="Q175" s="29" t="s">
        <v>294</v>
      </c>
    </row>
    <row r="176" spans="1:17" x14ac:dyDescent="0.3">
      <c r="B176" s="29">
        <v>4</v>
      </c>
      <c r="C176" s="45" t="s">
        <v>389</v>
      </c>
      <c r="D176" s="30">
        <v>9</v>
      </c>
      <c r="E176" s="29">
        <v>290</v>
      </c>
      <c r="F176" s="29">
        <v>290</v>
      </c>
      <c r="G176" s="29" t="s">
        <v>292</v>
      </c>
      <c r="H176" s="29">
        <v>1</v>
      </c>
      <c r="J176" s="29">
        <v>5.9416649999999995</v>
      </c>
      <c r="K176" s="29">
        <v>5.9416649999999995</v>
      </c>
      <c r="L176" s="29" t="s">
        <v>293</v>
      </c>
      <c r="M176" s="29">
        <v>1</v>
      </c>
      <c r="O176" s="29">
        <v>1</v>
      </c>
      <c r="P176" s="29">
        <v>5.9416649999999995</v>
      </c>
      <c r="Q176" s="29" t="s">
        <v>294</v>
      </c>
    </row>
    <row r="177" spans="1:17" x14ac:dyDescent="0.3">
      <c r="B177" s="29">
        <v>5</v>
      </c>
      <c r="C177" s="29" t="s">
        <v>390</v>
      </c>
      <c r="D177" s="30" t="s">
        <v>295</v>
      </c>
      <c r="G177" s="29" t="s">
        <v>382</v>
      </c>
      <c r="H177" s="29">
        <v>4</v>
      </c>
      <c r="J177" s="29">
        <v>1</v>
      </c>
      <c r="K177" s="29">
        <v>4</v>
      </c>
      <c r="L177" s="29" t="s">
        <v>391</v>
      </c>
      <c r="M177" s="29">
        <v>1</v>
      </c>
      <c r="O177" s="29">
        <v>4</v>
      </c>
      <c r="P177" s="29">
        <v>4</v>
      </c>
      <c r="Q177" s="29" t="s">
        <v>392</v>
      </c>
    </row>
    <row r="178" spans="1:17" x14ac:dyDescent="0.3">
      <c r="B178" s="29">
        <v>6</v>
      </c>
      <c r="C178" s="29" t="s">
        <v>387</v>
      </c>
      <c r="D178" s="30" t="s">
        <v>388</v>
      </c>
      <c r="E178" s="29">
        <v>150</v>
      </c>
      <c r="G178" s="29" t="s">
        <v>292</v>
      </c>
      <c r="H178" s="29">
        <v>2</v>
      </c>
      <c r="I178" s="29">
        <v>2.95</v>
      </c>
      <c r="J178" s="29">
        <v>0.4425</v>
      </c>
      <c r="K178" s="29">
        <v>0.88500000000000001</v>
      </c>
      <c r="L178" s="29" t="s">
        <v>383</v>
      </c>
      <c r="M178" s="29">
        <v>1</v>
      </c>
      <c r="N178" s="29">
        <v>0.3</v>
      </c>
      <c r="O178" s="29">
        <v>2</v>
      </c>
      <c r="P178" s="29">
        <v>0.88500000000000001</v>
      </c>
      <c r="Q178" s="29" t="s">
        <v>384</v>
      </c>
    </row>
    <row r="179" spans="1:17" x14ac:dyDescent="0.3">
      <c r="A179" s="29" t="s">
        <v>413</v>
      </c>
      <c r="B179" s="29">
        <v>1</v>
      </c>
      <c r="C179" s="29" t="s">
        <v>380</v>
      </c>
      <c r="D179" s="30" t="s">
        <v>1024</v>
      </c>
      <c r="E179" s="29">
        <v>239</v>
      </c>
      <c r="G179" s="29" t="s">
        <v>382</v>
      </c>
      <c r="H179" s="29">
        <v>1</v>
      </c>
      <c r="I179" s="29">
        <v>11.29</v>
      </c>
      <c r="J179" s="29">
        <v>2.6983099999999998</v>
      </c>
      <c r="K179" s="29">
        <v>2.6983099999999998</v>
      </c>
      <c r="L179" s="29" t="s">
        <v>383</v>
      </c>
      <c r="M179" s="29">
        <v>1</v>
      </c>
      <c r="N179" s="29">
        <v>0.23899999999999999</v>
      </c>
      <c r="P179" s="29">
        <v>2.6983099999999998</v>
      </c>
      <c r="Q179" s="29" t="s">
        <v>384</v>
      </c>
    </row>
    <row r="180" spans="1:17" x14ac:dyDescent="0.3">
      <c r="B180" s="29">
        <v>2</v>
      </c>
      <c r="C180" s="29" t="s">
        <v>380</v>
      </c>
      <c r="D180" s="30" t="s">
        <v>1024</v>
      </c>
      <c r="E180" s="29">
        <v>600</v>
      </c>
      <c r="G180" s="29" t="s">
        <v>385</v>
      </c>
      <c r="H180" s="29">
        <v>1</v>
      </c>
      <c r="I180" s="29">
        <v>11.29</v>
      </c>
      <c r="J180" s="29">
        <v>6.7739999999999991</v>
      </c>
      <c r="K180" s="29">
        <v>6.7739999999999991</v>
      </c>
      <c r="L180" s="29" t="s">
        <v>383</v>
      </c>
      <c r="M180" s="29">
        <v>1</v>
      </c>
      <c r="N180" s="29">
        <v>0.6</v>
      </c>
      <c r="P180" s="29">
        <v>6.7739999999999991</v>
      </c>
      <c r="Q180" s="29" t="s">
        <v>384</v>
      </c>
    </row>
    <row r="181" spans="1:17" x14ac:dyDescent="0.3">
      <c r="B181" s="29">
        <v>3</v>
      </c>
      <c r="C181" s="45" t="s">
        <v>386</v>
      </c>
      <c r="D181" s="30">
        <v>9</v>
      </c>
      <c r="E181" s="29">
        <v>150</v>
      </c>
      <c r="F181" s="29">
        <v>150</v>
      </c>
      <c r="G181" s="29" t="s">
        <v>292</v>
      </c>
      <c r="H181" s="29">
        <v>1</v>
      </c>
      <c r="J181" s="29">
        <v>1.5896249999999998</v>
      </c>
      <c r="K181" s="29">
        <v>1.5896249999999998</v>
      </c>
      <c r="L181" s="29" t="s">
        <v>293</v>
      </c>
      <c r="M181" s="29">
        <v>1</v>
      </c>
      <c r="O181" s="29">
        <v>1</v>
      </c>
      <c r="P181" s="29">
        <v>1.5896249999999998</v>
      </c>
      <c r="Q181" s="29" t="s">
        <v>294</v>
      </c>
    </row>
    <row r="182" spans="1:17" x14ac:dyDescent="0.3">
      <c r="B182" s="29">
        <v>4</v>
      </c>
      <c r="C182" s="29" t="s">
        <v>389</v>
      </c>
      <c r="D182" s="30">
        <v>9</v>
      </c>
      <c r="E182" s="29">
        <v>290</v>
      </c>
      <c r="F182" s="29">
        <v>290</v>
      </c>
      <c r="G182" s="29" t="s">
        <v>292</v>
      </c>
      <c r="H182" s="29">
        <v>1</v>
      </c>
      <c r="J182" s="29">
        <v>5.9416649999999995</v>
      </c>
      <c r="K182" s="29">
        <v>5.9416649999999995</v>
      </c>
      <c r="L182" s="29" t="s">
        <v>293</v>
      </c>
      <c r="M182" s="29">
        <v>1</v>
      </c>
      <c r="O182" s="29">
        <v>1</v>
      </c>
      <c r="P182" s="29">
        <v>5.9416649999999995</v>
      </c>
      <c r="Q182" s="29" t="s">
        <v>294</v>
      </c>
    </row>
    <row r="183" spans="1:17" x14ac:dyDescent="0.3">
      <c r="B183" s="29">
        <v>5</v>
      </c>
      <c r="C183" s="29" t="s">
        <v>390</v>
      </c>
      <c r="D183" s="30" t="s">
        <v>295</v>
      </c>
      <c r="G183" s="29" t="s">
        <v>382</v>
      </c>
      <c r="H183" s="29">
        <v>4</v>
      </c>
      <c r="J183" s="29">
        <v>1</v>
      </c>
      <c r="K183" s="29">
        <v>4</v>
      </c>
      <c r="L183" s="29" t="s">
        <v>391</v>
      </c>
      <c r="M183" s="29">
        <v>1</v>
      </c>
      <c r="O183" s="29">
        <v>4</v>
      </c>
      <c r="P183" s="29">
        <v>4</v>
      </c>
      <c r="Q183" s="29" t="s">
        <v>392</v>
      </c>
    </row>
    <row r="184" spans="1:17" x14ac:dyDescent="0.3">
      <c r="A184" s="29" t="s">
        <v>414</v>
      </c>
      <c r="B184" s="29">
        <v>1</v>
      </c>
      <c r="C184" s="29" t="s">
        <v>380</v>
      </c>
      <c r="D184" s="30" t="s">
        <v>1024</v>
      </c>
      <c r="E184" s="29">
        <v>239</v>
      </c>
      <c r="G184" s="29" t="s">
        <v>382</v>
      </c>
      <c r="H184" s="29">
        <v>1</v>
      </c>
      <c r="I184" s="29">
        <v>11.29</v>
      </c>
      <c r="J184" s="29">
        <v>2.6983099999999998</v>
      </c>
      <c r="K184" s="29">
        <v>2.6983099999999998</v>
      </c>
      <c r="L184" s="29" t="s">
        <v>383</v>
      </c>
      <c r="M184" s="29">
        <v>1</v>
      </c>
      <c r="N184" s="29">
        <v>0.23899999999999999</v>
      </c>
      <c r="P184" s="29">
        <v>2.6983099999999998</v>
      </c>
      <c r="Q184" s="29" t="s">
        <v>384</v>
      </c>
    </row>
    <row r="185" spans="1:17" x14ac:dyDescent="0.3">
      <c r="B185" s="29">
        <v>2</v>
      </c>
      <c r="C185" s="29" t="s">
        <v>380</v>
      </c>
      <c r="D185" s="30" t="s">
        <v>1024</v>
      </c>
      <c r="E185" s="29">
        <v>600</v>
      </c>
      <c r="G185" s="29" t="s">
        <v>385</v>
      </c>
      <c r="H185" s="29">
        <v>1</v>
      </c>
      <c r="I185" s="29">
        <v>11.29</v>
      </c>
      <c r="J185" s="29">
        <v>6.7739999999999991</v>
      </c>
      <c r="K185" s="29">
        <v>6.7739999999999991</v>
      </c>
      <c r="L185" s="29" t="s">
        <v>383</v>
      </c>
      <c r="M185" s="29">
        <v>1</v>
      </c>
      <c r="N185" s="29">
        <v>0.6</v>
      </c>
      <c r="P185" s="29">
        <v>6.7739999999999991</v>
      </c>
      <c r="Q185" s="29" t="s">
        <v>384</v>
      </c>
    </row>
    <row r="186" spans="1:17" x14ac:dyDescent="0.3">
      <c r="B186" s="29">
        <v>3</v>
      </c>
      <c r="C186" s="45" t="s">
        <v>386</v>
      </c>
      <c r="D186" s="30">
        <v>9</v>
      </c>
      <c r="E186" s="29">
        <v>150</v>
      </c>
      <c r="F186" s="29">
        <v>150</v>
      </c>
      <c r="G186" s="29" t="s">
        <v>292</v>
      </c>
      <c r="H186" s="29">
        <v>1</v>
      </c>
      <c r="J186" s="29">
        <v>1.5896249999999998</v>
      </c>
      <c r="K186" s="29">
        <v>1.5896249999999998</v>
      </c>
      <c r="L186" s="29" t="s">
        <v>293</v>
      </c>
      <c r="M186" s="29">
        <v>1</v>
      </c>
      <c r="O186" s="29">
        <v>1</v>
      </c>
      <c r="P186" s="29">
        <v>1.5896249999999998</v>
      </c>
      <c r="Q186" s="29" t="s">
        <v>294</v>
      </c>
    </row>
    <row r="187" spans="1:17" x14ac:dyDescent="0.3">
      <c r="B187" s="29">
        <v>4</v>
      </c>
      <c r="C187" s="29" t="s">
        <v>389</v>
      </c>
      <c r="D187" s="30">
        <v>9</v>
      </c>
      <c r="E187" s="29">
        <v>290</v>
      </c>
      <c r="F187" s="29">
        <v>290</v>
      </c>
      <c r="G187" s="29" t="s">
        <v>292</v>
      </c>
      <c r="H187" s="29">
        <v>1</v>
      </c>
      <c r="J187" s="29">
        <v>5.9416649999999995</v>
      </c>
      <c r="K187" s="29">
        <v>5.9416649999999995</v>
      </c>
      <c r="L187" s="29" t="s">
        <v>293</v>
      </c>
      <c r="M187" s="29">
        <v>1</v>
      </c>
      <c r="O187" s="29">
        <v>1</v>
      </c>
      <c r="P187" s="29">
        <v>5.9416649999999995</v>
      </c>
      <c r="Q187" s="29" t="s">
        <v>294</v>
      </c>
    </row>
    <row r="188" spans="1:17" x14ac:dyDescent="0.3">
      <c r="B188" s="29">
        <v>5</v>
      </c>
      <c r="C188" s="29" t="s">
        <v>390</v>
      </c>
      <c r="D188" s="30" t="s">
        <v>295</v>
      </c>
      <c r="G188" s="29" t="s">
        <v>382</v>
      </c>
      <c r="H188" s="29">
        <v>4</v>
      </c>
      <c r="J188" s="29">
        <v>1</v>
      </c>
      <c r="K188" s="29">
        <v>4</v>
      </c>
      <c r="L188" s="29" t="s">
        <v>391</v>
      </c>
      <c r="M188" s="29">
        <v>1</v>
      </c>
      <c r="O188" s="29">
        <v>4</v>
      </c>
      <c r="P188" s="29">
        <v>4</v>
      </c>
      <c r="Q188" s="29" t="s">
        <v>392</v>
      </c>
    </row>
    <row r="189" spans="1:17" x14ac:dyDescent="0.3">
      <c r="B189" s="29">
        <v>6</v>
      </c>
      <c r="C189" s="29" t="s">
        <v>387</v>
      </c>
      <c r="D189" s="30" t="s">
        <v>388</v>
      </c>
      <c r="E189" s="29">
        <v>150</v>
      </c>
      <c r="G189" s="29" t="s">
        <v>292</v>
      </c>
      <c r="H189" s="29">
        <v>2</v>
      </c>
      <c r="I189" s="29">
        <v>2.95</v>
      </c>
      <c r="J189" s="29">
        <v>0.4425</v>
      </c>
      <c r="K189" s="29">
        <v>0.88500000000000001</v>
      </c>
      <c r="L189" s="29" t="s">
        <v>383</v>
      </c>
      <c r="M189" s="29">
        <v>1</v>
      </c>
      <c r="N189" s="29">
        <v>0.3</v>
      </c>
      <c r="O189" s="29">
        <v>2</v>
      </c>
      <c r="P189" s="29">
        <v>0.88500000000000001</v>
      </c>
      <c r="Q189" s="29" t="s">
        <v>384</v>
      </c>
    </row>
    <row r="190" spans="1:17" x14ac:dyDescent="0.3">
      <c r="A190" s="29" t="s">
        <v>415</v>
      </c>
      <c r="B190" s="29">
        <v>1</v>
      </c>
      <c r="C190" s="29" t="s">
        <v>380</v>
      </c>
      <c r="D190" s="30" t="s">
        <v>1024</v>
      </c>
      <c r="E190" s="29">
        <v>239</v>
      </c>
      <c r="G190" s="29" t="s">
        <v>382</v>
      </c>
      <c r="H190" s="29">
        <v>1</v>
      </c>
      <c r="I190" s="29">
        <v>11.29</v>
      </c>
      <c r="J190" s="29">
        <v>2.6983099999999998</v>
      </c>
      <c r="K190" s="29">
        <v>2.6983099999999998</v>
      </c>
      <c r="L190" s="29" t="s">
        <v>383</v>
      </c>
      <c r="M190" s="29">
        <v>1</v>
      </c>
      <c r="N190" s="29">
        <v>0.23899999999999999</v>
      </c>
      <c r="P190" s="29">
        <v>2.6983099999999998</v>
      </c>
      <c r="Q190" s="29" t="s">
        <v>384</v>
      </c>
    </row>
    <row r="191" spans="1:17" x14ac:dyDescent="0.3">
      <c r="B191" s="29">
        <v>2</v>
      </c>
      <c r="C191" s="29" t="s">
        <v>380</v>
      </c>
      <c r="D191" s="30" t="s">
        <v>1024</v>
      </c>
      <c r="E191" s="29">
        <v>600</v>
      </c>
      <c r="G191" s="29" t="s">
        <v>385</v>
      </c>
      <c r="H191" s="29">
        <v>1</v>
      </c>
      <c r="I191" s="29">
        <v>11.29</v>
      </c>
      <c r="J191" s="29">
        <v>6.7739999999999991</v>
      </c>
      <c r="K191" s="29">
        <v>6.7739999999999991</v>
      </c>
      <c r="L191" s="29" t="s">
        <v>383</v>
      </c>
      <c r="M191" s="29">
        <v>1</v>
      </c>
      <c r="N191" s="29">
        <v>0.6</v>
      </c>
      <c r="P191" s="29">
        <v>6.7739999999999991</v>
      </c>
      <c r="Q191" s="29" t="s">
        <v>384</v>
      </c>
    </row>
    <row r="192" spans="1:17" x14ac:dyDescent="0.3">
      <c r="B192" s="29">
        <v>3</v>
      </c>
      <c r="C192" s="29" t="s">
        <v>386</v>
      </c>
      <c r="D192" s="30">
        <v>9</v>
      </c>
      <c r="E192" s="29">
        <v>150</v>
      </c>
      <c r="F192" s="29">
        <v>150</v>
      </c>
      <c r="G192" s="29" t="s">
        <v>292</v>
      </c>
      <c r="H192" s="29">
        <v>1</v>
      </c>
      <c r="J192" s="29">
        <v>1.5896249999999998</v>
      </c>
      <c r="K192" s="29">
        <v>1.5896249999999998</v>
      </c>
      <c r="L192" s="29" t="s">
        <v>293</v>
      </c>
      <c r="M192" s="29">
        <v>1</v>
      </c>
      <c r="O192" s="29">
        <v>1</v>
      </c>
      <c r="P192" s="29">
        <v>1.5896249999999998</v>
      </c>
      <c r="Q192" s="29" t="s">
        <v>294</v>
      </c>
    </row>
    <row r="193" spans="1:17" x14ac:dyDescent="0.3">
      <c r="B193" s="29">
        <v>4</v>
      </c>
      <c r="C193" s="29" t="s">
        <v>389</v>
      </c>
      <c r="D193" s="30">
        <v>9</v>
      </c>
      <c r="E193" s="29">
        <v>290</v>
      </c>
      <c r="F193" s="29">
        <v>290</v>
      </c>
      <c r="G193" s="29" t="s">
        <v>292</v>
      </c>
      <c r="H193" s="29">
        <v>1</v>
      </c>
      <c r="J193" s="29">
        <v>5.9416649999999995</v>
      </c>
      <c r="K193" s="29">
        <v>5.9416649999999995</v>
      </c>
      <c r="L193" s="29" t="s">
        <v>293</v>
      </c>
      <c r="M193" s="29">
        <v>1</v>
      </c>
      <c r="O193" s="29">
        <v>1</v>
      </c>
      <c r="P193" s="29">
        <v>5.9416649999999995</v>
      </c>
      <c r="Q193" s="29" t="s">
        <v>294</v>
      </c>
    </row>
    <row r="194" spans="1:17" x14ac:dyDescent="0.3">
      <c r="B194" s="29">
        <v>5</v>
      </c>
      <c r="C194" s="29" t="s">
        <v>390</v>
      </c>
      <c r="D194" s="30" t="s">
        <v>295</v>
      </c>
      <c r="G194" s="29" t="s">
        <v>382</v>
      </c>
      <c r="H194" s="29">
        <v>4</v>
      </c>
      <c r="J194" s="29">
        <v>1</v>
      </c>
      <c r="K194" s="29">
        <v>4</v>
      </c>
      <c r="L194" s="29" t="s">
        <v>391</v>
      </c>
      <c r="M194" s="29">
        <v>1</v>
      </c>
      <c r="O194" s="29">
        <v>4</v>
      </c>
      <c r="P194" s="29">
        <v>4</v>
      </c>
      <c r="Q194" s="29" t="s">
        <v>392</v>
      </c>
    </row>
    <row r="195" spans="1:17" x14ac:dyDescent="0.3">
      <c r="B195" s="29">
        <v>6</v>
      </c>
      <c r="C195" s="29" t="s">
        <v>387</v>
      </c>
      <c r="D195" s="30" t="s">
        <v>388</v>
      </c>
      <c r="E195" s="29">
        <v>150</v>
      </c>
      <c r="G195" s="29" t="s">
        <v>292</v>
      </c>
      <c r="H195" s="29">
        <v>2</v>
      </c>
      <c r="I195" s="29">
        <v>2.95</v>
      </c>
      <c r="J195" s="29">
        <v>0.4425</v>
      </c>
      <c r="K195" s="29">
        <v>0.88500000000000001</v>
      </c>
      <c r="L195" s="29" t="s">
        <v>383</v>
      </c>
      <c r="M195" s="29">
        <v>1</v>
      </c>
      <c r="N195" s="29">
        <v>0.3</v>
      </c>
      <c r="O195" s="29">
        <v>2</v>
      </c>
      <c r="P195" s="29">
        <v>0.88500000000000001</v>
      </c>
      <c r="Q195" s="29" t="s">
        <v>384</v>
      </c>
    </row>
    <row r="196" spans="1:17" x14ac:dyDescent="0.3">
      <c r="A196" s="29" t="s">
        <v>415</v>
      </c>
      <c r="B196" s="29">
        <v>1</v>
      </c>
      <c r="C196" s="29" t="s">
        <v>380</v>
      </c>
      <c r="D196" s="30" t="s">
        <v>1024</v>
      </c>
      <c r="E196" s="29">
        <v>239</v>
      </c>
      <c r="G196" s="29" t="s">
        <v>382</v>
      </c>
      <c r="H196" s="29">
        <v>1</v>
      </c>
      <c r="I196" s="29">
        <v>11.29</v>
      </c>
      <c r="J196" s="29">
        <v>2.6983099999999998</v>
      </c>
      <c r="K196" s="29">
        <v>2.6983099999999998</v>
      </c>
      <c r="L196" s="29" t="s">
        <v>383</v>
      </c>
      <c r="M196" s="29">
        <v>1</v>
      </c>
      <c r="N196" s="29">
        <v>0.23899999999999999</v>
      </c>
      <c r="P196" s="29">
        <v>2.6983099999999998</v>
      </c>
      <c r="Q196" s="29" t="s">
        <v>384</v>
      </c>
    </row>
    <row r="197" spans="1:17" x14ac:dyDescent="0.3">
      <c r="B197" s="29">
        <v>2</v>
      </c>
      <c r="C197" s="45" t="s">
        <v>380</v>
      </c>
      <c r="D197" s="30" t="s">
        <v>1024</v>
      </c>
      <c r="E197" s="29">
        <v>600</v>
      </c>
      <c r="G197" s="29" t="s">
        <v>385</v>
      </c>
      <c r="H197" s="29">
        <v>1</v>
      </c>
      <c r="I197" s="29">
        <v>11.29</v>
      </c>
      <c r="J197" s="29">
        <v>6.7739999999999991</v>
      </c>
      <c r="K197" s="29">
        <v>6.7739999999999991</v>
      </c>
      <c r="L197" s="29" t="s">
        <v>383</v>
      </c>
      <c r="M197" s="29">
        <v>1</v>
      </c>
      <c r="N197" s="29">
        <v>0.6</v>
      </c>
      <c r="P197" s="29">
        <v>6.7739999999999991</v>
      </c>
      <c r="Q197" s="29" t="s">
        <v>384</v>
      </c>
    </row>
    <row r="198" spans="1:17" x14ac:dyDescent="0.3">
      <c r="B198" s="29">
        <v>3</v>
      </c>
      <c r="C198" s="29" t="s">
        <v>386</v>
      </c>
      <c r="D198" s="30">
        <v>9</v>
      </c>
      <c r="E198" s="29">
        <v>150</v>
      </c>
      <c r="F198" s="29">
        <v>150</v>
      </c>
      <c r="G198" s="29" t="s">
        <v>292</v>
      </c>
      <c r="H198" s="29">
        <v>1</v>
      </c>
      <c r="J198" s="29">
        <v>1.5896249999999998</v>
      </c>
      <c r="K198" s="29">
        <v>1.5896249999999998</v>
      </c>
      <c r="L198" s="29" t="s">
        <v>293</v>
      </c>
      <c r="M198" s="29">
        <v>1</v>
      </c>
      <c r="O198" s="29">
        <v>1</v>
      </c>
      <c r="P198" s="29">
        <v>1.5896249999999998</v>
      </c>
      <c r="Q198" s="29" t="s">
        <v>294</v>
      </c>
    </row>
    <row r="199" spans="1:17" x14ac:dyDescent="0.3">
      <c r="B199" s="29">
        <v>4</v>
      </c>
      <c r="C199" s="29" t="s">
        <v>389</v>
      </c>
      <c r="D199" s="30">
        <v>9</v>
      </c>
      <c r="E199" s="29">
        <v>290</v>
      </c>
      <c r="F199" s="29">
        <v>290</v>
      </c>
      <c r="G199" s="29" t="s">
        <v>292</v>
      </c>
      <c r="H199" s="29">
        <v>1</v>
      </c>
      <c r="J199" s="29">
        <v>5.9416649999999995</v>
      </c>
      <c r="K199" s="29">
        <v>5.9416649999999995</v>
      </c>
      <c r="L199" s="29" t="s">
        <v>293</v>
      </c>
      <c r="M199" s="29">
        <v>1</v>
      </c>
      <c r="O199" s="29">
        <v>1</v>
      </c>
      <c r="P199" s="29">
        <v>5.9416649999999995</v>
      </c>
      <c r="Q199" s="29" t="s">
        <v>294</v>
      </c>
    </row>
    <row r="200" spans="1:17" x14ac:dyDescent="0.3">
      <c r="B200" s="29">
        <v>5</v>
      </c>
      <c r="C200" s="29" t="s">
        <v>390</v>
      </c>
      <c r="D200" s="30" t="s">
        <v>295</v>
      </c>
      <c r="G200" s="29" t="s">
        <v>382</v>
      </c>
      <c r="H200" s="29">
        <v>4</v>
      </c>
      <c r="J200" s="29">
        <v>1</v>
      </c>
      <c r="K200" s="29">
        <v>4</v>
      </c>
      <c r="L200" s="29" t="s">
        <v>391</v>
      </c>
      <c r="M200" s="29">
        <v>1</v>
      </c>
      <c r="O200" s="29">
        <v>4</v>
      </c>
      <c r="P200" s="29">
        <v>4</v>
      </c>
      <c r="Q200" s="29" t="s">
        <v>392</v>
      </c>
    </row>
    <row r="201" spans="1:17" x14ac:dyDescent="0.3">
      <c r="B201" s="29">
        <v>6</v>
      </c>
      <c r="C201" s="29" t="s">
        <v>387</v>
      </c>
      <c r="D201" s="30" t="s">
        <v>388</v>
      </c>
      <c r="E201" s="29">
        <v>150</v>
      </c>
      <c r="G201" s="29" t="s">
        <v>292</v>
      </c>
      <c r="H201" s="29">
        <v>2</v>
      </c>
      <c r="I201" s="29">
        <v>2.95</v>
      </c>
      <c r="J201" s="29">
        <v>0.4425</v>
      </c>
      <c r="K201" s="29">
        <v>0.88500000000000001</v>
      </c>
      <c r="L201" s="29" t="s">
        <v>383</v>
      </c>
      <c r="M201" s="29">
        <v>1</v>
      </c>
      <c r="N201" s="29">
        <v>0.3</v>
      </c>
      <c r="O201" s="29">
        <v>2</v>
      </c>
      <c r="P201" s="29">
        <v>0.88500000000000001</v>
      </c>
      <c r="Q201" s="29" t="s">
        <v>384</v>
      </c>
    </row>
    <row r="202" spans="1:17" x14ac:dyDescent="0.3">
      <c r="A202" s="29" t="s">
        <v>416</v>
      </c>
      <c r="B202" s="29">
        <v>1</v>
      </c>
      <c r="C202" s="45" t="s">
        <v>380</v>
      </c>
      <c r="D202" s="30" t="s">
        <v>1024</v>
      </c>
      <c r="E202" s="29">
        <v>239</v>
      </c>
      <c r="G202" s="29" t="s">
        <v>382</v>
      </c>
      <c r="H202" s="29">
        <v>1</v>
      </c>
      <c r="I202" s="29">
        <v>11.29</v>
      </c>
      <c r="J202" s="29">
        <v>2.6983099999999998</v>
      </c>
      <c r="K202" s="29">
        <v>2.6983099999999998</v>
      </c>
      <c r="L202" s="29" t="s">
        <v>383</v>
      </c>
      <c r="M202" s="29">
        <v>1</v>
      </c>
      <c r="N202" s="29">
        <v>0.23899999999999999</v>
      </c>
      <c r="P202" s="29">
        <v>2.6983099999999998</v>
      </c>
      <c r="Q202" s="29" t="s">
        <v>384</v>
      </c>
    </row>
    <row r="203" spans="1:17" x14ac:dyDescent="0.3">
      <c r="B203" s="29">
        <v>2</v>
      </c>
      <c r="C203" s="29" t="s">
        <v>380</v>
      </c>
      <c r="D203" s="30" t="s">
        <v>1024</v>
      </c>
      <c r="E203" s="29">
        <v>700</v>
      </c>
      <c r="G203" s="29" t="s">
        <v>385</v>
      </c>
      <c r="H203" s="29">
        <v>1</v>
      </c>
      <c r="I203" s="29">
        <v>11.29</v>
      </c>
      <c r="J203" s="29">
        <v>7.9029999999999987</v>
      </c>
      <c r="K203" s="29">
        <v>7.9029999999999987</v>
      </c>
      <c r="L203" s="29" t="s">
        <v>383</v>
      </c>
      <c r="M203" s="29">
        <v>1</v>
      </c>
      <c r="N203" s="29">
        <v>0.7</v>
      </c>
      <c r="P203" s="29">
        <v>7.9029999999999987</v>
      </c>
      <c r="Q203" s="29" t="s">
        <v>384</v>
      </c>
    </row>
    <row r="204" spans="1:17" x14ac:dyDescent="0.3">
      <c r="B204" s="29">
        <v>3</v>
      </c>
      <c r="C204" s="29" t="s">
        <v>386</v>
      </c>
      <c r="D204" s="30">
        <v>9</v>
      </c>
      <c r="E204" s="29">
        <v>150</v>
      </c>
      <c r="F204" s="29">
        <v>150</v>
      </c>
      <c r="G204" s="29" t="s">
        <v>292</v>
      </c>
      <c r="H204" s="29">
        <v>1</v>
      </c>
      <c r="J204" s="29">
        <v>1.5896249999999998</v>
      </c>
      <c r="K204" s="29">
        <v>1.5896249999999998</v>
      </c>
      <c r="L204" s="29" t="s">
        <v>293</v>
      </c>
      <c r="M204" s="29">
        <v>1</v>
      </c>
      <c r="O204" s="29">
        <v>1</v>
      </c>
      <c r="P204" s="29">
        <v>1.5896249999999998</v>
      </c>
      <c r="Q204" s="29" t="s">
        <v>294</v>
      </c>
    </row>
    <row r="205" spans="1:17" x14ac:dyDescent="0.3">
      <c r="B205" s="29">
        <v>4</v>
      </c>
      <c r="C205" s="29" t="s">
        <v>389</v>
      </c>
      <c r="D205" s="30">
        <v>9</v>
      </c>
      <c r="E205" s="29">
        <v>290</v>
      </c>
      <c r="F205" s="29">
        <v>290</v>
      </c>
      <c r="G205" s="29" t="s">
        <v>292</v>
      </c>
      <c r="H205" s="29">
        <v>1</v>
      </c>
      <c r="J205" s="29">
        <v>5.9416649999999995</v>
      </c>
      <c r="K205" s="29">
        <v>5.9416649999999995</v>
      </c>
      <c r="L205" s="29" t="s">
        <v>293</v>
      </c>
      <c r="M205" s="29">
        <v>1</v>
      </c>
      <c r="O205" s="29">
        <v>1</v>
      </c>
      <c r="P205" s="29">
        <v>5.9416649999999995</v>
      </c>
      <c r="Q205" s="29" t="s">
        <v>294</v>
      </c>
    </row>
    <row r="206" spans="1:17" x14ac:dyDescent="0.3">
      <c r="B206" s="29">
        <v>5</v>
      </c>
      <c r="C206" s="29" t="s">
        <v>390</v>
      </c>
      <c r="D206" s="30" t="s">
        <v>295</v>
      </c>
      <c r="G206" s="29" t="s">
        <v>382</v>
      </c>
      <c r="H206" s="29">
        <v>4</v>
      </c>
      <c r="J206" s="29">
        <v>1</v>
      </c>
      <c r="K206" s="29">
        <v>4</v>
      </c>
      <c r="L206" s="29" t="s">
        <v>391</v>
      </c>
      <c r="M206" s="29">
        <v>1</v>
      </c>
      <c r="O206" s="29">
        <v>4</v>
      </c>
      <c r="P206" s="29">
        <v>4</v>
      </c>
      <c r="Q206" s="29" t="s">
        <v>392</v>
      </c>
    </row>
    <row r="207" spans="1:17" x14ac:dyDescent="0.3">
      <c r="B207" s="29">
        <v>6</v>
      </c>
      <c r="C207" s="29" t="s">
        <v>387</v>
      </c>
      <c r="D207" s="30" t="s">
        <v>388</v>
      </c>
      <c r="E207" s="29">
        <v>150</v>
      </c>
      <c r="G207" s="29" t="s">
        <v>292</v>
      </c>
      <c r="H207" s="29">
        <v>2</v>
      </c>
      <c r="I207" s="29">
        <v>2.95</v>
      </c>
      <c r="J207" s="29">
        <v>0.4425</v>
      </c>
      <c r="K207" s="29">
        <v>0.88500000000000001</v>
      </c>
      <c r="L207" s="29" t="s">
        <v>383</v>
      </c>
      <c r="M207" s="29">
        <v>1</v>
      </c>
      <c r="N207" s="29">
        <v>0.3</v>
      </c>
      <c r="O207" s="29">
        <v>2</v>
      </c>
      <c r="P207" s="29">
        <v>0.88500000000000001</v>
      </c>
      <c r="Q207" s="29" t="s">
        <v>384</v>
      </c>
    </row>
    <row r="208" spans="1:17" x14ac:dyDescent="0.3">
      <c r="A208" s="29" t="s">
        <v>417</v>
      </c>
      <c r="B208" s="29">
        <v>1</v>
      </c>
      <c r="C208" s="29" t="s">
        <v>380</v>
      </c>
      <c r="D208" s="30" t="s">
        <v>1025</v>
      </c>
      <c r="E208" s="29">
        <v>286</v>
      </c>
      <c r="G208" s="29" t="s">
        <v>382</v>
      </c>
      <c r="H208" s="29">
        <v>1</v>
      </c>
      <c r="I208" s="29">
        <v>16.079999999999998</v>
      </c>
      <c r="J208" s="29">
        <v>4.5988799999999994</v>
      </c>
      <c r="K208" s="29">
        <v>4.5988799999999994</v>
      </c>
      <c r="L208" s="29" t="s">
        <v>383</v>
      </c>
      <c r="M208" s="29">
        <v>1</v>
      </c>
      <c r="N208" s="29">
        <v>0.28599999999999998</v>
      </c>
      <c r="P208" s="29">
        <v>4.5988799999999994</v>
      </c>
      <c r="Q208" s="29" t="s">
        <v>384</v>
      </c>
    </row>
    <row r="209" spans="1:17" x14ac:dyDescent="0.3">
      <c r="B209" s="29">
        <v>2</v>
      </c>
      <c r="C209" s="29" t="s">
        <v>380</v>
      </c>
      <c r="D209" s="30" t="s">
        <v>1025</v>
      </c>
      <c r="E209" s="29">
        <v>100</v>
      </c>
      <c r="G209" s="29" t="s">
        <v>385</v>
      </c>
      <c r="H209" s="29">
        <v>1</v>
      </c>
      <c r="I209" s="29">
        <v>16.079999999999998</v>
      </c>
      <c r="J209" s="29">
        <v>1.6079999999999999</v>
      </c>
      <c r="K209" s="29">
        <v>1.6079999999999999</v>
      </c>
      <c r="L209" s="29" t="s">
        <v>383</v>
      </c>
      <c r="M209" s="29">
        <v>1</v>
      </c>
      <c r="N209" s="29">
        <v>0.1</v>
      </c>
      <c r="P209" s="29">
        <v>1.6079999999999999</v>
      </c>
      <c r="Q209" s="29" t="s">
        <v>384</v>
      </c>
    </row>
    <row r="210" spans="1:17" x14ac:dyDescent="0.3">
      <c r="B210" s="29">
        <v>3</v>
      </c>
      <c r="C210" s="29" t="s">
        <v>386</v>
      </c>
      <c r="D210" s="30">
        <v>9</v>
      </c>
      <c r="E210" s="29">
        <v>230</v>
      </c>
      <c r="F210" s="29">
        <v>230</v>
      </c>
      <c r="G210" s="29" t="s">
        <v>292</v>
      </c>
      <c r="H210" s="29">
        <v>1</v>
      </c>
      <c r="J210" s="29">
        <v>3.7373849999999997</v>
      </c>
      <c r="K210" s="29">
        <v>3.7373849999999997</v>
      </c>
      <c r="L210" s="29" t="s">
        <v>293</v>
      </c>
      <c r="M210" s="29">
        <v>1</v>
      </c>
      <c r="O210" s="29">
        <v>1</v>
      </c>
      <c r="P210" s="29">
        <v>3.7373849999999997</v>
      </c>
      <c r="Q210" s="29" t="s">
        <v>294</v>
      </c>
    </row>
    <row r="211" spans="1:17" x14ac:dyDescent="0.3">
      <c r="B211" s="29">
        <v>4</v>
      </c>
      <c r="C211" s="29" t="s">
        <v>387</v>
      </c>
      <c r="D211" s="30" t="s">
        <v>388</v>
      </c>
      <c r="E211" s="29">
        <v>150</v>
      </c>
      <c r="G211" s="29" t="s">
        <v>292</v>
      </c>
      <c r="H211" s="29">
        <v>2</v>
      </c>
      <c r="I211" s="29">
        <v>2.95</v>
      </c>
      <c r="J211" s="29">
        <v>0.4425</v>
      </c>
      <c r="K211" s="29">
        <v>0.88500000000000001</v>
      </c>
      <c r="L211" s="29" t="s">
        <v>383</v>
      </c>
      <c r="M211" s="29">
        <v>1</v>
      </c>
      <c r="N211" s="29">
        <v>0.3</v>
      </c>
      <c r="O211" s="29">
        <v>2</v>
      </c>
      <c r="P211" s="29">
        <v>0.88500000000000001</v>
      </c>
      <c r="Q211" s="29" t="s">
        <v>384</v>
      </c>
    </row>
    <row r="212" spans="1:17" x14ac:dyDescent="0.3">
      <c r="A212" s="29" t="s">
        <v>417</v>
      </c>
      <c r="B212" s="29">
        <v>1</v>
      </c>
      <c r="C212" s="29" t="s">
        <v>380</v>
      </c>
      <c r="D212" s="30" t="s">
        <v>1025</v>
      </c>
      <c r="E212" s="29">
        <v>286</v>
      </c>
      <c r="G212" s="29" t="s">
        <v>382</v>
      </c>
      <c r="H212" s="29">
        <v>1</v>
      </c>
      <c r="I212" s="29">
        <v>16.079999999999998</v>
      </c>
      <c r="J212" s="29">
        <v>4.5988799999999994</v>
      </c>
      <c r="K212" s="29">
        <v>4.5988799999999994</v>
      </c>
      <c r="L212" s="29" t="s">
        <v>383</v>
      </c>
      <c r="M212" s="29">
        <v>1</v>
      </c>
      <c r="N212" s="29">
        <v>0.28599999999999998</v>
      </c>
      <c r="P212" s="29">
        <v>4.5988799999999994</v>
      </c>
      <c r="Q212" s="29" t="s">
        <v>384</v>
      </c>
    </row>
    <row r="213" spans="1:17" x14ac:dyDescent="0.3">
      <c r="B213" s="29">
        <v>2</v>
      </c>
      <c r="C213" s="29" t="s">
        <v>380</v>
      </c>
      <c r="D213" s="30" t="s">
        <v>1025</v>
      </c>
      <c r="E213" s="29">
        <v>100</v>
      </c>
      <c r="G213" s="29" t="s">
        <v>385</v>
      </c>
      <c r="H213" s="29">
        <v>1</v>
      </c>
      <c r="I213" s="29">
        <v>16.079999999999998</v>
      </c>
      <c r="J213" s="29">
        <v>1.6079999999999999</v>
      </c>
      <c r="K213" s="29">
        <v>1.6079999999999999</v>
      </c>
      <c r="L213" s="29" t="s">
        <v>383</v>
      </c>
      <c r="M213" s="29">
        <v>1</v>
      </c>
      <c r="N213" s="29">
        <v>0.1</v>
      </c>
      <c r="P213" s="29">
        <v>1.6079999999999999</v>
      </c>
      <c r="Q213" s="29" t="s">
        <v>384</v>
      </c>
    </row>
    <row r="214" spans="1:17" x14ac:dyDescent="0.3">
      <c r="B214" s="29">
        <v>3</v>
      </c>
      <c r="C214" s="29" t="s">
        <v>386</v>
      </c>
      <c r="D214" s="30">
        <v>9</v>
      </c>
      <c r="E214" s="29">
        <v>230</v>
      </c>
      <c r="F214" s="29">
        <v>230</v>
      </c>
      <c r="G214" s="29" t="s">
        <v>292</v>
      </c>
      <c r="H214" s="29">
        <v>1</v>
      </c>
      <c r="J214" s="29">
        <v>3.7373849999999997</v>
      </c>
      <c r="K214" s="29">
        <v>3.7373849999999997</v>
      </c>
      <c r="L214" s="29" t="s">
        <v>293</v>
      </c>
      <c r="M214" s="29">
        <v>1</v>
      </c>
      <c r="O214" s="29">
        <v>1</v>
      </c>
      <c r="P214" s="29">
        <v>3.7373849999999997</v>
      </c>
      <c r="Q214" s="29" t="s">
        <v>294</v>
      </c>
    </row>
    <row r="215" spans="1:17" x14ac:dyDescent="0.3">
      <c r="B215" s="29">
        <v>4</v>
      </c>
      <c r="C215" s="45" t="s">
        <v>387</v>
      </c>
      <c r="D215" s="30" t="s">
        <v>388</v>
      </c>
      <c r="E215" s="29">
        <v>150</v>
      </c>
      <c r="G215" s="29" t="s">
        <v>292</v>
      </c>
      <c r="H215" s="29">
        <v>2</v>
      </c>
      <c r="I215" s="29">
        <v>2.95</v>
      </c>
      <c r="J215" s="29">
        <v>0.4425</v>
      </c>
      <c r="K215" s="29">
        <v>0.88500000000000001</v>
      </c>
      <c r="L215" s="29" t="s">
        <v>383</v>
      </c>
      <c r="M215" s="29">
        <v>1</v>
      </c>
      <c r="N215" s="29">
        <v>0.3</v>
      </c>
      <c r="O215" s="29">
        <v>2</v>
      </c>
      <c r="P215" s="29">
        <v>0.88500000000000001</v>
      </c>
      <c r="Q215" s="29" t="s">
        <v>384</v>
      </c>
    </row>
    <row r="216" spans="1:17" x14ac:dyDescent="0.3">
      <c r="A216" s="29" t="s">
        <v>418</v>
      </c>
      <c r="B216" s="29">
        <v>1</v>
      </c>
      <c r="C216" s="29" t="s">
        <v>380</v>
      </c>
      <c r="D216" s="30" t="s">
        <v>1025</v>
      </c>
      <c r="E216" s="29">
        <v>286</v>
      </c>
      <c r="G216" s="29" t="s">
        <v>382</v>
      </c>
      <c r="H216" s="29">
        <v>1</v>
      </c>
      <c r="I216" s="29">
        <v>16.079999999999998</v>
      </c>
      <c r="J216" s="29">
        <v>4.5988799999999994</v>
      </c>
      <c r="K216" s="29">
        <v>4.5988799999999994</v>
      </c>
      <c r="L216" s="29" t="s">
        <v>383</v>
      </c>
      <c r="M216" s="29">
        <v>1</v>
      </c>
      <c r="N216" s="29">
        <v>0.28599999999999998</v>
      </c>
      <c r="P216" s="29">
        <v>4.5988799999999994</v>
      </c>
      <c r="Q216" s="29" t="s">
        <v>384</v>
      </c>
    </row>
    <row r="217" spans="1:17" x14ac:dyDescent="0.3">
      <c r="B217" s="29">
        <v>2</v>
      </c>
      <c r="C217" s="29" t="s">
        <v>380</v>
      </c>
      <c r="D217" s="30" t="s">
        <v>1025</v>
      </c>
      <c r="E217" s="29">
        <v>300</v>
      </c>
      <c r="G217" s="29" t="s">
        <v>385</v>
      </c>
      <c r="H217" s="29">
        <v>1</v>
      </c>
      <c r="I217" s="29">
        <v>16.079999999999998</v>
      </c>
      <c r="J217" s="29">
        <v>4.823999999999999</v>
      </c>
      <c r="K217" s="29">
        <v>4.823999999999999</v>
      </c>
      <c r="L217" s="29" t="s">
        <v>383</v>
      </c>
      <c r="M217" s="29">
        <v>1</v>
      </c>
      <c r="N217" s="29">
        <v>0.3</v>
      </c>
      <c r="P217" s="29">
        <v>4.823999999999999</v>
      </c>
      <c r="Q217" s="29" t="s">
        <v>384</v>
      </c>
    </row>
    <row r="218" spans="1:17" x14ac:dyDescent="0.3">
      <c r="B218" s="29">
        <v>3</v>
      </c>
      <c r="C218" s="29" t="s">
        <v>386</v>
      </c>
      <c r="D218" s="30">
        <v>9</v>
      </c>
      <c r="E218" s="29">
        <v>230</v>
      </c>
      <c r="F218" s="29">
        <v>230</v>
      </c>
      <c r="G218" s="29" t="s">
        <v>292</v>
      </c>
      <c r="H218" s="29">
        <v>1</v>
      </c>
      <c r="J218" s="29">
        <v>3.7373849999999997</v>
      </c>
      <c r="K218" s="29">
        <v>3.7373849999999997</v>
      </c>
      <c r="L218" s="29" t="s">
        <v>293</v>
      </c>
      <c r="M218" s="29">
        <v>1</v>
      </c>
      <c r="O218" s="29">
        <v>1</v>
      </c>
      <c r="P218" s="29">
        <v>3.7373849999999997</v>
      </c>
      <c r="Q218" s="29" t="s">
        <v>294</v>
      </c>
    </row>
    <row r="219" spans="1:17" x14ac:dyDescent="0.3">
      <c r="B219" s="29">
        <v>4</v>
      </c>
      <c r="C219" s="29" t="s">
        <v>387</v>
      </c>
      <c r="D219" s="30" t="s">
        <v>388</v>
      </c>
      <c r="E219" s="29">
        <v>150</v>
      </c>
      <c r="G219" s="29" t="s">
        <v>292</v>
      </c>
      <c r="H219" s="29">
        <v>2</v>
      </c>
      <c r="I219" s="29">
        <v>2.95</v>
      </c>
      <c r="J219" s="29">
        <v>0.4425</v>
      </c>
      <c r="K219" s="29">
        <v>0.88500000000000001</v>
      </c>
      <c r="L219" s="29" t="s">
        <v>383</v>
      </c>
      <c r="M219" s="29">
        <v>1</v>
      </c>
      <c r="N219" s="29">
        <v>0.3</v>
      </c>
      <c r="O219" s="29">
        <v>2</v>
      </c>
      <c r="P219" s="29">
        <v>0.88500000000000001</v>
      </c>
      <c r="Q219" s="29" t="s">
        <v>384</v>
      </c>
    </row>
    <row r="220" spans="1:17" x14ac:dyDescent="0.3">
      <c r="A220" s="29" t="s">
        <v>418</v>
      </c>
      <c r="B220" s="29">
        <v>1</v>
      </c>
      <c r="C220" s="29" t="s">
        <v>380</v>
      </c>
      <c r="D220" s="30" t="s">
        <v>1025</v>
      </c>
      <c r="E220" s="29">
        <v>286</v>
      </c>
      <c r="G220" s="29" t="s">
        <v>382</v>
      </c>
      <c r="H220" s="29">
        <v>1</v>
      </c>
      <c r="I220" s="29">
        <v>16.079999999999998</v>
      </c>
      <c r="J220" s="29">
        <v>4.5988799999999994</v>
      </c>
      <c r="K220" s="29">
        <v>4.5988799999999994</v>
      </c>
      <c r="L220" s="29" t="s">
        <v>383</v>
      </c>
      <c r="M220" s="29">
        <v>1</v>
      </c>
      <c r="N220" s="29">
        <v>0.28599999999999998</v>
      </c>
      <c r="P220" s="29">
        <v>4.5988799999999994</v>
      </c>
      <c r="Q220" s="29" t="s">
        <v>384</v>
      </c>
    </row>
    <row r="221" spans="1:17" x14ac:dyDescent="0.3">
      <c r="B221" s="29">
        <v>2</v>
      </c>
      <c r="C221" s="29" t="s">
        <v>380</v>
      </c>
      <c r="D221" s="30" t="s">
        <v>1025</v>
      </c>
      <c r="E221" s="29">
        <v>300</v>
      </c>
      <c r="G221" s="29" t="s">
        <v>385</v>
      </c>
      <c r="H221" s="29">
        <v>1</v>
      </c>
      <c r="I221" s="29">
        <v>16.079999999999998</v>
      </c>
      <c r="J221" s="29">
        <v>4.823999999999999</v>
      </c>
      <c r="K221" s="29">
        <v>4.823999999999999</v>
      </c>
      <c r="L221" s="29" t="s">
        <v>383</v>
      </c>
      <c r="M221" s="29">
        <v>1</v>
      </c>
      <c r="N221" s="29">
        <v>0.3</v>
      </c>
      <c r="P221" s="29">
        <v>4.823999999999999</v>
      </c>
      <c r="Q221" s="29" t="s">
        <v>384</v>
      </c>
    </row>
    <row r="222" spans="1:17" x14ac:dyDescent="0.3">
      <c r="B222" s="29">
        <v>3</v>
      </c>
      <c r="C222" s="29" t="s">
        <v>386</v>
      </c>
      <c r="D222" s="30">
        <v>9</v>
      </c>
      <c r="E222" s="29">
        <v>230</v>
      </c>
      <c r="F222" s="29">
        <v>230</v>
      </c>
      <c r="G222" s="29" t="s">
        <v>292</v>
      </c>
      <c r="H222" s="29">
        <v>1</v>
      </c>
      <c r="J222" s="29">
        <v>3.7373849999999997</v>
      </c>
      <c r="K222" s="29">
        <v>3.7373849999999997</v>
      </c>
      <c r="L222" s="29" t="s">
        <v>293</v>
      </c>
      <c r="M222" s="29">
        <v>1</v>
      </c>
      <c r="O222" s="29">
        <v>1</v>
      </c>
      <c r="P222" s="29">
        <v>3.7373849999999997</v>
      </c>
      <c r="Q222" s="29" t="s">
        <v>294</v>
      </c>
    </row>
    <row r="223" spans="1:17" x14ac:dyDescent="0.3">
      <c r="B223" s="29">
        <v>4</v>
      </c>
      <c r="C223" s="45" t="s">
        <v>387</v>
      </c>
      <c r="D223" s="30" t="s">
        <v>388</v>
      </c>
      <c r="E223" s="29">
        <v>150</v>
      </c>
      <c r="G223" s="29" t="s">
        <v>292</v>
      </c>
      <c r="H223" s="29">
        <v>2</v>
      </c>
      <c r="I223" s="29">
        <v>2.95</v>
      </c>
      <c r="J223" s="29">
        <v>0.4425</v>
      </c>
      <c r="K223" s="29">
        <v>0.88500000000000001</v>
      </c>
      <c r="L223" s="29" t="s">
        <v>383</v>
      </c>
      <c r="M223" s="29">
        <v>1</v>
      </c>
      <c r="N223" s="29">
        <v>0.3</v>
      </c>
      <c r="O223" s="29">
        <v>2</v>
      </c>
      <c r="P223" s="29">
        <v>0.88500000000000001</v>
      </c>
      <c r="Q223" s="29" t="s">
        <v>384</v>
      </c>
    </row>
    <row r="224" spans="1:17" x14ac:dyDescent="0.3">
      <c r="A224" s="29" t="s">
        <v>419</v>
      </c>
      <c r="B224" s="29">
        <v>1</v>
      </c>
      <c r="C224" s="29" t="s">
        <v>380</v>
      </c>
      <c r="D224" s="30" t="s">
        <v>1025</v>
      </c>
      <c r="E224" s="29">
        <v>286</v>
      </c>
      <c r="G224" s="29" t="s">
        <v>382</v>
      </c>
      <c r="H224" s="29">
        <v>1</v>
      </c>
      <c r="I224" s="29">
        <v>16.079999999999998</v>
      </c>
      <c r="J224" s="29">
        <v>4.5988799999999994</v>
      </c>
      <c r="K224" s="29">
        <v>4.5988799999999994</v>
      </c>
      <c r="L224" s="29" t="s">
        <v>383</v>
      </c>
      <c r="M224" s="29">
        <v>1</v>
      </c>
      <c r="N224" s="29">
        <v>0.28599999999999998</v>
      </c>
      <c r="P224" s="29">
        <v>4.5988799999999994</v>
      </c>
      <c r="Q224" s="29" t="s">
        <v>384</v>
      </c>
    </row>
    <row r="225" spans="1:17" x14ac:dyDescent="0.3">
      <c r="B225" s="29">
        <v>2</v>
      </c>
      <c r="C225" s="29" t="s">
        <v>380</v>
      </c>
      <c r="D225" s="30" t="s">
        <v>1025</v>
      </c>
      <c r="E225" s="29">
        <v>400</v>
      </c>
      <c r="G225" s="29" t="s">
        <v>385</v>
      </c>
      <c r="H225" s="29">
        <v>1</v>
      </c>
      <c r="I225" s="29">
        <v>16.079999999999998</v>
      </c>
      <c r="J225" s="29">
        <v>6.4319999999999995</v>
      </c>
      <c r="K225" s="29">
        <v>6.4319999999999995</v>
      </c>
      <c r="L225" s="29" t="s">
        <v>383</v>
      </c>
      <c r="M225" s="29">
        <v>1</v>
      </c>
      <c r="N225" s="29">
        <v>0.4</v>
      </c>
      <c r="P225" s="29">
        <v>6.4319999999999995</v>
      </c>
      <c r="Q225" s="29" t="s">
        <v>384</v>
      </c>
    </row>
    <row r="226" spans="1:17" x14ac:dyDescent="0.3">
      <c r="B226" s="29">
        <v>3</v>
      </c>
      <c r="C226" s="29" t="s">
        <v>1026</v>
      </c>
      <c r="D226" s="30">
        <v>9</v>
      </c>
      <c r="E226" s="29">
        <v>260</v>
      </c>
      <c r="F226" s="29">
        <v>260</v>
      </c>
      <c r="G226" s="29" t="s">
        <v>292</v>
      </c>
      <c r="H226" s="29">
        <v>1</v>
      </c>
      <c r="J226" s="29">
        <v>4.7759399999999994</v>
      </c>
      <c r="K226" s="29">
        <v>4.7759399999999994</v>
      </c>
      <c r="L226" s="29" t="s">
        <v>293</v>
      </c>
      <c r="M226" s="29">
        <v>1</v>
      </c>
      <c r="O226" s="29">
        <v>1</v>
      </c>
      <c r="P226" s="29">
        <v>4.7759399999999994</v>
      </c>
      <c r="Q226" s="29" t="s">
        <v>294</v>
      </c>
    </row>
    <row r="227" spans="1:17" x14ac:dyDescent="0.3">
      <c r="B227" s="29">
        <v>4</v>
      </c>
      <c r="C227" s="29" t="s">
        <v>390</v>
      </c>
      <c r="D227" s="30" t="s">
        <v>295</v>
      </c>
      <c r="G227" s="29" t="s">
        <v>382</v>
      </c>
      <c r="H227" s="29">
        <v>4</v>
      </c>
      <c r="J227" s="29">
        <v>1</v>
      </c>
      <c r="K227" s="29">
        <v>4</v>
      </c>
      <c r="L227" s="29" t="s">
        <v>391</v>
      </c>
      <c r="M227" s="29">
        <v>1</v>
      </c>
      <c r="O227" s="29">
        <v>4</v>
      </c>
      <c r="P227" s="29">
        <v>4</v>
      </c>
      <c r="Q227" s="29" t="s">
        <v>392</v>
      </c>
    </row>
    <row r="228" spans="1:17" x14ac:dyDescent="0.3">
      <c r="A228" s="29" t="s">
        <v>420</v>
      </c>
      <c r="B228" s="29">
        <v>1</v>
      </c>
      <c r="C228" s="29" t="s">
        <v>380</v>
      </c>
      <c r="D228" s="30" t="s">
        <v>1025</v>
      </c>
      <c r="E228" s="29">
        <v>286</v>
      </c>
      <c r="G228" s="29" t="s">
        <v>382</v>
      </c>
      <c r="H228" s="29">
        <v>1</v>
      </c>
      <c r="I228" s="29">
        <v>16.079999999999998</v>
      </c>
      <c r="J228" s="29">
        <v>4.5988799999999994</v>
      </c>
      <c r="K228" s="29">
        <v>4.5988799999999994</v>
      </c>
      <c r="L228" s="29" t="s">
        <v>383</v>
      </c>
      <c r="M228" s="29">
        <v>1</v>
      </c>
      <c r="N228" s="29">
        <v>0.28599999999999998</v>
      </c>
      <c r="P228" s="29">
        <v>4.5988799999999994</v>
      </c>
      <c r="Q228" s="29" t="s">
        <v>384</v>
      </c>
    </row>
    <row r="229" spans="1:17" x14ac:dyDescent="0.3">
      <c r="B229" s="29">
        <v>2</v>
      </c>
      <c r="C229" s="29" t="s">
        <v>380</v>
      </c>
      <c r="D229" s="30" t="s">
        <v>1025</v>
      </c>
      <c r="E229" s="29">
        <v>500</v>
      </c>
      <c r="G229" s="29" t="s">
        <v>385</v>
      </c>
      <c r="H229" s="29">
        <v>1</v>
      </c>
      <c r="I229" s="29">
        <v>16.079999999999998</v>
      </c>
      <c r="J229" s="29">
        <v>8.0399999999999991</v>
      </c>
      <c r="K229" s="29">
        <v>8.0399999999999991</v>
      </c>
      <c r="L229" s="29" t="s">
        <v>383</v>
      </c>
      <c r="M229" s="29">
        <v>1</v>
      </c>
      <c r="N229" s="29">
        <v>0.5</v>
      </c>
      <c r="P229" s="29">
        <v>8.0399999999999991</v>
      </c>
      <c r="Q229" s="29" t="s">
        <v>384</v>
      </c>
    </row>
    <row r="230" spans="1:17" x14ac:dyDescent="0.3">
      <c r="B230" s="29">
        <v>3</v>
      </c>
      <c r="C230" s="29" t="s">
        <v>386</v>
      </c>
      <c r="D230" s="30">
        <v>9</v>
      </c>
      <c r="E230" s="29">
        <v>230</v>
      </c>
      <c r="F230" s="29">
        <v>230</v>
      </c>
      <c r="G230" s="29" t="s">
        <v>292</v>
      </c>
      <c r="H230" s="29">
        <v>1</v>
      </c>
      <c r="J230" s="29">
        <v>3.7373849999999997</v>
      </c>
      <c r="K230" s="29">
        <v>3.7373849999999997</v>
      </c>
      <c r="L230" s="29" t="s">
        <v>293</v>
      </c>
      <c r="M230" s="29">
        <v>1</v>
      </c>
      <c r="O230" s="29">
        <v>1</v>
      </c>
      <c r="P230" s="29">
        <v>3.7373849999999997</v>
      </c>
      <c r="Q230" s="29" t="s">
        <v>294</v>
      </c>
    </row>
    <row r="231" spans="1:17" x14ac:dyDescent="0.3">
      <c r="B231" s="29">
        <v>4</v>
      </c>
      <c r="C231" s="29" t="s">
        <v>387</v>
      </c>
      <c r="D231" s="30" t="s">
        <v>388</v>
      </c>
      <c r="E231" s="29">
        <v>150</v>
      </c>
      <c r="G231" s="29" t="s">
        <v>292</v>
      </c>
      <c r="H231" s="29">
        <v>2</v>
      </c>
      <c r="I231" s="29">
        <v>2.95</v>
      </c>
      <c r="J231" s="29">
        <v>0.4425</v>
      </c>
      <c r="K231" s="29">
        <v>0.88500000000000001</v>
      </c>
      <c r="L231" s="29" t="s">
        <v>383</v>
      </c>
      <c r="M231" s="29">
        <v>1</v>
      </c>
      <c r="N231" s="29">
        <v>0.3</v>
      </c>
      <c r="O231" s="29">
        <v>2</v>
      </c>
      <c r="P231" s="29">
        <v>0.88500000000000001</v>
      </c>
      <c r="Q231" s="29" t="s">
        <v>384</v>
      </c>
    </row>
    <row r="232" spans="1:17" x14ac:dyDescent="0.3">
      <c r="A232" s="29" t="s">
        <v>421</v>
      </c>
      <c r="B232" s="29">
        <v>1</v>
      </c>
      <c r="C232" s="29" t="s">
        <v>380</v>
      </c>
      <c r="D232" s="30" t="s">
        <v>1025</v>
      </c>
      <c r="E232" s="29">
        <v>286</v>
      </c>
      <c r="G232" s="29" t="s">
        <v>382</v>
      </c>
      <c r="H232" s="29">
        <v>1</v>
      </c>
      <c r="I232" s="29">
        <v>16.079999999999998</v>
      </c>
      <c r="J232" s="29">
        <v>4.5988799999999994</v>
      </c>
      <c r="K232" s="29">
        <v>4.5988799999999994</v>
      </c>
      <c r="L232" s="29" t="s">
        <v>383</v>
      </c>
      <c r="M232" s="29">
        <v>1</v>
      </c>
      <c r="N232" s="29">
        <v>0.28599999999999998</v>
      </c>
      <c r="P232" s="29">
        <v>4.5988799999999994</v>
      </c>
      <c r="Q232" s="29" t="s">
        <v>384</v>
      </c>
    </row>
    <row r="233" spans="1:17" x14ac:dyDescent="0.3">
      <c r="B233" s="29">
        <v>2</v>
      </c>
      <c r="C233" s="29" t="s">
        <v>380</v>
      </c>
      <c r="D233" s="30" t="s">
        <v>1025</v>
      </c>
      <c r="E233" s="29">
        <v>600</v>
      </c>
      <c r="G233" s="29" t="s">
        <v>385</v>
      </c>
      <c r="H233" s="29">
        <v>1</v>
      </c>
      <c r="I233" s="29">
        <v>16.079999999999998</v>
      </c>
      <c r="J233" s="29">
        <v>9.6479999999999979</v>
      </c>
      <c r="K233" s="29">
        <v>9.6479999999999979</v>
      </c>
      <c r="L233" s="29" t="s">
        <v>383</v>
      </c>
      <c r="M233" s="29">
        <v>1</v>
      </c>
      <c r="N233" s="29">
        <v>0.6</v>
      </c>
      <c r="P233" s="29">
        <v>9.6479999999999979</v>
      </c>
      <c r="Q233" s="29" t="s">
        <v>384</v>
      </c>
    </row>
    <row r="234" spans="1:17" x14ac:dyDescent="0.3">
      <c r="B234" s="29">
        <v>3</v>
      </c>
      <c r="C234" s="29" t="s">
        <v>386</v>
      </c>
      <c r="D234" s="30">
        <v>9</v>
      </c>
      <c r="E234" s="29">
        <v>230</v>
      </c>
      <c r="F234" s="29">
        <v>230</v>
      </c>
      <c r="G234" s="29" t="s">
        <v>292</v>
      </c>
      <c r="H234" s="29">
        <v>1</v>
      </c>
      <c r="J234" s="29">
        <v>3.7373849999999997</v>
      </c>
      <c r="K234" s="29">
        <v>3.7373849999999997</v>
      </c>
      <c r="L234" s="29" t="s">
        <v>293</v>
      </c>
      <c r="M234" s="29">
        <v>1</v>
      </c>
      <c r="O234" s="29">
        <v>1</v>
      </c>
      <c r="P234" s="29">
        <v>3.7373849999999997</v>
      </c>
      <c r="Q234" s="29" t="s">
        <v>294</v>
      </c>
    </row>
    <row r="235" spans="1:17" x14ac:dyDescent="0.3">
      <c r="B235" s="29">
        <v>4</v>
      </c>
      <c r="C235" s="29" t="s">
        <v>389</v>
      </c>
      <c r="D235" s="30">
        <v>9</v>
      </c>
      <c r="E235" s="29">
        <v>370</v>
      </c>
      <c r="F235" s="29">
        <v>370</v>
      </c>
      <c r="G235" s="29" t="s">
        <v>292</v>
      </c>
      <c r="H235" s="29">
        <v>1</v>
      </c>
      <c r="J235" s="29">
        <v>9.6719849999999994</v>
      </c>
      <c r="K235" s="29">
        <v>9.6719849999999994</v>
      </c>
      <c r="L235" s="29" t="s">
        <v>293</v>
      </c>
      <c r="M235" s="29">
        <v>1</v>
      </c>
      <c r="O235" s="29">
        <v>1</v>
      </c>
      <c r="P235" s="29">
        <v>9.6719849999999994</v>
      </c>
      <c r="Q235" s="29" t="s">
        <v>294</v>
      </c>
    </row>
    <row r="236" spans="1:17" x14ac:dyDescent="0.3">
      <c r="B236" s="29">
        <v>5</v>
      </c>
      <c r="C236" s="29" t="s">
        <v>390</v>
      </c>
      <c r="D236" s="30" t="s">
        <v>295</v>
      </c>
      <c r="G236" s="29" t="s">
        <v>382</v>
      </c>
      <c r="H236" s="29">
        <v>4</v>
      </c>
      <c r="J236" s="29">
        <v>1</v>
      </c>
      <c r="K236" s="29">
        <v>4</v>
      </c>
      <c r="L236" s="29" t="s">
        <v>391</v>
      </c>
      <c r="M236" s="29">
        <v>1</v>
      </c>
      <c r="O236" s="29">
        <v>4</v>
      </c>
      <c r="P236" s="29">
        <v>4</v>
      </c>
      <c r="Q236" s="29" t="s">
        <v>392</v>
      </c>
    </row>
    <row r="237" spans="1:17" x14ac:dyDescent="0.3">
      <c r="B237" s="29">
        <v>6</v>
      </c>
      <c r="C237" s="29" t="s">
        <v>387</v>
      </c>
      <c r="D237" s="30" t="s">
        <v>388</v>
      </c>
      <c r="E237" s="29">
        <v>150</v>
      </c>
      <c r="G237" s="29" t="s">
        <v>292</v>
      </c>
      <c r="H237" s="29">
        <v>2</v>
      </c>
      <c r="I237" s="29">
        <v>2.95</v>
      </c>
      <c r="J237" s="29">
        <v>0.4425</v>
      </c>
      <c r="K237" s="29">
        <v>0.88500000000000001</v>
      </c>
      <c r="L237" s="29" t="s">
        <v>383</v>
      </c>
      <c r="M237" s="29">
        <v>1</v>
      </c>
      <c r="N237" s="29">
        <v>0.3</v>
      </c>
      <c r="O237" s="29">
        <v>2</v>
      </c>
      <c r="P237" s="29">
        <v>0.88500000000000001</v>
      </c>
      <c r="Q237" s="29" t="s">
        <v>384</v>
      </c>
    </row>
    <row r="238" spans="1:17" x14ac:dyDescent="0.3">
      <c r="A238" s="29" t="s">
        <v>422</v>
      </c>
      <c r="B238" s="29">
        <v>1</v>
      </c>
      <c r="C238" s="29" t="s">
        <v>380</v>
      </c>
      <c r="D238" s="30" t="s">
        <v>1025</v>
      </c>
      <c r="E238" s="29">
        <v>286</v>
      </c>
      <c r="G238" s="29" t="s">
        <v>382</v>
      </c>
      <c r="H238" s="29">
        <v>1</v>
      </c>
      <c r="I238" s="29">
        <v>16.079999999999998</v>
      </c>
      <c r="J238" s="29">
        <v>4.5988799999999994</v>
      </c>
      <c r="K238" s="29">
        <v>4.5988799999999994</v>
      </c>
      <c r="L238" s="29" t="s">
        <v>383</v>
      </c>
      <c r="M238" s="29">
        <v>1</v>
      </c>
      <c r="N238" s="29">
        <v>0.28599999999999998</v>
      </c>
      <c r="P238" s="29">
        <v>4.5988799999999994</v>
      </c>
      <c r="Q238" s="29" t="s">
        <v>384</v>
      </c>
    </row>
    <row r="239" spans="1:17" x14ac:dyDescent="0.3">
      <c r="B239" s="29">
        <v>2</v>
      </c>
      <c r="C239" s="29" t="s">
        <v>380</v>
      </c>
      <c r="D239" s="30" t="s">
        <v>1025</v>
      </c>
      <c r="E239" s="29">
        <v>600</v>
      </c>
      <c r="G239" s="29" t="s">
        <v>385</v>
      </c>
      <c r="H239" s="29">
        <v>1</v>
      </c>
      <c r="I239" s="29">
        <v>16.079999999999998</v>
      </c>
      <c r="J239" s="29">
        <v>9.6479999999999979</v>
      </c>
      <c r="K239" s="29">
        <v>9.6479999999999979</v>
      </c>
      <c r="L239" s="29" t="s">
        <v>383</v>
      </c>
      <c r="M239" s="29">
        <v>1</v>
      </c>
      <c r="N239" s="29">
        <v>0.6</v>
      </c>
      <c r="P239" s="29">
        <v>9.6479999999999979</v>
      </c>
      <c r="Q239" s="29" t="s">
        <v>384</v>
      </c>
    </row>
    <row r="240" spans="1:17" x14ac:dyDescent="0.3">
      <c r="B240" s="29">
        <v>3</v>
      </c>
      <c r="C240" s="29" t="s">
        <v>386</v>
      </c>
      <c r="D240" s="30">
        <v>9</v>
      </c>
      <c r="E240" s="29">
        <v>230</v>
      </c>
      <c r="F240" s="29">
        <v>230</v>
      </c>
      <c r="G240" s="29" t="s">
        <v>292</v>
      </c>
      <c r="H240" s="29">
        <v>1</v>
      </c>
      <c r="J240" s="29">
        <v>3.7373849999999997</v>
      </c>
      <c r="K240" s="29">
        <v>3.7373849999999997</v>
      </c>
      <c r="L240" s="29" t="s">
        <v>293</v>
      </c>
      <c r="M240" s="29">
        <v>1</v>
      </c>
      <c r="O240" s="29">
        <v>1</v>
      </c>
      <c r="P240" s="29">
        <v>3.7373849999999997</v>
      </c>
      <c r="Q240" s="29" t="s">
        <v>294</v>
      </c>
    </row>
    <row r="241" spans="1:17" x14ac:dyDescent="0.3">
      <c r="B241" s="29">
        <v>4</v>
      </c>
      <c r="C241" s="29" t="s">
        <v>389</v>
      </c>
      <c r="D241" s="30">
        <v>9</v>
      </c>
      <c r="E241" s="29">
        <v>370</v>
      </c>
      <c r="F241" s="29">
        <v>370</v>
      </c>
      <c r="G241" s="29" t="s">
        <v>292</v>
      </c>
      <c r="H241" s="29">
        <v>1</v>
      </c>
      <c r="J241" s="29">
        <v>9.6719849999999994</v>
      </c>
      <c r="K241" s="29">
        <v>9.6719849999999994</v>
      </c>
      <c r="L241" s="29" t="s">
        <v>293</v>
      </c>
      <c r="M241" s="29">
        <v>1</v>
      </c>
      <c r="O241" s="29">
        <v>1</v>
      </c>
      <c r="P241" s="29">
        <v>9.6719849999999994</v>
      </c>
      <c r="Q241" s="29" t="s">
        <v>294</v>
      </c>
    </row>
    <row r="242" spans="1:17" x14ac:dyDescent="0.3">
      <c r="B242" s="29">
        <v>5</v>
      </c>
      <c r="C242" s="29" t="s">
        <v>390</v>
      </c>
      <c r="D242" s="30" t="s">
        <v>295</v>
      </c>
      <c r="G242" s="29" t="s">
        <v>382</v>
      </c>
      <c r="H242" s="29">
        <v>4</v>
      </c>
      <c r="J242" s="29">
        <v>1</v>
      </c>
      <c r="K242" s="29">
        <v>4</v>
      </c>
      <c r="L242" s="29" t="s">
        <v>391</v>
      </c>
      <c r="M242" s="29">
        <v>1</v>
      </c>
      <c r="O242" s="29">
        <v>4</v>
      </c>
      <c r="P242" s="29">
        <v>4</v>
      </c>
      <c r="Q242" s="29" t="s">
        <v>392</v>
      </c>
    </row>
    <row r="243" spans="1:17" x14ac:dyDescent="0.3">
      <c r="B243" s="29">
        <v>6</v>
      </c>
      <c r="C243" s="29" t="s">
        <v>387</v>
      </c>
      <c r="D243" s="29" t="s">
        <v>388</v>
      </c>
      <c r="E243" s="29">
        <v>150</v>
      </c>
      <c r="G243" s="29" t="s">
        <v>292</v>
      </c>
      <c r="H243" s="29">
        <v>2</v>
      </c>
      <c r="I243" s="29">
        <v>2.95</v>
      </c>
      <c r="J243" s="29">
        <v>0.4425</v>
      </c>
      <c r="K243" s="29">
        <v>0.88500000000000001</v>
      </c>
      <c r="L243" s="29" t="s">
        <v>383</v>
      </c>
      <c r="M243" s="29">
        <v>1</v>
      </c>
      <c r="N243" s="29">
        <v>0.3</v>
      </c>
      <c r="O243" s="29">
        <v>2</v>
      </c>
      <c r="P243" s="29">
        <v>0.88500000000000001</v>
      </c>
      <c r="Q243" s="29" t="s">
        <v>384</v>
      </c>
    </row>
    <row r="244" spans="1:17" x14ac:dyDescent="0.3">
      <c r="A244" s="29" t="s">
        <v>423</v>
      </c>
      <c r="B244" s="29">
        <v>1</v>
      </c>
      <c r="C244" s="29" t="s">
        <v>380</v>
      </c>
      <c r="D244" s="30" t="s">
        <v>1025</v>
      </c>
      <c r="E244" s="29">
        <v>286</v>
      </c>
      <c r="G244" s="29" t="s">
        <v>382</v>
      </c>
      <c r="H244" s="29">
        <v>1</v>
      </c>
      <c r="I244" s="29">
        <v>16.079999999999998</v>
      </c>
      <c r="J244" s="29">
        <v>4.5988799999999994</v>
      </c>
      <c r="K244" s="29">
        <v>4.5988799999999994</v>
      </c>
      <c r="L244" s="29" t="s">
        <v>383</v>
      </c>
      <c r="M244" s="29">
        <v>1</v>
      </c>
      <c r="N244" s="29">
        <v>0.28599999999999998</v>
      </c>
      <c r="P244" s="29">
        <v>4.5988799999999994</v>
      </c>
      <c r="Q244" s="29" t="s">
        <v>384</v>
      </c>
    </row>
    <row r="245" spans="1:17" x14ac:dyDescent="0.3">
      <c r="B245" s="29">
        <v>2</v>
      </c>
      <c r="C245" s="29" t="s">
        <v>380</v>
      </c>
      <c r="D245" s="30" t="s">
        <v>1025</v>
      </c>
      <c r="E245" s="29">
        <v>700</v>
      </c>
      <c r="G245" s="29" t="s">
        <v>385</v>
      </c>
      <c r="H245" s="29">
        <v>1</v>
      </c>
      <c r="I245" s="29">
        <v>16.079999999999998</v>
      </c>
      <c r="J245" s="29">
        <v>11.255999999999998</v>
      </c>
      <c r="K245" s="29">
        <v>11.255999999999998</v>
      </c>
      <c r="L245" s="29" t="s">
        <v>383</v>
      </c>
      <c r="M245" s="29">
        <v>1</v>
      </c>
      <c r="N245" s="29">
        <v>0.7</v>
      </c>
      <c r="P245" s="29">
        <v>11.255999999999998</v>
      </c>
      <c r="Q245" s="29" t="s">
        <v>384</v>
      </c>
    </row>
    <row r="246" spans="1:17" x14ac:dyDescent="0.3">
      <c r="B246" s="29">
        <v>3</v>
      </c>
      <c r="C246" s="29" t="s">
        <v>386</v>
      </c>
      <c r="D246" s="30">
        <v>9</v>
      </c>
      <c r="E246" s="29">
        <v>230</v>
      </c>
      <c r="F246" s="29">
        <v>230</v>
      </c>
      <c r="G246" s="29" t="s">
        <v>292</v>
      </c>
      <c r="H246" s="29">
        <v>1</v>
      </c>
      <c r="J246" s="29">
        <v>3.7373849999999997</v>
      </c>
      <c r="K246" s="29">
        <v>3.7373849999999997</v>
      </c>
      <c r="L246" s="29" t="s">
        <v>293</v>
      </c>
      <c r="M246" s="29">
        <v>1</v>
      </c>
      <c r="O246" s="29">
        <v>1</v>
      </c>
      <c r="P246" s="29">
        <v>3.7373849999999997</v>
      </c>
      <c r="Q246" s="29" t="s">
        <v>294</v>
      </c>
    </row>
    <row r="247" spans="1:17" x14ac:dyDescent="0.3">
      <c r="B247" s="29">
        <v>4</v>
      </c>
      <c r="C247" s="29" t="s">
        <v>389</v>
      </c>
      <c r="D247" s="30">
        <v>9</v>
      </c>
      <c r="E247" s="29">
        <v>370</v>
      </c>
      <c r="F247" s="29">
        <v>370</v>
      </c>
      <c r="G247" s="29" t="s">
        <v>292</v>
      </c>
      <c r="H247" s="29">
        <v>1</v>
      </c>
      <c r="J247" s="29">
        <v>9.6719849999999994</v>
      </c>
      <c r="K247" s="29">
        <v>9.6719849999999994</v>
      </c>
      <c r="L247" s="29" t="s">
        <v>293</v>
      </c>
      <c r="M247" s="29">
        <v>1</v>
      </c>
      <c r="O247" s="29">
        <v>1</v>
      </c>
      <c r="P247" s="29">
        <v>9.6719849999999994</v>
      </c>
      <c r="Q247" s="29" t="s">
        <v>294</v>
      </c>
    </row>
    <row r="248" spans="1:17" x14ac:dyDescent="0.3">
      <c r="B248" s="29">
        <v>5</v>
      </c>
      <c r="C248" s="29" t="s">
        <v>390</v>
      </c>
      <c r="D248" s="30" t="s">
        <v>295</v>
      </c>
      <c r="G248" s="29" t="s">
        <v>382</v>
      </c>
      <c r="H248" s="29">
        <v>4</v>
      </c>
      <c r="J248" s="29">
        <v>1</v>
      </c>
      <c r="K248" s="29">
        <v>4</v>
      </c>
      <c r="L248" s="29" t="s">
        <v>391</v>
      </c>
      <c r="M248" s="29">
        <v>1</v>
      </c>
      <c r="O248" s="29">
        <v>4</v>
      </c>
      <c r="P248" s="29">
        <v>4</v>
      </c>
      <c r="Q248" s="29" t="s">
        <v>392</v>
      </c>
    </row>
    <row r="249" spans="1:17" x14ac:dyDescent="0.3">
      <c r="B249" s="29">
        <v>6</v>
      </c>
      <c r="C249" s="29" t="s">
        <v>387</v>
      </c>
      <c r="D249" s="29" t="s">
        <v>388</v>
      </c>
      <c r="E249" s="29">
        <v>150</v>
      </c>
      <c r="G249" s="29" t="s">
        <v>292</v>
      </c>
      <c r="H249" s="29">
        <v>2</v>
      </c>
      <c r="I249" s="29">
        <v>2.95</v>
      </c>
      <c r="J249" s="29">
        <v>0.4425</v>
      </c>
      <c r="K249" s="29">
        <v>0.88500000000000001</v>
      </c>
      <c r="L249" s="29" t="s">
        <v>383</v>
      </c>
      <c r="M249" s="29">
        <v>1</v>
      </c>
      <c r="N249" s="29">
        <v>0.3</v>
      </c>
      <c r="O249" s="29">
        <v>2</v>
      </c>
      <c r="P249" s="29">
        <v>0.88500000000000001</v>
      </c>
      <c r="Q249" s="29" t="s">
        <v>384</v>
      </c>
    </row>
    <row r="250" spans="1:17" x14ac:dyDescent="0.3">
      <c r="A250" s="29" t="s">
        <v>424</v>
      </c>
      <c r="B250" s="29">
        <v>1</v>
      </c>
      <c r="C250" s="29" t="s">
        <v>380</v>
      </c>
      <c r="D250" s="30" t="s">
        <v>1025</v>
      </c>
      <c r="E250" s="29">
        <v>286</v>
      </c>
      <c r="G250" s="29" t="s">
        <v>382</v>
      </c>
      <c r="H250" s="29">
        <v>1</v>
      </c>
      <c r="I250" s="29">
        <v>16.079999999999998</v>
      </c>
      <c r="J250" s="29">
        <v>4.5988799999999994</v>
      </c>
      <c r="K250" s="29">
        <v>4.5988799999999994</v>
      </c>
      <c r="L250" s="29" t="s">
        <v>383</v>
      </c>
      <c r="M250" s="29">
        <v>1</v>
      </c>
      <c r="N250" s="29">
        <v>0.28599999999999998</v>
      </c>
      <c r="P250" s="29">
        <v>4.5988799999999994</v>
      </c>
      <c r="Q250" s="29" t="s">
        <v>384</v>
      </c>
    </row>
    <row r="251" spans="1:17" x14ac:dyDescent="0.3">
      <c r="B251" s="29">
        <v>2</v>
      </c>
      <c r="C251" s="29" t="s">
        <v>380</v>
      </c>
      <c r="D251" s="30" t="s">
        <v>1025</v>
      </c>
      <c r="E251" s="29">
        <v>700</v>
      </c>
      <c r="G251" s="29" t="s">
        <v>385</v>
      </c>
      <c r="H251" s="29">
        <v>1</v>
      </c>
      <c r="I251" s="29">
        <v>16.079999999999998</v>
      </c>
      <c r="J251" s="29">
        <v>11.255999999999998</v>
      </c>
      <c r="K251" s="29">
        <v>11.255999999999998</v>
      </c>
      <c r="L251" s="29" t="s">
        <v>383</v>
      </c>
      <c r="M251" s="29">
        <v>1</v>
      </c>
      <c r="N251" s="29">
        <v>0.7</v>
      </c>
      <c r="P251" s="29">
        <v>11.255999999999998</v>
      </c>
      <c r="Q251" s="29" t="s">
        <v>384</v>
      </c>
    </row>
    <row r="252" spans="1:17" x14ac:dyDescent="0.3">
      <c r="B252" s="29">
        <v>3</v>
      </c>
      <c r="C252" s="29" t="s">
        <v>386</v>
      </c>
      <c r="D252" s="30">
        <v>9</v>
      </c>
      <c r="E252" s="29">
        <v>230</v>
      </c>
      <c r="F252" s="29">
        <v>230</v>
      </c>
      <c r="G252" s="29" t="s">
        <v>292</v>
      </c>
      <c r="H252" s="29">
        <v>1</v>
      </c>
      <c r="J252" s="29">
        <v>3.7373849999999997</v>
      </c>
      <c r="K252" s="29">
        <v>3.7373849999999997</v>
      </c>
      <c r="L252" s="29" t="s">
        <v>293</v>
      </c>
      <c r="M252" s="29">
        <v>1</v>
      </c>
      <c r="O252" s="29">
        <v>1</v>
      </c>
      <c r="P252" s="29">
        <v>3.7373849999999997</v>
      </c>
      <c r="Q252" s="29" t="s">
        <v>294</v>
      </c>
    </row>
    <row r="253" spans="1:17" x14ac:dyDescent="0.3">
      <c r="B253" s="29">
        <v>4</v>
      </c>
      <c r="C253" s="29" t="s">
        <v>389</v>
      </c>
      <c r="D253" s="30">
        <v>9</v>
      </c>
      <c r="E253" s="29">
        <v>370</v>
      </c>
      <c r="F253" s="29">
        <v>370</v>
      </c>
      <c r="G253" s="29" t="s">
        <v>292</v>
      </c>
      <c r="H253" s="29">
        <v>1</v>
      </c>
      <c r="J253" s="29">
        <v>9.6719849999999994</v>
      </c>
      <c r="K253" s="29">
        <v>9.6719849999999994</v>
      </c>
      <c r="L253" s="29" t="s">
        <v>293</v>
      </c>
      <c r="M253" s="29">
        <v>1</v>
      </c>
      <c r="O253" s="29">
        <v>1</v>
      </c>
      <c r="P253" s="29">
        <v>9.6719849999999994</v>
      </c>
      <c r="Q253" s="29" t="s">
        <v>294</v>
      </c>
    </row>
    <row r="254" spans="1:17" x14ac:dyDescent="0.3">
      <c r="B254" s="29">
        <v>5</v>
      </c>
      <c r="C254" s="29" t="s">
        <v>390</v>
      </c>
      <c r="D254" s="30" t="s">
        <v>295</v>
      </c>
      <c r="G254" s="29" t="s">
        <v>382</v>
      </c>
      <c r="H254" s="29">
        <v>4</v>
      </c>
      <c r="J254" s="29">
        <v>1</v>
      </c>
      <c r="K254" s="29">
        <v>4</v>
      </c>
      <c r="L254" s="29" t="s">
        <v>391</v>
      </c>
      <c r="M254" s="29">
        <v>1</v>
      </c>
      <c r="O254" s="29">
        <v>4</v>
      </c>
      <c r="P254" s="29">
        <v>4</v>
      </c>
      <c r="Q254" s="29" t="s">
        <v>392</v>
      </c>
    </row>
    <row r="255" spans="1:17" x14ac:dyDescent="0.3">
      <c r="B255" s="29">
        <v>6</v>
      </c>
      <c r="C255" s="29" t="s">
        <v>387</v>
      </c>
      <c r="D255" s="30" t="s">
        <v>388</v>
      </c>
      <c r="E255" s="29">
        <v>150</v>
      </c>
      <c r="G255" s="29" t="s">
        <v>292</v>
      </c>
      <c r="H255" s="29">
        <v>2</v>
      </c>
      <c r="I255" s="29">
        <v>2.95</v>
      </c>
      <c r="J255" s="29">
        <v>0.4425</v>
      </c>
      <c r="K255" s="29">
        <v>0.88500000000000001</v>
      </c>
      <c r="L255" s="29" t="s">
        <v>383</v>
      </c>
      <c r="M255" s="29">
        <v>1</v>
      </c>
      <c r="N255" s="29">
        <v>0.3</v>
      </c>
      <c r="O255" s="29">
        <v>2</v>
      </c>
      <c r="P255" s="29">
        <v>0.88500000000000001</v>
      </c>
      <c r="Q255" s="29" t="s">
        <v>384</v>
      </c>
    </row>
    <row r="256" spans="1:17" x14ac:dyDescent="0.3">
      <c r="A256" s="29" t="s">
        <v>425</v>
      </c>
      <c r="B256" s="29">
        <v>1</v>
      </c>
      <c r="C256" s="29" t="s">
        <v>380</v>
      </c>
      <c r="D256" s="30" t="s">
        <v>1027</v>
      </c>
      <c r="E256" s="29">
        <v>371</v>
      </c>
      <c r="G256" s="29" t="s">
        <v>382</v>
      </c>
      <c r="H256" s="29">
        <v>1</v>
      </c>
      <c r="I256" s="29">
        <v>28.26</v>
      </c>
      <c r="J256" s="29">
        <v>10.48446</v>
      </c>
      <c r="K256" s="29">
        <v>10.48446</v>
      </c>
      <c r="L256" s="29" t="s">
        <v>383</v>
      </c>
      <c r="M256" s="29">
        <v>1</v>
      </c>
      <c r="N256" s="29">
        <v>0.371</v>
      </c>
      <c r="P256" s="29">
        <v>10.48446</v>
      </c>
      <c r="Q256" s="29" t="s">
        <v>384</v>
      </c>
    </row>
    <row r="257" spans="1:17" x14ac:dyDescent="0.3">
      <c r="B257" s="29">
        <v>2</v>
      </c>
      <c r="C257" s="29" t="s">
        <v>380</v>
      </c>
      <c r="D257" s="30" t="s">
        <v>1027</v>
      </c>
      <c r="E257" s="29">
        <v>100</v>
      </c>
      <c r="G257" s="29" t="s">
        <v>385</v>
      </c>
      <c r="H257" s="29">
        <v>1</v>
      </c>
      <c r="I257" s="29">
        <v>28.26</v>
      </c>
      <c r="J257" s="29">
        <v>2.8260000000000005</v>
      </c>
      <c r="K257" s="29">
        <v>2.8260000000000005</v>
      </c>
      <c r="L257" s="29" t="s">
        <v>383</v>
      </c>
      <c r="M257" s="29">
        <v>1</v>
      </c>
      <c r="N257" s="29">
        <v>0.1</v>
      </c>
      <c r="P257" s="29">
        <v>2.8260000000000005</v>
      </c>
      <c r="Q257" s="29" t="s">
        <v>384</v>
      </c>
    </row>
    <row r="258" spans="1:17" x14ac:dyDescent="0.3">
      <c r="B258" s="29">
        <v>3</v>
      </c>
      <c r="C258" s="29" t="s">
        <v>386</v>
      </c>
      <c r="D258" s="30">
        <v>9</v>
      </c>
      <c r="E258" s="29">
        <v>230</v>
      </c>
      <c r="F258" s="29">
        <v>230</v>
      </c>
      <c r="G258" s="29" t="s">
        <v>292</v>
      </c>
      <c r="H258" s="29">
        <v>1</v>
      </c>
      <c r="J258" s="29">
        <v>3.7373849999999997</v>
      </c>
      <c r="K258" s="29">
        <v>3.7373849999999997</v>
      </c>
      <c r="L258" s="29" t="s">
        <v>293</v>
      </c>
      <c r="M258" s="29">
        <v>1</v>
      </c>
      <c r="O258" s="29">
        <v>1</v>
      </c>
      <c r="P258" s="29">
        <v>3.7373849999999997</v>
      </c>
      <c r="Q258" s="29" t="s">
        <v>294</v>
      </c>
    </row>
    <row r="259" spans="1:17" x14ac:dyDescent="0.3">
      <c r="A259" s="29" t="s">
        <v>426</v>
      </c>
      <c r="B259" s="29">
        <v>1</v>
      </c>
      <c r="C259" s="29" t="s">
        <v>380</v>
      </c>
      <c r="D259" s="30" t="s">
        <v>1027</v>
      </c>
      <c r="E259" s="29">
        <v>371</v>
      </c>
      <c r="G259" s="29" t="s">
        <v>382</v>
      </c>
      <c r="H259" s="29">
        <v>1</v>
      </c>
      <c r="I259" s="29">
        <v>28.26</v>
      </c>
      <c r="J259" s="29">
        <v>10.48446</v>
      </c>
      <c r="K259" s="29">
        <v>10.48446</v>
      </c>
      <c r="L259" s="29" t="s">
        <v>383</v>
      </c>
      <c r="M259" s="29">
        <v>1</v>
      </c>
      <c r="N259" s="29">
        <v>0.371</v>
      </c>
      <c r="P259" s="29">
        <v>10.48446</v>
      </c>
      <c r="Q259" s="29" t="s">
        <v>384</v>
      </c>
    </row>
    <row r="260" spans="1:17" x14ac:dyDescent="0.3">
      <c r="B260" s="29">
        <v>2</v>
      </c>
      <c r="C260" s="29" t="s">
        <v>380</v>
      </c>
      <c r="D260" s="30" t="s">
        <v>1027</v>
      </c>
      <c r="E260" s="29">
        <v>400</v>
      </c>
      <c r="G260" s="29" t="s">
        <v>385</v>
      </c>
      <c r="H260" s="29">
        <v>1</v>
      </c>
      <c r="I260" s="29">
        <v>28.26</v>
      </c>
      <c r="J260" s="29">
        <v>11.304000000000002</v>
      </c>
      <c r="K260" s="29">
        <v>11.304000000000002</v>
      </c>
      <c r="L260" s="29" t="s">
        <v>383</v>
      </c>
      <c r="M260" s="29">
        <v>1</v>
      </c>
      <c r="N260" s="29">
        <v>0.4</v>
      </c>
      <c r="P260" s="29">
        <v>11.304000000000002</v>
      </c>
      <c r="Q260" s="29" t="s">
        <v>384</v>
      </c>
    </row>
    <row r="261" spans="1:17" x14ac:dyDescent="0.3">
      <c r="B261" s="29">
        <v>3</v>
      </c>
      <c r="C261" s="29" t="s">
        <v>386</v>
      </c>
      <c r="D261" s="30">
        <v>9</v>
      </c>
      <c r="E261" s="29">
        <v>230</v>
      </c>
      <c r="F261" s="29">
        <v>230</v>
      </c>
      <c r="G261" s="29" t="s">
        <v>292</v>
      </c>
      <c r="H261" s="29">
        <v>1</v>
      </c>
      <c r="J261" s="29">
        <v>3.7373849999999997</v>
      </c>
      <c r="K261" s="29">
        <v>3.7373849999999997</v>
      </c>
      <c r="L261" s="29" t="s">
        <v>293</v>
      </c>
      <c r="M261" s="29">
        <v>1</v>
      </c>
      <c r="O261" s="29">
        <v>1</v>
      </c>
      <c r="P261" s="29">
        <v>3.7373849999999997</v>
      </c>
      <c r="Q261" s="29" t="s">
        <v>294</v>
      </c>
    </row>
    <row r="262" spans="1:17" x14ac:dyDescent="0.3">
      <c r="B262" s="29">
        <v>4</v>
      </c>
      <c r="C262" s="29" t="s">
        <v>389</v>
      </c>
      <c r="D262" s="30">
        <v>9</v>
      </c>
      <c r="E262" s="29">
        <v>370</v>
      </c>
      <c r="F262" s="29">
        <v>370</v>
      </c>
      <c r="G262" s="29" t="s">
        <v>292</v>
      </c>
      <c r="H262" s="29">
        <v>1</v>
      </c>
      <c r="J262" s="29">
        <v>9.6719849999999994</v>
      </c>
      <c r="K262" s="29">
        <v>9.6719849999999994</v>
      </c>
      <c r="L262" s="29" t="s">
        <v>293</v>
      </c>
      <c r="M262" s="29">
        <v>1</v>
      </c>
      <c r="O262" s="29">
        <v>1</v>
      </c>
      <c r="P262" s="29">
        <v>9.6719849999999994</v>
      </c>
      <c r="Q262" s="29" t="s">
        <v>294</v>
      </c>
    </row>
    <row r="263" spans="1:17" x14ac:dyDescent="0.3">
      <c r="B263" s="29">
        <v>5</v>
      </c>
      <c r="C263" s="29" t="s">
        <v>390</v>
      </c>
      <c r="D263" s="30" t="s">
        <v>295</v>
      </c>
      <c r="G263" s="29" t="s">
        <v>382</v>
      </c>
      <c r="H263" s="29">
        <v>4</v>
      </c>
      <c r="J263" s="29">
        <v>1</v>
      </c>
      <c r="K263" s="29">
        <v>4</v>
      </c>
      <c r="L263" s="29" t="s">
        <v>391</v>
      </c>
      <c r="M263" s="29">
        <v>1</v>
      </c>
      <c r="O263" s="29">
        <v>4</v>
      </c>
      <c r="P263" s="29">
        <v>4</v>
      </c>
      <c r="Q263" s="29" t="s">
        <v>392</v>
      </c>
    </row>
    <row r="264" spans="1:17" x14ac:dyDescent="0.3">
      <c r="A264" s="29" t="s">
        <v>427</v>
      </c>
      <c r="B264" s="29">
        <v>1</v>
      </c>
      <c r="C264" s="29" t="s">
        <v>380</v>
      </c>
      <c r="D264" s="30" t="s">
        <v>1027</v>
      </c>
      <c r="E264" s="29">
        <v>371</v>
      </c>
      <c r="G264" s="29" t="s">
        <v>382</v>
      </c>
      <c r="H264" s="29">
        <v>1</v>
      </c>
      <c r="I264" s="29">
        <v>28.26</v>
      </c>
      <c r="J264" s="29">
        <v>10.48446</v>
      </c>
      <c r="K264" s="29">
        <v>10.48446</v>
      </c>
      <c r="L264" s="29" t="s">
        <v>383</v>
      </c>
      <c r="M264" s="29">
        <v>1</v>
      </c>
      <c r="N264" s="29">
        <v>0.371</v>
      </c>
      <c r="P264" s="29">
        <v>10.48446</v>
      </c>
      <c r="Q264" s="29" t="s">
        <v>384</v>
      </c>
    </row>
    <row r="265" spans="1:17" x14ac:dyDescent="0.3">
      <c r="B265" s="29">
        <v>2</v>
      </c>
      <c r="C265" s="29" t="s">
        <v>380</v>
      </c>
      <c r="D265" s="30" t="s">
        <v>1027</v>
      </c>
      <c r="E265" s="29">
        <v>400</v>
      </c>
      <c r="G265" s="29" t="s">
        <v>385</v>
      </c>
      <c r="H265" s="29">
        <v>1</v>
      </c>
      <c r="I265" s="29">
        <v>28.26</v>
      </c>
      <c r="J265" s="29">
        <v>11.304000000000002</v>
      </c>
      <c r="K265" s="29">
        <v>11.304000000000002</v>
      </c>
      <c r="L265" s="29" t="s">
        <v>383</v>
      </c>
      <c r="M265" s="29">
        <v>1</v>
      </c>
      <c r="N265" s="29">
        <v>0.4</v>
      </c>
      <c r="P265" s="29">
        <v>11.304000000000002</v>
      </c>
      <c r="Q265" s="29" t="s">
        <v>384</v>
      </c>
    </row>
    <row r="266" spans="1:17" x14ac:dyDescent="0.3">
      <c r="B266" s="29">
        <v>3</v>
      </c>
      <c r="C266" s="29" t="s">
        <v>386</v>
      </c>
      <c r="D266" s="30">
        <v>9</v>
      </c>
      <c r="E266" s="29">
        <v>230</v>
      </c>
      <c r="F266" s="29">
        <v>230</v>
      </c>
      <c r="G266" s="29" t="s">
        <v>292</v>
      </c>
      <c r="H266" s="29">
        <v>1</v>
      </c>
      <c r="J266" s="29">
        <v>3.7373849999999997</v>
      </c>
      <c r="K266" s="29">
        <v>3.7373849999999997</v>
      </c>
      <c r="L266" s="29" t="s">
        <v>293</v>
      </c>
      <c r="M266" s="29">
        <v>1</v>
      </c>
      <c r="O266" s="29">
        <v>1</v>
      </c>
      <c r="P266" s="29">
        <v>3.7373849999999997</v>
      </c>
      <c r="Q266" s="29" t="s">
        <v>294</v>
      </c>
    </row>
    <row r="267" spans="1:17" x14ac:dyDescent="0.3">
      <c r="A267" s="29" t="s">
        <v>428</v>
      </c>
      <c r="B267" s="29">
        <v>1</v>
      </c>
      <c r="C267" s="29" t="s">
        <v>380</v>
      </c>
      <c r="D267" s="30" t="s">
        <v>1027</v>
      </c>
      <c r="E267" s="29">
        <v>371</v>
      </c>
      <c r="G267" s="29" t="s">
        <v>382</v>
      </c>
      <c r="H267" s="29">
        <v>1</v>
      </c>
      <c r="I267" s="29">
        <v>28.26</v>
      </c>
      <c r="J267" s="29">
        <v>10.48446</v>
      </c>
      <c r="K267" s="29">
        <v>10.48446</v>
      </c>
      <c r="L267" s="29" t="s">
        <v>383</v>
      </c>
      <c r="M267" s="29">
        <v>1</v>
      </c>
      <c r="N267" s="29">
        <v>0.371</v>
      </c>
      <c r="P267" s="29">
        <v>10.48446</v>
      </c>
      <c r="Q267" s="29" t="s">
        <v>384</v>
      </c>
    </row>
    <row r="268" spans="1:17" x14ac:dyDescent="0.3">
      <c r="B268" s="29">
        <v>2</v>
      </c>
      <c r="C268" s="29" t="s">
        <v>380</v>
      </c>
      <c r="D268" s="30" t="s">
        <v>1027</v>
      </c>
      <c r="E268" s="29">
        <v>400</v>
      </c>
      <c r="G268" s="29" t="s">
        <v>385</v>
      </c>
      <c r="H268" s="29">
        <v>1</v>
      </c>
      <c r="I268" s="29">
        <v>28.26</v>
      </c>
      <c r="J268" s="29">
        <v>11.304000000000002</v>
      </c>
      <c r="K268" s="29">
        <v>11.304000000000002</v>
      </c>
      <c r="L268" s="29" t="s">
        <v>383</v>
      </c>
      <c r="M268" s="29">
        <v>1</v>
      </c>
      <c r="N268" s="29">
        <v>0.4</v>
      </c>
      <c r="P268" s="29">
        <v>11.304000000000002</v>
      </c>
      <c r="Q268" s="29" t="s">
        <v>384</v>
      </c>
    </row>
    <row r="269" spans="1:17" x14ac:dyDescent="0.3">
      <c r="B269" s="29">
        <v>3</v>
      </c>
      <c r="C269" s="29" t="s">
        <v>386</v>
      </c>
      <c r="D269" s="30">
        <v>9</v>
      </c>
      <c r="E269" s="29">
        <v>230</v>
      </c>
      <c r="F269" s="29">
        <v>230</v>
      </c>
      <c r="G269" s="29" t="s">
        <v>292</v>
      </c>
      <c r="H269" s="29">
        <v>1</v>
      </c>
      <c r="J269" s="29">
        <v>3.7373849999999997</v>
      </c>
      <c r="K269" s="29">
        <v>3.7373849999999997</v>
      </c>
      <c r="L269" s="29" t="s">
        <v>293</v>
      </c>
      <c r="M269" s="29">
        <v>1</v>
      </c>
      <c r="O269" s="29">
        <v>1</v>
      </c>
      <c r="P269" s="29">
        <v>3.7373849999999997</v>
      </c>
      <c r="Q269" s="29" t="s">
        <v>294</v>
      </c>
    </row>
    <row r="270" spans="1:17" x14ac:dyDescent="0.3">
      <c r="B270" s="29">
        <v>4</v>
      </c>
      <c r="C270" s="29" t="s">
        <v>389</v>
      </c>
      <c r="D270" s="30">
        <v>9</v>
      </c>
      <c r="E270" s="29">
        <v>370</v>
      </c>
      <c r="F270" s="29">
        <v>370</v>
      </c>
      <c r="G270" s="29" t="s">
        <v>292</v>
      </c>
      <c r="H270" s="29">
        <v>1</v>
      </c>
      <c r="J270" s="29">
        <v>9.6719849999999994</v>
      </c>
      <c r="K270" s="29">
        <v>9.6719849999999994</v>
      </c>
      <c r="L270" s="29" t="s">
        <v>293</v>
      </c>
      <c r="M270" s="29">
        <v>1</v>
      </c>
      <c r="O270" s="29">
        <v>1</v>
      </c>
      <c r="P270" s="29">
        <v>9.6719849999999994</v>
      </c>
      <c r="Q270" s="29" t="s">
        <v>294</v>
      </c>
    </row>
    <row r="271" spans="1:17" x14ac:dyDescent="0.3">
      <c r="B271" s="29">
        <v>5</v>
      </c>
      <c r="C271" s="29" t="s">
        <v>390</v>
      </c>
      <c r="D271" s="30" t="s">
        <v>295</v>
      </c>
      <c r="G271" s="29" t="s">
        <v>382</v>
      </c>
      <c r="H271" s="29">
        <v>4</v>
      </c>
      <c r="J271" s="29">
        <v>1</v>
      </c>
      <c r="K271" s="29">
        <v>4</v>
      </c>
      <c r="L271" s="29" t="s">
        <v>391</v>
      </c>
      <c r="M271" s="29">
        <v>1</v>
      </c>
      <c r="O271" s="29">
        <v>4</v>
      </c>
      <c r="P271" s="29">
        <v>4</v>
      </c>
      <c r="Q271" s="29" t="s">
        <v>392</v>
      </c>
    </row>
    <row r="272" spans="1:17" x14ac:dyDescent="0.3">
      <c r="B272" s="29">
        <v>6</v>
      </c>
      <c r="C272" s="29" t="s">
        <v>387</v>
      </c>
      <c r="D272" s="30" t="s">
        <v>388</v>
      </c>
      <c r="E272" s="29">
        <v>150</v>
      </c>
      <c r="G272" s="29" t="s">
        <v>292</v>
      </c>
      <c r="H272" s="29">
        <v>2</v>
      </c>
      <c r="I272" s="29">
        <v>2.95</v>
      </c>
      <c r="J272" s="29">
        <v>0.4425</v>
      </c>
      <c r="K272" s="29">
        <v>0.88500000000000001</v>
      </c>
      <c r="L272" s="29" t="s">
        <v>383</v>
      </c>
      <c r="M272" s="29">
        <v>1</v>
      </c>
      <c r="N272" s="29">
        <v>0.3</v>
      </c>
      <c r="O272" s="29">
        <v>2</v>
      </c>
      <c r="P272" s="29">
        <v>0.88500000000000001</v>
      </c>
      <c r="Q272" s="29" t="s">
        <v>384</v>
      </c>
    </row>
    <row r="273" spans="1:17" x14ac:dyDescent="0.3">
      <c r="A273" s="29" t="s">
        <v>429</v>
      </c>
      <c r="B273" s="29">
        <v>1</v>
      </c>
      <c r="C273" s="29" t="s">
        <v>380</v>
      </c>
      <c r="D273" s="30" t="s">
        <v>1027</v>
      </c>
      <c r="E273" s="29">
        <v>371</v>
      </c>
      <c r="G273" s="29" t="s">
        <v>382</v>
      </c>
      <c r="H273" s="29">
        <v>1</v>
      </c>
      <c r="I273" s="29">
        <v>28.26</v>
      </c>
      <c r="J273" s="29">
        <v>10.48446</v>
      </c>
      <c r="K273" s="29">
        <v>10.48446</v>
      </c>
      <c r="L273" s="29" t="s">
        <v>383</v>
      </c>
      <c r="M273" s="29">
        <v>1</v>
      </c>
      <c r="N273" s="29">
        <v>0.371</v>
      </c>
      <c r="P273" s="29">
        <v>10.48446</v>
      </c>
      <c r="Q273" s="29" t="s">
        <v>384</v>
      </c>
    </row>
    <row r="274" spans="1:17" x14ac:dyDescent="0.3">
      <c r="B274" s="29">
        <v>2</v>
      </c>
      <c r="C274" s="29" t="s">
        <v>380</v>
      </c>
      <c r="D274" s="30" t="s">
        <v>1027</v>
      </c>
      <c r="E274" s="29">
        <v>400</v>
      </c>
      <c r="G274" s="29" t="s">
        <v>385</v>
      </c>
      <c r="H274" s="29">
        <v>1</v>
      </c>
      <c r="I274" s="29">
        <v>28.26</v>
      </c>
      <c r="J274" s="29">
        <v>11.304000000000002</v>
      </c>
      <c r="K274" s="29">
        <v>11.304000000000002</v>
      </c>
      <c r="L274" s="29" t="s">
        <v>383</v>
      </c>
      <c r="M274" s="29">
        <v>1</v>
      </c>
      <c r="N274" s="29">
        <v>0.4</v>
      </c>
      <c r="P274" s="29">
        <v>11.304000000000002</v>
      </c>
      <c r="Q274" s="29" t="s">
        <v>384</v>
      </c>
    </row>
    <row r="275" spans="1:17" x14ac:dyDescent="0.3">
      <c r="B275" s="29">
        <v>3</v>
      </c>
      <c r="C275" s="29" t="s">
        <v>386</v>
      </c>
      <c r="D275" s="30">
        <v>9</v>
      </c>
      <c r="E275" s="29">
        <v>230</v>
      </c>
      <c r="F275" s="29">
        <v>230</v>
      </c>
      <c r="G275" s="29" t="s">
        <v>292</v>
      </c>
      <c r="H275" s="29">
        <v>1</v>
      </c>
      <c r="J275" s="29">
        <v>3.7373849999999997</v>
      </c>
      <c r="K275" s="29">
        <v>3.7373849999999997</v>
      </c>
      <c r="L275" s="29" t="s">
        <v>293</v>
      </c>
      <c r="M275" s="29">
        <v>1</v>
      </c>
      <c r="O275" s="29">
        <v>1</v>
      </c>
      <c r="P275" s="29">
        <v>3.7373849999999997</v>
      </c>
      <c r="Q275" s="29" t="s">
        <v>294</v>
      </c>
    </row>
    <row r="276" spans="1:17" x14ac:dyDescent="0.3">
      <c r="B276" s="29">
        <v>4</v>
      </c>
      <c r="C276" s="29" t="s">
        <v>389</v>
      </c>
      <c r="D276" s="30">
        <v>9</v>
      </c>
      <c r="E276" s="29">
        <v>370</v>
      </c>
      <c r="F276" s="29">
        <v>370</v>
      </c>
      <c r="G276" s="29" t="s">
        <v>292</v>
      </c>
      <c r="H276" s="29">
        <v>1</v>
      </c>
      <c r="J276" s="29">
        <v>9.6719849999999994</v>
      </c>
      <c r="K276" s="29">
        <v>9.6719849999999994</v>
      </c>
      <c r="L276" s="29" t="s">
        <v>293</v>
      </c>
      <c r="M276" s="29">
        <v>1</v>
      </c>
      <c r="O276" s="29">
        <v>1</v>
      </c>
      <c r="P276" s="29">
        <v>9.6719849999999994</v>
      </c>
      <c r="Q276" s="29" t="s">
        <v>294</v>
      </c>
    </row>
    <row r="277" spans="1:17" x14ac:dyDescent="0.3">
      <c r="B277" s="29">
        <v>5</v>
      </c>
      <c r="C277" s="29" t="s">
        <v>390</v>
      </c>
      <c r="D277" s="30" t="s">
        <v>295</v>
      </c>
      <c r="G277" s="29" t="s">
        <v>382</v>
      </c>
      <c r="H277" s="29">
        <v>4</v>
      </c>
      <c r="J277" s="29">
        <v>1</v>
      </c>
      <c r="K277" s="29">
        <v>4</v>
      </c>
      <c r="L277" s="29" t="s">
        <v>391</v>
      </c>
      <c r="M277" s="29">
        <v>1</v>
      </c>
      <c r="O277" s="29">
        <v>4</v>
      </c>
      <c r="P277" s="29">
        <v>4</v>
      </c>
      <c r="Q277" s="29" t="s">
        <v>392</v>
      </c>
    </row>
    <row r="278" spans="1:17" x14ac:dyDescent="0.3">
      <c r="B278" s="29">
        <v>6</v>
      </c>
      <c r="C278" s="29" t="s">
        <v>387</v>
      </c>
      <c r="D278" s="30" t="s">
        <v>388</v>
      </c>
      <c r="E278" s="29">
        <v>150</v>
      </c>
      <c r="G278" s="29" t="s">
        <v>292</v>
      </c>
      <c r="H278" s="29">
        <v>2</v>
      </c>
      <c r="I278" s="29">
        <v>2.95</v>
      </c>
      <c r="J278" s="29">
        <v>0.4425</v>
      </c>
      <c r="K278" s="29">
        <v>0.88500000000000001</v>
      </c>
      <c r="L278" s="29" t="s">
        <v>383</v>
      </c>
      <c r="M278" s="29">
        <v>1</v>
      </c>
      <c r="N278" s="29">
        <v>0.3</v>
      </c>
      <c r="O278" s="29">
        <v>2</v>
      </c>
      <c r="P278" s="29">
        <v>0.88500000000000001</v>
      </c>
      <c r="Q278" s="29" t="s">
        <v>384</v>
      </c>
    </row>
    <row r="279" spans="1:17" x14ac:dyDescent="0.3">
      <c r="A279" s="29" t="s">
        <v>430</v>
      </c>
      <c r="B279" s="29">
        <v>1</v>
      </c>
      <c r="C279" s="29" t="s">
        <v>380</v>
      </c>
      <c r="D279" s="30" t="s">
        <v>1027</v>
      </c>
      <c r="E279" s="29">
        <v>371</v>
      </c>
      <c r="G279" s="29" t="s">
        <v>382</v>
      </c>
      <c r="H279" s="29">
        <v>1</v>
      </c>
      <c r="I279" s="29">
        <v>28.26</v>
      </c>
      <c r="J279" s="29">
        <v>10.48446</v>
      </c>
      <c r="K279" s="29">
        <v>10.48446</v>
      </c>
      <c r="L279" s="29" t="s">
        <v>383</v>
      </c>
      <c r="M279" s="29">
        <v>1</v>
      </c>
      <c r="N279" s="29">
        <v>0.371</v>
      </c>
      <c r="P279" s="29">
        <v>10.48446</v>
      </c>
      <c r="Q279" s="29" t="s">
        <v>384</v>
      </c>
    </row>
    <row r="280" spans="1:17" x14ac:dyDescent="0.3">
      <c r="B280" s="29">
        <v>2</v>
      </c>
      <c r="C280" s="29" t="s">
        <v>380</v>
      </c>
      <c r="D280" s="30" t="s">
        <v>1027</v>
      </c>
      <c r="E280" s="29">
        <v>400</v>
      </c>
      <c r="G280" s="29" t="s">
        <v>385</v>
      </c>
      <c r="H280" s="29">
        <v>1</v>
      </c>
      <c r="I280" s="29">
        <v>28.26</v>
      </c>
      <c r="J280" s="29">
        <v>11.304000000000002</v>
      </c>
      <c r="K280" s="29">
        <v>11.304000000000002</v>
      </c>
      <c r="L280" s="29" t="s">
        <v>383</v>
      </c>
      <c r="M280" s="29">
        <v>1</v>
      </c>
      <c r="N280" s="29">
        <v>0.4</v>
      </c>
      <c r="P280" s="29">
        <v>11.304000000000002</v>
      </c>
      <c r="Q280" s="29" t="s">
        <v>384</v>
      </c>
    </row>
    <row r="281" spans="1:17" x14ac:dyDescent="0.3">
      <c r="B281" s="29">
        <v>3</v>
      </c>
      <c r="C281" s="29" t="s">
        <v>386</v>
      </c>
      <c r="D281" s="30">
        <v>9</v>
      </c>
      <c r="E281" s="29">
        <v>230</v>
      </c>
      <c r="F281" s="29">
        <v>230</v>
      </c>
      <c r="G281" s="29" t="s">
        <v>292</v>
      </c>
      <c r="H281" s="29">
        <v>1</v>
      </c>
      <c r="J281" s="29">
        <v>3.7373849999999997</v>
      </c>
      <c r="K281" s="29">
        <v>3.7373849999999997</v>
      </c>
      <c r="L281" s="29" t="s">
        <v>293</v>
      </c>
      <c r="M281" s="29">
        <v>1</v>
      </c>
      <c r="O281" s="29">
        <v>1</v>
      </c>
      <c r="P281" s="29">
        <v>3.7373849999999997</v>
      </c>
      <c r="Q281" s="29" t="s">
        <v>294</v>
      </c>
    </row>
    <row r="282" spans="1:17" x14ac:dyDescent="0.3">
      <c r="A282" s="29" t="s">
        <v>431</v>
      </c>
      <c r="B282" s="29">
        <v>1</v>
      </c>
      <c r="C282" s="29" t="s">
        <v>380</v>
      </c>
      <c r="D282" s="30" t="s">
        <v>1027</v>
      </c>
      <c r="E282" s="29">
        <v>371</v>
      </c>
      <c r="G282" s="29" t="s">
        <v>382</v>
      </c>
      <c r="H282" s="29">
        <v>1</v>
      </c>
      <c r="I282" s="29">
        <v>28.26</v>
      </c>
      <c r="J282" s="29">
        <v>10.48446</v>
      </c>
      <c r="K282" s="29">
        <v>10.48446</v>
      </c>
      <c r="L282" s="29" t="s">
        <v>383</v>
      </c>
      <c r="M282" s="29">
        <v>1</v>
      </c>
      <c r="N282" s="29">
        <v>0.371</v>
      </c>
      <c r="P282" s="29">
        <v>10.48446</v>
      </c>
      <c r="Q282" s="29" t="s">
        <v>384</v>
      </c>
    </row>
    <row r="283" spans="1:17" x14ac:dyDescent="0.3">
      <c r="B283" s="29">
        <v>2</v>
      </c>
      <c r="C283" s="29" t="s">
        <v>380</v>
      </c>
      <c r="D283" s="30" t="s">
        <v>1027</v>
      </c>
      <c r="E283" s="29">
        <v>500</v>
      </c>
      <c r="G283" s="29" t="s">
        <v>385</v>
      </c>
      <c r="H283" s="29">
        <v>1</v>
      </c>
      <c r="I283" s="29">
        <v>28.26</v>
      </c>
      <c r="J283" s="29">
        <v>14.13</v>
      </c>
      <c r="K283" s="29">
        <v>14.13</v>
      </c>
      <c r="L283" s="29" t="s">
        <v>383</v>
      </c>
      <c r="M283" s="29">
        <v>1</v>
      </c>
      <c r="N283" s="29">
        <v>0.5</v>
      </c>
      <c r="P283" s="29">
        <v>14.13</v>
      </c>
      <c r="Q283" s="29" t="s">
        <v>384</v>
      </c>
    </row>
    <row r="284" spans="1:17" x14ac:dyDescent="0.3">
      <c r="B284" s="29">
        <v>3</v>
      </c>
      <c r="C284" s="29" t="s">
        <v>386</v>
      </c>
      <c r="D284" s="30">
        <v>9</v>
      </c>
      <c r="E284" s="29">
        <v>230</v>
      </c>
      <c r="F284" s="29">
        <v>230</v>
      </c>
      <c r="G284" s="29" t="s">
        <v>292</v>
      </c>
      <c r="H284" s="29">
        <v>1</v>
      </c>
      <c r="J284" s="29">
        <v>3.7373849999999997</v>
      </c>
      <c r="K284" s="29">
        <v>3.7373849999999997</v>
      </c>
      <c r="L284" s="29" t="s">
        <v>293</v>
      </c>
      <c r="M284" s="29">
        <v>1</v>
      </c>
      <c r="O284" s="29">
        <v>1</v>
      </c>
      <c r="P284" s="29">
        <v>3.7373849999999997</v>
      </c>
      <c r="Q284" s="29" t="s">
        <v>294</v>
      </c>
    </row>
    <row r="285" spans="1:17" x14ac:dyDescent="0.3">
      <c r="A285" s="29" t="s">
        <v>432</v>
      </c>
      <c r="B285" s="29">
        <v>1</v>
      </c>
      <c r="C285" s="29" t="s">
        <v>380</v>
      </c>
      <c r="D285" s="30" t="s">
        <v>1027</v>
      </c>
      <c r="E285" s="29">
        <v>371</v>
      </c>
      <c r="G285" s="29" t="s">
        <v>382</v>
      </c>
      <c r="H285" s="29">
        <v>1</v>
      </c>
      <c r="I285" s="29">
        <v>28.26</v>
      </c>
      <c r="J285" s="29">
        <v>10.48446</v>
      </c>
      <c r="K285" s="29">
        <v>10.48446</v>
      </c>
      <c r="L285" s="29" t="s">
        <v>383</v>
      </c>
      <c r="M285" s="29">
        <v>1</v>
      </c>
      <c r="N285" s="29">
        <v>0.371</v>
      </c>
      <c r="P285" s="29">
        <v>10.48446</v>
      </c>
      <c r="Q285" s="29" t="s">
        <v>384</v>
      </c>
    </row>
    <row r="286" spans="1:17" x14ac:dyDescent="0.3">
      <c r="B286" s="29">
        <v>2</v>
      </c>
      <c r="C286" s="29" t="s">
        <v>380</v>
      </c>
      <c r="D286" s="30" t="s">
        <v>1027</v>
      </c>
      <c r="E286" s="29">
        <v>500</v>
      </c>
      <c r="G286" s="29" t="s">
        <v>385</v>
      </c>
      <c r="H286" s="29">
        <v>1</v>
      </c>
      <c r="I286" s="29">
        <v>28.26</v>
      </c>
      <c r="J286" s="29">
        <v>14.13</v>
      </c>
      <c r="K286" s="29">
        <v>14.13</v>
      </c>
      <c r="L286" s="29" t="s">
        <v>383</v>
      </c>
      <c r="M286" s="29">
        <v>1</v>
      </c>
      <c r="N286" s="29">
        <v>0.5</v>
      </c>
      <c r="P286" s="29">
        <v>14.13</v>
      </c>
      <c r="Q286" s="29" t="s">
        <v>384</v>
      </c>
    </row>
    <row r="287" spans="1:17" x14ac:dyDescent="0.3">
      <c r="B287" s="29">
        <v>3</v>
      </c>
      <c r="C287" s="29" t="s">
        <v>386</v>
      </c>
      <c r="D287" s="30">
        <v>9</v>
      </c>
      <c r="E287" s="29">
        <v>230</v>
      </c>
      <c r="F287" s="29">
        <v>230</v>
      </c>
      <c r="G287" s="29" t="s">
        <v>292</v>
      </c>
      <c r="H287" s="29">
        <v>1</v>
      </c>
      <c r="J287" s="29">
        <v>3.7373849999999997</v>
      </c>
      <c r="K287" s="29">
        <v>3.7373849999999997</v>
      </c>
      <c r="L287" s="29" t="s">
        <v>293</v>
      </c>
      <c r="M287" s="29">
        <v>1</v>
      </c>
      <c r="O287" s="29">
        <v>1</v>
      </c>
      <c r="P287" s="29">
        <v>3.7373849999999997</v>
      </c>
      <c r="Q287" s="29" t="s">
        <v>294</v>
      </c>
    </row>
    <row r="288" spans="1:17" x14ac:dyDescent="0.3">
      <c r="B288" s="29">
        <v>4</v>
      </c>
      <c r="C288" s="29" t="s">
        <v>387</v>
      </c>
      <c r="D288" s="30" t="s">
        <v>388</v>
      </c>
      <c r="E288" s="29">
        <v>150</v>
      </c>
      <c r="G288" s="29" t="s">
        <v>292</v>
      </c>
      <c r="H288" s="29">
        <v>2</v>
      </c>
      <c r="I288" s="29">
        <v>2.95</v>
      </c>
      <c r="J288" s="29">
        <v>0.4425</v>
      </c>
      <c r="K288" s="29">
        <v>0.88500000000000001</v>
      </c>
      <c r="L288" s="29" t="s">
        <v>383</v>
      </c>
      <c r="M288" s="29">
        <v>1</v>
      </c>
      <c r="N288" s="29">
        <v>0.3</v>
      </c>
      <c r="O288" s="29">
        <v>2</v>
      </c>
      <c r="P288" s="29">
        <v>0.88500000000000001</v>
      </c>
      <c r="Q288" s="29" t="s">
        <v>384</v>
      </c>
    </row>
    <row r="289" spans="1:17" x14ac:dyDescent="0.3">
      <c r="A289" s="29" t="s">
        <v>433</v>
      </c>
      <c r="B289" s="29">
        <v>1</v>
      </c>
      <c r="C289" s="29" t="s">
        <v>380</v>
      </c>
      <c r="D289" s="30" t="s">
        <v>1027</v>
      </c>
      <c r="E289" s="29">
        <v>371</v>
      </c>
      <c r="G289" s="29" t="s">
        <v>382</v>
      </c>
      <c r="H289" s="29">
        <v>1</v>
      </c>
      <c r="I289" s="29">
        <v>28.26</v>
      </c>
      <c r="J289" s="29">
        <v>10.48446</v>
      </c>
      <c r="K289" s="29">
        <v>10.48446</v>
      </c>
      <c r="L289" s="29" t="s">
        <v>383</v>
      </c>
      <c r="M289" s="29">
        <v>1</v>
      </c>
      <c r="N289" s="29">
        <v>0.371</v>
      </c>
      <c r="P289" s="29">
        <v>10.48446</v>
      </c>
      <c r="Q289" s="29" t="s">
        <v>384</v>
      </c>
    </row>
    <row r="290" spans="1:17" x14ac:dyDescent="0.3">
      <c r="B290" s="29">
        <v>2</v>
      </c>
      <c r="C290" s="29" t="s">
        <v>380</v>
      </c>
      <c r="D290" s="30" t="s">
        <v>1027</v>
      </c>
      <c r="E290" s="29">
        <v>500</v>
      </c>
      <c r="G290" s="29" t="s">
        <v>385</v>
      </c>
      <c r="H290" s="29">
        <v>1</v>
      </c>
      <c r="I290" s="29">
        <v>28.26</v>
      </c>
      <c r="J290" s="29">
        <v>14.13</v>
      </c>
      <c r="K290" s="29">
        <v>14.13</v>
      </c>
      <c r="L290" s="29" t="s">
        <v>383</v>
      </c>
      <c r="M290" s="29">
        <v>1</v>
      </c>
      <c r="N290" s="29">
        <v>0.5</v>
      </c>
      <c r="P290" s="29">
        <v>14.13</v>
      </c>
      <c r="Q290" s="29" t="s">
        <v>384</v>
      </c>
    </row>
    <row r="291" spans="1:17" x14ac:dyDescent="0.3">
      <c r="B291" s="29">
        <v>3</v>
      </c>
      <c r="C291" s="29" t="s">
        <v>386</v>
      </c>
      <c r="D291" s="30">
        <v>9</v>
      </c>
      <c r="E291" s="29">
        <v>230</v>
      </c>
      <c r="F291" s="29">
        <v>230</v>
      </c>
      <c r="G291" s="29" t="s">
        <v>292</v>
      </c>
      <c r="H291" s="29">
        <v>1</v>
      </c>
      <c r="J291" s="29">
        <v>3.7373849999999997</v>
      </c>
      <c r="K291" s="29">
        <v>3.7373849999999997</v>
      </c>
      <c r="L291" s="29" t="s">
        <v>293</v>
      </c>
      <c r="M291" s="29">
        <v>1</v>
      </c>
      <c r="O291" s="29">
        <v>1</v>
      </c>
      <c r="P291" s="29">
        <v>3.7373849999999997</v>
      </c>
      <c r="Q291" s="29" t="s">
        <v>294</v>
      </c>
    </row>
    <row r="292" spans="1:17" x14ac:dyDescent="0.3">
      <c r="B292" s="29">
        <v>4</v>
      </c>
      <c r="C292" s="29" t="s">
        <v>387</v>
      </c>
      <c r="D292" s="30" t="s">
        <v>388</v>
      </c>
      <c r="E292" s="29">
        <v>150</v>
      </c>
      <c r="G292" s="29" t="s">
        <v>292</v>
      </c>
      <c r="H292" s="29">
        <v>2</v>
      </c>
      <c r="I292" s="29">
        <v>2.95</v>
      </c>
      <c r="J292" s="29">
        <v>0.4425</v>
      </c>
      <c r="K292" s="29">
        <v>0.88500000000000001</v>
      </c>
      <c r="L292" s="29" t="s">
        <v>383</v>
      </c>
      <c r="M292" s="29">
        <v>1</v>
      </c>
      <c r="N292" s="29">
        <v>0.3</v>
      </c>
      <c r="O292" s="29">
        <v>2</v>
      </c>
      <c r="P292" s="29">
        <v>0.88500000000000001</v>
      </c>
      <c r="Q292" s="29" t="s">
        <v>384</v>
      </c>
    </row>
    <row r="293" spans="1:17" x14ac:dyDescent="0.3">
      <c r="A293" s="29" t="s">
        <v>434</v>
      </c>
      <c r="B293" s="29">
        <v>1</v>
      </c>
      <c r="C293" s="29" t="s">
        <v>380</v>
      </c>
      <c r="D293" s="30" t="s">
        <v>1027</v>
      </c>
      <c r="E293" s="29">
        <v>371</v>
      </c>
      <c r="G293" s="29" t="s">
        <v>382</v>
      </c>
      <c r="H293" s="29">
        <v>1</v>
      </c>
      <c r="I293" s="29">
        <v>28.26</v>
      </c>
      <c r="J293" s="29">
        <v>10.48446</v>
      </c>
      <c r="K293" s="29">
        <v>10.48446</v>
      </c>
      <c r="L293" s="29" t="s">
        <v>383</v>
      </c>
      <c r="M293" s="29">
        <v>1</v>
      </c>
      <c r="N293" s="29">
        <v>0.371</v>
      </c>
      <c r="P293" s="29">
        <v>10.48446</v>
      </c>
      <c r="Q293" s="29" t="s">
        <v>384</v>
      </c>
    </row>
    <row r="294" spans="1:17" x14ac:dyDescent="0.3">
      <c r="B294" s="29">
        <v>2</v>
      </c>
      <c r="C294" s="29" t="s">
        <v>380</v>
      </c>
      <c r="D294" s="30" t="s">
        <v>1027</v>
      </c>
      <c r="E294" s="29">
        <v>500</v>
      </c>
      <c r="G294" s="29" t="s">
        <v>385</v>
      </c>
      <c r="H294" s="29">
        <v>1</v>
      </c>
      <c r="I294" s="29">
        <v>28.26</v>
      </c>
      <c r="J294" s="29">
        <v>14.13</v>
      </c>
      <c r="K294" s="29">
        <v>14.13</v>
      </c>
      <c r="L294" s="29" t="s">
        <v>383</v>
      </c>
      <c r="M294" s="29">
        <v>1</v>
      </c>
      <c r="N294" s="29">
        <v>0.5</v>
      </c>
      <c r="P294" s="29">
        <v>14.13</v>
      </c>
      <c r="Q294" s="29" t="s">
        <v>384</v>
      </c>
    </row>
    <row r="295" spans="1:17" x14ac:dyDescent="0.3">
      <c r="B295" s="29">
        <v>3</v>
      </c>
      <c r="C295" s="29" t="s">
        <v>386</v>
      </c>
      <c r="D295" s="30">
        <v>9</v>
      </c>
      <c r="E295" s="29">
        <v>230</v>
      </c>
      <c r="F295" s="29">
        <v>230</v>
      </c>
      <c r="G295" s="29" t="s">
        <v>292</v>
      </c>
      <c r="H295" s="29">
        <v>1</v>
      </c>
      <c r="J295" s="29">
        <v>3.7373849999999997</v>
      </c>
      <c r="K295" s="29">
        <v>3.7373849999999997</v>
      </c>
      <c r="L295" s="29" t="s">
        <v>293</v>
      </c>
      <c r="M295" s="29">
        <v>1</v>
      </c>
      <c r="O295" s="29">
        <v>1</v>
      </c>
      <c r="P295" s="29">
        <v>3.7373849999999997</v>
      </c>
      <c r="Q295" s="29" t="s">
        <v>294</v>
      </c>
    </row>
    <row r="296" spans="1:17" x14ac:dyDescent="0.3">
      <c r="B296" s="29">
        <v>4</v>
      </c>
      <c r="C296" s="29" t="s">
        <v>1028</v>
      </c>
      <c r="D296" s="30">
        <v>9</v>
      </c>
      <c r="E296" s="29">
        <v>280</v>
      </c>
      <c r="F296" s="29">
        <v>280</v>
      </c>
      <c r="G296" s="29" t="s">
        <v>292</v>
      </c>
      <c r="H296" s="29">
        <v>1</v>
      </c>
      <c r="J296" s="29">
        <v>5.5389599999999994</v>
      </c>
      <c r="K296" s="29">
        <v>5.5389599999999994</v>
      </c>
      <c r="L296" s="29" t="s">
        <v>293</v>
      </c>
      <c r="M296" s="29">
        <v>1</v>
      </c>
      <c r="O296" s="29">
        <v>1</v>
      </c>
      <c r="P296" s="29">
        <v>5.5389599999999994</v>
      </c>
      <c r="Q296" s="29" t="s">
        <v>294</v>
      </c>
    </row>
    <row r="297" spans="1:17" x14ac:dyDescent="0.3">
      <c r="B297" s="29">
        <v>5</v>
      </c>
      <c r="C297" s="29" t="s">
        <v>387</v>
      </c>
      <c r="D297" s="29" t="s">
        <v>388</v>
      </c>
      <c r="E297" s="29">
        <v>150</v>
      </c>
      <c r="G297" s="29" t="s">
        <v>292</v>
      </c>
      <c r="H297" s="29">
        <v>2</v>
      </c>
      <c r="I297" s="29">
        <v>2.95</v>
      </c>
      <c r="J297" s="29">
        <v>0.4425</v>
      </c>
      <c r="K297" s="29">
        <v>0.88500000000000001</v>
      </c>
      <c r="L297" s="29" t="s">
        <v>383</v>
      </c>
      <c r="M297" s="29">
        <v>1</v>
      </c>
      <c r="N297" s="29">
        <v>0.3</v>
      </c>
      <c r="O297" s="29">
        <v>2</v>
      </c>
      <c r="P297" s="29">
        <v>0.88500000000000001</v>
      </c>
      <c r="Q297" s="29" t="s">
        <v>384</v>
      </c>
    </row>
    <row r="298" spans="1:17" x14ac:dyDescent="0.3">
      <c r="A298" s="29" t="s">
        <v>435</v>
      </c>
      <c r="B298" s="29">
        <v>1</v>
      </c>
      <c r="C298" s="29" t="s">
        <v>380</v>
      </c>
      <c r="D298" s="30" t="s">
        <v>1027</v>
      </c>
      <c r="E298" s="29">
        <v>371</v>
      </c>
      <c r="G298" s="29" t="s">
        <v>382</v>
      </c>
      <c r="H298" s="29">
        <v>1</v>
      </c>
      <c r="I298" s="29">
        <v>28.26</v>
      </c>
      <c r="J298" s="29">
        <v>10.48446</v>
      </c>
      <c r="K298" s="29">
        <v>10.48446</v>
      </c>
      <c r="L298" s="29" t="s">
        <v>383</v>
      </c>
      <c r="M298" s="29">
        <v>1</v>
      </c>
      <c r="N298" s="29">
        <v>0.371</v>
      </c>
      <c r="P298" s="29">
        <v>10.48446</v>
      </c>
      <c r="Q298" s="29" t="s">
        <v>384</v>
      </c>
    </row>
    <row r="299" spans="1:17" x14ac:dyDescent="0.3">
      <c r="B299" s="29">
        <v>2</v>
      </c>
      <c r="C299" s="29" t="s">
        <v>380</v>
      </c>
      <c r="D299" s="30" t="s">
        <v>1027</v>
      </c>
      <c r="E299" s="29">
        <v>600</v>
      </c>
      <c r="G299" s="29" t="s">
        <v>385</v>
      </c>
      <c r="H299" s="29">
        <v>1</v>
      </c>
      <c r="I299" s="29">
        <v>28.26</v>
      </c>
      <c r="J299" s="29">
        <v>16.956</v>
      </c>
      <c r="K299" s="29">
        <v>16.956</v>
      </c>
      <c r="L299" s="29" t="s">
        <v>383</v>
      </c>
      <c r="M299" s="29">
        <v>1</v>
      </c>
      <c r="N299" s="29">
        <v>0.6</v>
      </c>
      <c r="P299" s="29">
        <v>16.956</v>
      </c>
      <c r="Q299" s="29" t="s">
        <v>384</v>
      </c>
    </row>
    <row r="300" spans="1:17" x14ac:dyDescent="0.3">
      <c r="B300" s="29">
        <v>3</v>
      </c>
      <c r="C300" s="29" t="s">
        <v>386</v>
      </c>
      <c r="D300" s="30">
        <v>9</v>
      </c>
      <c r="E300" s="29">
        <v>230</v>
      </c>
      <c r="F300" s="29">
        <v>230</v>
      </c>
      <c r="G300" s="29" t="s">
        <v>292</v>
      </c>
      <c r="H300" s="29">
        <v>1</v>
      </c>
      <c r="J300" s="29">
        <v>3.7373849999999997</v>
      </c>
      <c r="K300" s="29">
        <v>3.7373849999999997</v>
      </c>
      <c r="L300" s="29" t="s">
        <v>293</v>
      </c>
      <c r="M300" s="29">
        <v>1</v>
      </c>
      <c r="O300" s="29">
        <v>1</v>
      </c>
      <c r="P300" s="29">
        <v>3.7373849999999997</v>
      </c>
      <c r="Q300" s="29" t="s">
        <v>294</v>
      </c>
    </row>
    <row r="301" spans="1:17" x14ac:dyDescent="0.3">
      <c r="B301" s="29">
        <v>4</v>
      </c>
      <c r="C301" s="29" t="s">
        <v>389</v>
      </c>
      <c r="D301" s="29">
        <v>9</v>
      </c>
      <c r="E301" s="29">
        <v>370</v>
      </c>
      <c r="F301" s="29">
        <v>370</v>
      </c>
      <c r="G301" s="29" t="s">
        <v>292</v>
      </c>
      <c r="H301" s="29">
        <v>1</v>
      </c>
      <c r="J301" s="29">
        <v>9.6719849999999994</v>
      </c>
      <c r="K301" s="29">
        <v>9.6719849999999994</v>
      </c>
      <c r="L301" s="29" t="s">
        <v>293</v>
      </c>
      <c r="M301" s="29">
        <v>1</v>
      </c>
      <c r="O301" s="29">
        <v>1</v>
      </c>
      <c r="P301" s="29">
        <v>9.6719849999999994</v>
      </c>
      <c r="Q301" s="29" t="s">
        <v>294</v>
      </c>
    </row>
    <row r="302" spans="1:17" x14ac:dyDescent="0.3">
      <c r="B302" s="29">
        <v>5</v>
      </c>
      <c r="C302" s="29" t="s">
        <v>390</v>
      </c>
      <c r="D302" s="30" t="s">
        <v>295</v>
      </c>
      <c r="G302" s="29" t="s">
        <v>382</v>
      </c>
      <c r="H302" s="29">
        <v>4</v>
      </c>
      <c r="J302" s="29">
        <v>1</v>
      </c>
      <c r="K302" s="29">
        <v>4</v>
      </c>
      <c r="L302" s="29" t="s">
        <v>391</v>
      </c>
      <c r="M302" s="29">
        <v>1</v>
      </c>
      <c r="O302" s="29">
        <v>4</v>
      </c>
      <c r="P302" s="29">
        <v>4</v>
      </c>
      <c r="Q302" s="29" t="s">
        <v>392</v>
      </c>
    </row>
    <row r="303" spans="1:17" x14ac:dyDescent="0.3">
      <c r="A303" s="29" t="s">
        <v>436</v>
      </c>
      <c r="B303" s="29">
        <v>1</v>
      </c>
      <c r="C303" s="29" t="s">
        <v>380</v>
      </c>
      <c r="D303" s="30" t="s">
        <v>1027</v>
      </c>
      <c r="E303" s="29">
        <v>371</v>
      </c>
      <c r="G303" s="29" t="s">
        <v>382</v>
      </c>
      <c r="H303" s="29">
        <v>1</v>
      </c>
      <c r="I303" s="29">
        <v>28.26</v>
      </c>
      <c r="J303" s="29">
        <v>10.48446</v>
      </c>
      <c r="K303" s="29">
        <v>10.48446</v>
      </c>
      <c r="L303" s="29" t="s">
        <v>383</v>
      </c>
      <c r="M303" s="29">
        <v>1</v>
      </c>
      <c r="N303" s="29">
        <v>0.371</v>
      </c>
      <c r="P303" s="29">
        <v>10.48446</v>
      </c>
      <c r="Q303" s="29" t="s">
        <v>384</v>
      </c>
    </row>
    <row r="304" spans="1:17" x14ac:dyDescent="0.3">
      <c r="B304" s="29">
        <v>2</v>
      </c>
      <c r="C304" s="29" t="s">
        <v>380</v>
      </c>
      <c r="D304" s="30" t="s">
        <v>1027</v>
      </c>
      <c r="E304" s="29">
        <v>600</v>
      </c>
      <c r="G304" s="29" t="s">
        <v>385</v>
      </c>
      <c r="H304" s="29">
        <v>1</v>
      </c>
      <c r="I304" s="29">
        <v>28.26</v>
      </c>
      <c r="J304" s="29">
        <v>16.956</v>
      </c>
      <c r="K304" s="29">
        <v>16.956</v>
      </c>
      <c r="L304" s="29" t="s">
        <v>383</v>
      </c>
      <c r="M304" s="29">
        <v>1</v>
      </c>
      <c r="N304" s="29">
        <v>0.6</v>
      </c>
      <c r="P304" s="29">
        <v>16.956</v>
      </c>
      <c r="Q304" s="29" t="s">
        <v>384</v>
      </c>
    </row>
    <row r="305" spans="1:17" x14ac:dyDescent="0.3">
      <c r="B305" s="29">
        <v>3</v>
      </c>
      <c r="C305" s="29" t="s">
        <v>386</v>
      </c>
      <c r="D305" s="29">
        <v>9</v>
      </c>
      <c r="E305" s="29">
        <v>230</v>
      </c>
      <c r="F305" s="29">
        <v>230</v>
      </c>
      <c r="G305" s="29" t="s">
        <v>292</v>
      </c>
      <c r="H305" s="29">
        <v>1</v>
      </c>
      <c r="J305" s="29">
        <v>3.7373849999999997</v>
      </c>
      <c r="K305" s="29">
        <v>3.7373849999999997</v>
      </c>
      <c r="L305" s="29" t="s">
        <v>293</v>
      </c>
      <c r="M305" s="29">
        <v>1</v>
      </c>
      <c r="O305" s="29">
        <v>1</v>
      </c>
      <c r="P305" s="29">
        <v>3.7373849999999997</v>
      </c>
      <c r="Q305" s="29" t="s">
        <v>294</v>
      </c>
    </row>
    <row r="306" spans="1:17" x14ac:dyDescent="0.3">
      <c r="B306" s="29">
        <v>4</v>
      </c>
      <c r="C306" s="29" t="s">
        <v>389</v>
      </c>
      <c r="D306" s="29">
        <v>9</v>
      </c>
      <c r="E306" s="29">
        <v>370</v>
      </c>
      <c r="F306" s="29">
        <v>370</v>
      </c>
      <c r="G306" s="29" t="s">
        <v>292</v>
      </c>
      <c r="H306" s="29">
        <v>1</v>
      </c>
      <c r="J306" s="29">
        <v>9.6719849999999994</v>
      </c>
      <c r="K306" s="29">
        <v>9.6719849999999994</v>
      </c>
      <c r="L306" s="29" t="s">
        <v>293</v>
      </c>
      <c r="M306" s="29">
        <v>1</v>
      </c>
      <c r="O306" s="29">
        <v>1</v>
      </c>
      <c r="P306" s="29">
        <v>9.6719849999999994</v>
      </c>
      <c r="Q306" s="29" t="s">
        <v>294</v>
      </c>
    </row>
    <row r="307" spans="1:17" x14ac:dyDescent="0.3">
      <c r="B307" s="29">
        <v>5</v>
      </c>
      <c r="C307" s="29" t="s">
        <v>390</v>
      </c>
      <c r="D307" s="30" t="s">
        <v>295</v>
      </c>
      <c r="G307" s="29" t="s">
        <v>382</v>
      </c>
      <c r="H307" s="29">
        <v>4</v>
      </c>
      <c r="J307" s="29">
        <v>1</v>
      </c>
      <c r="K307" s="29">
        <v>4</v>
      </c>
      <c r="L307" s="29" t="s">
        <v>391</v>
      </c>
      <c r="M307" s="29">
        <v>1</v>
      </c>
      <c r="O307" s="29">
        <v>4</v>
      </c>
      <c r="P307" s="29">
        <v>4</v>
      </c>
      <c r="Q307" s="29" t="s">
        <v>392</v>
      </c>
    </row>
    <row r="308" spans="1:17" x14ac:dyDescent="0.3">
      <c r="B308" s="29">
        <v>6</v>
      </c>
      <c r="C308" s="29" t="s">
        <v>387</v>
      </c>
      <c r="D308" s="29" t="s">
        <v>388</v>
      </c>
      <c r="E308" s="29">
        <v>150</v>
      </c>
      <c r="G308" s="29" t="s">
        <v>292</v>
      </c>
      <c r="H308" s="29">
        <v>2</v>
      </c>
      <c r="I308" s="29">
        <v>2.95</v>
      </c>
      <c r="J308" s="29">
        <v>0.4425</v>
      </c>
      <c r="K308" s="29">
        <v>0.88500000000000001</v>
      </c>
      <c r="L308" s="29" t="s">
        <v>383</v>
      </c>
      <c r="M308" s="29">
        <v>1</v>
      </c>
      <c r="N308" s="29">
        <v>0.3</v>
      </c>
      <c r="O308" s="29">
        <v>2</v>
      </c>
      <c r="P308" s="29">
        <v>0.88500000000000001</v>
      </c>
      <c r="Q308" s="29" t="s">
        <v>384</v>
      </c>
    </row>
    <row r="309" spans="1:17" x14ac:dyDescent="0.3">
      <c r="A309" s="29" t="s">
        <v>437</v>
      </c>
      <c r="B309" s="29">
        <v>1</v>
      </c>
      <c r="C309" s="29" t="s">
        <v>380</v>
      </c>
      <c r="D309" s="30" t="s">
        <v>1027</v>
      </c>
      <c r="E309" s="29">
        <v>371</v>
      </c>
      <c r="G309" s="29" t="s">
        <v>382</v>
      </c>
      <c r="H309" s="29">
        <v>1</v>
      </c>
      <c r="I309" s="29">
        <v>28.26</v>
      </c>
      <c r="J309" s="29">
        <v>10.48446</v>
      </c>
      <c r="K309" s="29">
        <v>10.48446</v>
      </c>
      <c r="L309" s="29" t="s">
        <v>383</v>
      </c>
      <c r="M309" s="29">
        <v>1</v>
      </c>
      <c r="N309" s="29">
        <v>0.371</v>
      </c>
      <c r="P309" s="29">
        <v>10.48446</v>
      </c>
      <c r="Q309" s="29" t="s">
        <v>384</v>
      </c>
    </row>
    <row r="310" spans="1:17" x14ac:dyDescent="0.3">
      <c r="B310" s="29">
        <v>2</v>
      </c>
      <c r="C310" s="29" t="s">
        <v>380</v>
      </c>
      <c r="D310" s="30" t="s">
        <v>1027</v>
      </c>
      <c r="E310" s="29">
        <v>600</v>
      </c>
      <c r="G310" s="29" t="s">
        <v>385</v>
      </c>
      <c r="H310" s="29">
        <v>1</v>
      </c>
      <c r="I310" s="29">
        <v>28.26</v>
      </c>
      <c r="J310" s="29">
        <v>16.956</v>
      </c>
      <c r="K310" s="29">
        <v>16.956</v>
      </c>
      <c r="L310" s="29" t="s">
        <v>383</v>
      </c>
      <c r="M310" s="29">
        <v>1</v>
      </c>
      <c r="N310" s="29">
        <v>0.6</v>
      </c>
      <c r="P310" s="29">
        <v>16.956</v>
      </c>
      <c r="Q310" s="29" t="s">
        <v>384</v>
      </c>
    </row>
    <row r="311" spans="1:17" x14ac:dyDescent="0.3">
      <c r="B311" s="29">
        <v>3</v>
      </c>
      <c r="C311" s="29" t="s">
        <v>386</v>
      </c>
      <c r="D311" s="29">
        <v>9</v>
      </c>
      <c r="E311" s="29">
        <v>230</v>
      </c>
      <c r="F311" s="29">
        <v>230</v>
      </c>
      <c r="G311" s="29" t="s">
        <v>292</v>
      </c>
      <c r="H311" s="29">
        <v>1</v>
      </c>
      <c r="J311" s="29">
        <v>3.7373849999999997</v>
      </c>
      <c r="K311" s="29">
        <v>3.7373849999999997</v>
      </c>
      <c r="L311" s="29" t="s">
        <v>293</v>
      </c>
      <c r="M311" s="29">
        <v>1</v>
      </c>
      <c r="O311" s="29">
        <v>1</v>
      </c>
      <c r="P311" s="29">
        <v>3.7373849999999997</v>
      </c>
      <c r="Q311" s="29" t="s">
        <v>294</v>
      </c>
    </row>
    <row r="312" spans="1:17" x14ac:dyDescent="0.3">
      <c r="B312" s="29">
        <v>4</v>
      </c>
      <c r="C312" s="29" t="s">
        <v>389</v>
      </c>
      <c r="D312" s="29">
        <v>9</v>
      </c>
      <c r="E312" s="29">
        <v>370</v>
      </c>
      <c r="F312" s="29">
        <v>370</v>
      </c>
      <c r="G312" s="29" t="s">
        <v>292</v>
      </c>
      <c r="H312" s="29">
        <v>1</v>
      </c>
      <c r="J312" s="29">
        <v>9.6719849999999994</v>
      </c>
      <c r="K312" s="29">
        <v>9.6719849999999994</v>
      </c>
      <c r="L312" s="29" t="s">
        <v>293</v>
      </c>
      <c r="M312" s="29">
        <v>1</v>
      </c>
      <c r="O312" s="29">
        <v>1</v>
      </c>
      <c r="P312" s="29">
        <v>9.6719849999999994</v>
      </c>
      <c r="Q312" s="29" t="s">
        <v>294</v>
      </c>
    </row>
    <row r="313" spans="1:17" x14ac:dyDescent="0.3">
      <c r="B313" s="29">
        <v>5</v>
      </c>
      <c r="C313" s="29" t="s">
        <v>390</v>
      </c>
      <c r="D313" s="30" t="s">
        <v>295</v>
      </c>
      <c r="G313" s="29" t="s">
        <v>382</v>
      </c>
      <c r="H313" s="29">
        <v>4</v>
      </c>
      <c r="J313" s="29">
        <v>1</v>
      </c>
      <c r="K313" s="29">
        <v>4</v>
      </c>
      <c r="L313" s="29" t="s">
        <v>391</v>
      </c>
      <c r="M313" s="29">
        <v>1</v>
      </c>
      <c r="O313" s="29">
        <v>4</v>
      </c>
      <c r="P313" s="29">
        <v>4</v>
      </c>
      <c r="Q313" s="29" t="s">
        <v>392</v>
      </c>
    </row>
    <row r="314" spans="1:17" x14ac:dyDescent="0.3">
      <c r="B314" s="29">
        <v>6</v>
      </c>
      <c r="C314" s="29" t="s">
        <v>387</v>
      </c>
      <c r="D314" s="30" t="s">
        <v>388</v>
      </c>
      <c r="E314" s="29">
        <v>150</v>
      </c>
      <c r="G314" s="29" t="s">
        <v>292</v>
      </c>
      <c r="H314" s="29">
        <v>2</v>
      </c>
      <c r="I314" s="29">
        <v>2.95</v>
      </c>
      <c r="J314" s="29">
        <v>0.4425</v>
      </c>
      <c r="K314" s="29">
        <v>0.88500000000000001</v>
      </c>
      <c r="L314" s="29" t="s">
        <v>383</v>
      </c>
      <c r="M314" s="29">
        <v>1</v>
      </c>
      <c r="N314" s="29">
        <v>0.3</v>
      </c>
      <c r="O314" s="29">
        <v>2</v>
      </c>
      <c r="P314" s="29">
        <v>0.88500000000000001</v>
      </c>
      <c r="Q314" s="29" t="s">
        <v>384</v>
      </c>
    </row>
    <row r="315" spans="1:17" x14ac:dyDescent="0.3">
      <c r="A315" s="29" t="s">
        <v>438</v>
      </c>
      <c r="B315" s="29">
        <v>1</v>
      </c>
      <c r="C315" s="29" t="s">
        <v>380</v>
      </c>
      <c r="D315" s="30" t="s">
        <v>1027</v>
      </c>
      <c r="E315" s="29">
        <v>371</v>
      </c>
      <c r="G315" s="29" t="s">
        <v>382</v>
      </c>
      <c r="H315" s="29">
        <v>1</v>
      </c>
      <c r="I315" s="29">
        <v>28.26</v>
      </c>
      <c r="J315" s="29">
        <v>10.48446</v>
      </c>
      <c r="K315" s="29">
        <v>10.48446</v>
      </c>
      <c r="L315" s="29" t="s">
        <v>383</v>
      </c>
      <c r="M315" s="29">
        <v>1</v>
      </c>
      <c r="N315" s="29">
        <v>0.371</v>
      </c>
      <c r="P315" s="29">
        <v>10.48446</v>
      </c>
      <c r="Q315" s="29" t="s">
        <v>384</v>
      </c>
    </row>
    <row r="316" spans="1:17" x14ac:dyDescent="0.3">
      <c r="B316" s="29">
        <v>2</v>
      </c>
      <c r="C316" s="29" t="s">
        <v>380</v>
      </c>
      <c r="D316" s="30" t="s">
        <v>1027</v>
      </c>
      <c r="E316" s="29">
        <v>700</v>
      </c>
      <c r="G316" s="29" t="s">
        <v>385</v>
      </c>
      <c r="H316" s="29">
        <v>1</v>
      </c>
      <c r="I316" s="29">
        <v>28.26</v>
      </c>
      <c r="J316" s="29">
        <v>19.782</v>
      </c>
      <c r="K316" s="29">
        <v>19.782</v>
      </c>
      <c r="L316" s="29" t="s">
        <v>383</v>
      </c>
      <c r="M316" s="29">
        <v>1</v>
      </c>
      <c r="N316" s="29">
        <v>0.7</v>
      </c>
      <c r="P316" s="29">
        <v>19.782</v>
      </c>
      <c r="Q316" s="29" t="s">
        <v>384</v>
      </c>
    </row>
    <row r="317" spans="1:17" x14ac:dyDescent="0.3">
      <c r="B317" s="29">
        <v>3</v>
      </c>
      <c r="C317" s="29" t="s">
        <v>386</v>
      </c>
      <c r="D317" s="30">
        <v>9</v>
      </c>
      <c r="E317" s="29">
        <v>230</v>
      </c>
      <c r="F317" s="29">
        <v>230</v>
      </c>
      <c r="G317" s="29" t="s">
        <v>292</v>
      </c>
      <c r="H317" s="29">
        <v>1</v>
      </c>
      <c r="J317" s="29">
        <v>3.7373849999999997</v>
      </c>
      <c r="K317" s="29">
        <v>3.7373849999999997</v>
      </c>
      <c r="L317" s="29" t="s">
        <v>293</v>
      </c>
      <c r="M317" s="29">
        <v>1</v>
      </c>
      <c r="O317" s="29">
        <v>1</v>
      </c>
      <c r="P317" s="29">
        <v>3.7373849999999997</v>
      </c>
      <c r="Q317" s="29" t="s">
        <v>294</v>
      </c>
    </row>
    <row r="318" spans="1:17" x14ac:dyDescent="0.3">
      <c r="A318" s="29" t="s">
        <v>439</v>
      </c>
      <c r="B318" s="29">
        <v>1</v>
      </c>
      <c r="C318" s="29" t="s">
        <v>380</v>
      </c>
      <c r="D318" s="30" t="s">
        <v>1027</v>
      </c>
      <c r="E318" s="29">
        <v>371</v>
      </c>
      <c r="G318" s="29" t="s">
        <v>382</v>
      </c>
      <c r="H318" s="29">
        <v>1</v>
      </c>
      <c r="I318" s="29">
        <v>28.26</v>
      </c>
      <c r="J318" s="29">
        <v>10.48446</v>
      </c>
      <c r="K318" s="29">
        <v>10.48446</v>
      </c>
      <c r="L318" s="29" t="s">
        <v>383</v>
      </c>
      <c r="M318" s="29">
        <v>1</v>
      </c>
      <c r="N318" s="29">
        <v>0.371</v>
      </c>
      <c r="P318" s="29">
        <v>10.48446</v>
      </c>
      <c r="Q318" s="29" t="s">
        <v>384</v>
      </c>
    </row>
    <row r="319" spans="1:17" x14ac:dyDescent="0.3">
      <c r="B319" s="29">
        <v>2</v>
      </c>
      <c r="C319" s="29" t="s">
        <v>380</v>
      </c>
      <c r="D319" s="30" t="s">
        <v>1027</v>
      </c>
      <c r="E319" s="29">
        <v>700</v>
      </c>
      <c r="G319" s="29" t="s">
        <v>385</v>
      </c>
      <c r="H319" s="29">
        <v>1</v>
      </c>
      <c r="I319" s="29">
        <v>28.26</v>
      </c>
      <c r="J319" s="29">
        <v>19.782</v>
      </c>
      <c r="K319" s="29">
        <v>19.782</v>
      </c>
      <c r="L319" s="29" t="s">
        <v>383</v>
      </c>
      <c r="M319" s="29">
        <v>1</v>
      </c>
      <c r="N319" s="29">
        <v>0.7</v>
      </c>
      <c r="P319" s="29">
        <v>19.782</v>
      </c>
      <c r="Q319" s="29" t="s">
        <v>384</v>
      </c>
    </row>
    <row r="320" spans="1:17" x14ac:dyDescent="0.3">
      <c r="B320" s="29">
        <v>3</v>
      </c>
      <c r="C320" s="29" t="s">
        <v>386</v>
      </c>
      <c r="D320" s="30">
        <v>9</v>
      </c>
      <c r="E320" s="29">
        <v>230</v>
      </c>
      <c r="F320" s="29">
        <v>230</v>
      </c>
      <c r="G320" s="29" t="s">
        <v>292</v>
      </c>
      <c r="H320" s="29">
        <v>1</v>
      </c>
      <c r="J320" s="29">
        <v>3.7373849999999997</v>
      </c>
      <c r="K320" s="29">
        <v>3.7373849999999997</v>
      </c>
      <c r="L320" s="29" t="s">
        <v>293</v>
      </c>
      <c r="M320" s="29">
        <v>1</v>
      </c>
      <c r="O320" s="29">
        <v>1</v>
      </c>
      <c r="P320" s="29">
        <v>3.7373849999999997</v>
      </c>
      <c r="Q320" s="29" t="s">
        <v>294</v>
      </c>
    </row>
    <row r="321" spans="1:17" x14ac:dyDescent="0.3">
      <c r="B321" s="29">
        <v>4</v>
      </c>
      <c r="C321" s="29" t="s">
        <v>387</v>
      </c>
      <c r="D321" s="29" t="s">
        <v>388</v>
      </c>
      <c r="E321" s="29">
        <v>150</v>
      </c>
      <c r="G321" s="29" t="s">
        <v>292</v>
      </c>
      <c r="H321" s="29">
        <v>2</v>
      </c>
      <c r="I321" s="29">
        <v>2.95</v>
      </c>
      <c r="J321" s="29">
        <v>0.4425</v>
      </c>
      <c r="K321" s="29">
        <v>0.88500000000000001</v>
      </c>
      <c r="L321" s="29" t="s">
        <v>383</v>
      </c>
      <c r="M321" s="29">
        <v>1</v>
      </c>
      <c r="N321" s="29">
        <v>0.3</v>
      </c>
      <c r="O321" s="29">
        <v>2</v>
      </c>
      <c r="P321" s="29">
        <v>0.88500000000000001</v>
      </c>
      <c r="Q321" s="29" t="s">
        <v>384</v>
      </c>
    </row>
    <row r="322" spans="1:17" x14ac:dyDescent="0.3">
      <c r="A322" s="29" t="s">
        <v>439</v>
      </c>
      <c r="B322" s="29">
        <v>1</v>
      </c>
      <c r="C322" s="29" t="s">
        <v>380</v>
      </c>
      <c r="D322" s="30" t="s">
        <v>1027</v>
      </c>
      <c r="E322" s="29">
        <v>371</v>
      </c>
      <c r="G322" s="29" t="s">
        <v>382</v>
      </c>
      <c r="H322" s="29">
        <v>1</v>
      </c>
      <c r="I322" s="29">
        <v>28.26</v>
      </c>
      <c r="J322" s="29">
        <v>10.48446</v>
      </c>
      <c r="K322" s="29">
        <v>10.48446</v>
      </c>
      <c r="L322" s="29" t="s">
        <v>383</v>
      </c>
      <c r="M322" s="29">
        <v>1</v>
      </c>
      <c r="N322" s="29">
        <v>0.371</v>
      </c>
      <c r="P322" s="29">
        <v>10.48446</v>
      </c>
      <c r="Q322" s="29" t="s">
        <v>384</v>
      </c>
    </row>
    <row r="323" spans="1:17" x14ac:dyDescent="0.3">
      <c r="B323" s="29">
        <v>2</v>
      </c>
      <c r="C323" s="29" t="s">
        <v>380</v>
      </c>
      <c r="D323" s="30" t="s">
        <v>1027</v>
      </c>
      <c r="E323" s="29">
        <v>700</v>
      </c>
      <c r="G323" s="29" t="s">
        <v>385</v>
      </c>
      <c r="H323" s="29">
        <v>1</v>
      </c>
      <c r="I323" s="29">
        <v>28.26</v>
      </c>
      <c r="J323" s="29">
        <v>19.782</v>
      </c>
      <c r="K323" s="29">
        <v>19.782</v>
      </c>
      <c r="L323" s="29" t="s">
        <v>383</v>
      </c>
      <c r="M323" s="29">
        <v>1</v>
      </c>
      <c r="N323" s="29">
        <v>0.7</v>
      </c>
      <c r="P323" s="29">
        <v>19.782</v>
      </c>
      <c r="Q323" s="29" t="s">
        <v>384</v>
      </c>
    </row>
    <row r="324" spans="1:17" x14ac:dyDescent="0.3">
      <c r="B324" s="29">
        <v>3</v>
      </c>
      <c r="C324" s="29" t="s">
        <v>386</v>
      </c>
      <c r="D324" s="30">
        <v>9</v>
      </c>
      <c r="E324" s="29">
        <v>230</v>
      </c>
      <c r="F324" s="29">
        <v>230</v>
      </c>
      <c r="G324" s="29" t="s">
        <v>292</v>
      </c>
      <c r="H324" s="29">
        <v>1</v>
      </c>
      <c r="J324" s="29">
        <v>3.7373849999999997</v>
      </c>
      <c r="K324" s="29">
        <v>3.7373849999999997</v>
      </c>
      <c r="L324" s="29" t="s">
        <v>293</v>
      </c>
      <c r="M324" s="29">
        <v>1</v>
      </c>
      <c r="O324" s="29">
        <v>1</v>
      </c>
      <c r="P324" s="29">
        <v>3.7373849999999997</v>
      </c>
      <c r="Q324" s="29" t="s">
        <v>294</v>
      </c>
    </row>
    <row r="325" spans="1:17" x14ac:dyDescent="0.3">
      <c r="B325" s="29">
        <v>4</v>
      </c>
      <c r="C325" s="29" t="s">
        <v>387</v>
      </c>
      <c r="D325" s="30" t="s">
        <v>388</v>
      </c>
      <c r="E325" s="29">
        <v>150</v>
      </c>
      <c r="G325" s="29" t="s">
        <v>292</v>
      </c>
      <c r="H325" s="29">
        <v>2</v>
      </c>
      <c r="I325" s="29">
        <v>2.95</v>
      </c>
      <c r="J325" s="29">
        <v>0.4425</v>
      </c>
      <c r="K325" s="29">
        <v>0.88500000000000001</v>
      </c>
      <c r="L325" s="29" t="s">
        <v>383</v>
      </c>
      <c r="M325" s="29">
        <v>1</v>
      </c>
      <c r="N325" s="29">
        <v>0.3</v>
      </c>
      <c r="O325" s="29">
        <v>2</v>
      </c>
      <c r="P325" s="29">
        <v>0.88500000000000001</v>
      </c>
      <c r="Q325" s="29" t="s">
        <v>384</v>
      </c>
    </row>
    <row r="326" spans="1:17" x14ac:dyDescent="0.3">
      <c r="A326" s="29" t="s">
        <v>440</v>
      </c>
      <c r="B326" s="29">
        <v>1</v>
      </c>
      <c r="C326" s="29" t="s">
        <v>380</v>
      </c>
      <c r="D326" s="29" t="s">
        <v>1025</v>
      </c>
      <c r="E326" s="29">
        <v>1422.5</v>
      </c>
      <c r="G326" s="29" t="s">
        <v>382</v>
      </c>
      <c r="H326" s="29">
        <v>1</v>
      </c>
      <c r="I326" s="29">
        <v>16.079999999999998</v>
      </c>
      <c r="J326" s="29">
        <v>22.873799999999999</v>
      </c>
      <c r="K326" s="29">
        <v>22.873799999999999</v>
      </c>
      <c r="L326" s="29" t="s">
        <v>383</v>
      </c>
      <c r="M326" s="29">
        <v>1</v>
      </c>
      <c r="N326" s="29">
        <v>1.4225000000000001</v>
      </c>
      <c r="P326" s="29">
        <v>22.873799999999999</v>
      </c>
      <c r="Q326" s="29" t="s">
        <v>384</v>
      </c>
    </row>
    <row r="327" spans="1:17" x14ac:dyDescent="0.3">
      <c r="B327" s="29">
        <v>2</v>
      </c>
      <c r="C327" s="29" t="s">
        <v>1029</v>
      </c>
      <c r="D327" s="30" t="s">
        <v>1030</v>
      </c>
      <c r="E327" s="29">
        <v>500</v>
      </c>
      <c r="G327" s="29" t="s">
        <v>292</v>
      </c>
      <c r="H327" s="29">
        <v>1</v>
      </c>
      <c r="I327" s="29">
        <v>13.4</v>
      </c>
      <c r="J327" s="29">
        <v>6.7</v>
      </c>
      <c r="K327" s="29">
        <v>6.7</v>
      </c>
      <c r="L327" s="29" t="s">
        <v>383</v>
      </c>
      <c r="M327" s="29">
        <v>1</v>
      </c>
      <c r="N327" s="29">
        <v>0.5</v>
      </c>
      <c r="O327" s="29">
        <v>1</v>
      </c>
      <c r="P327" s="29">
        <v>6.7</v>
      </c>
      <c r="Q327" s="29" t="s">
        <v>384</v>
      </c>
    </row>
    <row r="328" spans="1:17" x14ac:dyDescent="0.3">
      <c r="B328" s="29">
        <v>3</v>
      </c>
      <c r="C328" s="29" t="s">
        <v>1026</v>
      </c>
      <c r="D328" s="30">
        <v>9</v>
      </c>
      <c r="E328" s="29">
        <v>260</v>
      </c>
      <c r="F328" s="29">
        <v>260</v>
      </c>
      <c r="G328" s="29" t="s">
        <v>292</v>
      </c>
      <c r="H328" s="29">
        <v>1</v>
      </c>
      <c r="J328" s="29">
        <v>4.7759399999999994</v>
      </c>
      <c r="K328" s="29">
        <v>4.7759399999999994</v>
      </c>
      <c r="L328" s="29" t="s">
        <v>293</v>
      </c>
      <c r="M328" s="29">
        <v>1</v>
      </c>
      <c r="O328" s="29">
        <v>1</v>
      </c>
      <c r="P328" s="29">
        <v>4.7759399999999994</v>
      </c>
      <c r="Q328" s="29" t="s">
        <v>294</v>
      </c>
    </row>
    <row r="329" spans="1:17" x14ac:dyDescent="0.3">
      <c r="B329" s="29">
        <v>4</v>
      </c>
      <c r="C329" s="29" t="s">
        <v>390</v>
      </c>
      <c r="D329" s="30" t="s">
        <v>295</v>
      </c>
      <c r="G329" s="29" t="s">
        <v>382</v>
      </c>
      <c r="H329" s="29">
        <v>4</v>
      </c>
      <c r="J329" s="29">
        <v>1</v>
      </c>
      <c r="K329" s="29">
        <v>4</v>
      </c>
      <c r="L329" s="29" t="s">
        <v>391</v>
      </c>
      <c r="M329" s="29">
        <v>1</v>
      </c>
      <c r="O329" s="29">
        <v>4</v>
      </c>
      <c r="P329" s="29">
        <v>4</v>
      </c>
      <c r="Q329" s="29" t="s">
        <v>392</v>
      </c>
    </row>
    <row r="330" spans="1:17" x14ac:dyDescent="0.3">
      <c r="B330" s="29">
        <v>5</v>
      </c>
      <c r="C330" s="29" t="s">
        <v>1031</v>
      </c>
      <c r="D330" s="30">
        <v>6</v>
      </c>
      <c r="E330" s="29">
        <v>85</v>
      </c>
      <c r="F330" s="29">
        <v>185</v>
      </c>
      <c r="G330" s="29" t="s">
        <v>292</v>
      </c>
      <c r="H330" s="29">
        <v>1</v>
      </c>
      <c r="J330" s="29">
        <v>0.74064750000000001</v>
      </c>
      <c r="K330" s="29">
        <v>0.74064750000000001</v>
      </c>
      <c r="L330" s="29" t="s">
        <v>293</v>
      </c>
      <c r="M330" s="29">
        <v>1</v>
      </c>
      <c r="O330" s="29">
        <v>1</v>
      </c>
      <c r="P330" s="29">
        <v>0.74064750000000001</v>
      </c>
      <c r="Q330" s="29" t="s">
        <v>294</v>
      </c>
    </row>
    <row r="331" spans="1:17" x14ac:dyDescent="0.3">
      <c r="B331" s="29">
        <v>6</v>
      </c>
      <c r="C331" s="29" t="s">
        <v>1032</v>
      </c>
      <c r="D331" s="30">
        <v>6</v>
      </c>
      <c r="E331" s="29">
        <v>135</v>
      </c>
      <c r="F331" s="29">
        <v>135</v>
      </c>
      <c r="G331" s="29" t="s">
        <v>292</v>
      </c>
      <c r="H331" s="29">
        <v>1</v>
      </c>
      <c r="J331" s="29">
        <v>0.85839749999999992</v>
      </c>
      <c r="K331" s="29">
        <v>0.85839749999999992</v>
      </c>
      <c r="L331" s="29" t="s">
        <v>293</v>
      </c>
      <c r="M331" s="29">
        <v>1</v>
      </c>
      <c r="O331" s="29">
        <v>1</v>
      </c>
      <c r="P331" s="29">
        <v>0.85839749999999992</v>
      </c>
      <c r="Q331" s="29" t="s">
        <v>294</v>
      </c>
    </row>
    <row r="332" spans="1:17" x14ac:dyDescent="0.3">
      <c r="A332" s="29" t="s">
        <v>441</v>
      </c>
      <c r="B332" s="29">
        <v>1</v>
      </c>
      <c r="C332" s="29" t="s">
        <v>380</v>
      </c>
      <c r="D332" s="30" t="s">
        <v>1033</v>
      </c>
      <c r="E332" s="29">
        <v>206</v>
      </c>
      <c r="G332" s="29" t="s">
        <v>382</v>
      </c>
      <c r="H332" s="29">
        <v>1</v>
      </c>
      <c r="I332" s="29">
        <v>7.48</v>
      </c>
      <c r="J332" s="29">
        <v>1.54088</v>
      </c>
      <c r="K332" s="29">
        <v>1.54088</v>
      </c>
      <c r="L332" s="29" t="s">
        <v>383</v>
      </c>
      <c r="M332" s="29">
        <v>1</v>
      </c>
      <c r="N332" s="29">
        <v>0.20599999999999999</v>
      </c>
      <c r="P332" s="29">
        <v>1.54088</v>
      </c>
      <c r="Q332" s="29" t="s">
        <v>384</v>
      </c>
    </row>
    <row r="333" spans="1:17" x14ac:dyDescent="0.3">
      <c r="B333" s="29">
        <v>2</v>
      </c>
      <c r="C333" s="29" t="s">
        <v>380</v>
      </c>
      <c r="D333" s="30" t="s">
        <v>1033</v>
      </c>
      <c r="E333" s="29">
        <v>500</v>
      </c>
      <c r="G333" s="29" t="s">
        <v>385</v>
      </c>
      <c r="H333" s="29">
        <v>1</v>
      </c>
      <c r="I333" s="29">
        <v>7.48</v>
      </c>
      <c r="J333" s="29">
        <v>3.74</v>
      </c>
      <c r="K333" s="29">
        <v>3.74</v>
      </c>
      <c r="L333" s="29" t="s">
        <v>383</v>
      </c>
      <c r="M333" s="29">
        <v>1</v>
      </c>
      <c r="N333" s="29">
        <v>0.5</v>
      </c>
      <c r="P333" s="29">
        <v>3.74</v>
      </c>
      <c r="Q333" s="29" t="s">
        <v>384</v>
      </c>
    </row>
    <row r="334" spans="1:17" x14ac:dyDescent="0.3">
      <c r="B334" s="29">
        <v>3</v>
      </c>
      <c r="C334" s="29" t="s">
        <v>386</v>
      </c>
      <c r="D334" s="29">
        <v>9</v>
      </c>
      <c r="E334" s="29">
        <v>150</v>
      </c>
      <c r="F334" s="29">
        <v>150</v>
      </c>
      <c r="G334" s="29" t="s">
        <v>292</v>
      </c>
      <c r="H334" s="29">
        <v>1</v>
      </c>
      <c r="J334" s="29">
        <v>1.5896249999999998</v>
      </c>
      <c r="K334" s="29">
        <v>1.5896249999999998</v>
      </c>
      <c r="L334" s="29" t="s">
        <v>293</v>
      </c>
      <c r="M334" s="29">
        <v>1</v>
      </c>
      <c r="O334" s="29">
        <v>1</v>
      </c>
      <c r="P334" s="29">
        <v>1.5896249999999998</v>
      </c>
      <c r="Q334" s="29" t="s">
        <v>294</v>
      </c>
    </row>
    <row r="335" spans="1:17" x14ac:dyDescent="0.3">
      <c r="B335" s="29">
        <v>4</v>
      </c>
      <c r="C335" s="29" t="s">
        <v>389</v>
      </c>
      <c r="D335" s="30">
        <v>9</v>
      </c>
      <c r="E335" s="29">
        <v>290</v>
      </c>
      <c r="F335" s="29">
        <v>290</v>
      </c>
      <c r="G335" s="29" t="s">
        <v>292</v>
      </c>
      <c r="H335" s="29">
        <v>1</v>
      </c>
      <c r="J335" s="29">
        <v>5.9416649999999995</v>
      </c>
      <c r="K335" s="29">
        <v>5.9416649999999995</v>
      </c>
      <c r="L335" s="29" t="s">
        <v>293</v>
      </c>
      <c r="M335" s="29">
        <v>1</v>
      </c>
      <c r="O335" s="29">
        <v>1</v>
      </c>
      <c r="P335" s="29">
        <v>5.9416649999999995</v>
      </c>
      <c r="Q335" s="29" t="s">
        <v>294</v>
      </c>
    </row>
    <row r="336" spans="1:17" x14ac:dyDescent="0.3">
      <c r="B336" s="29">
        <v>5</v>
      </c>
      <c r="C336" s="29" t="s">
        <v>390</v>
      </c>
      <c r="D336" s="30" t="s">
        <v>295</v>
      </c>
      <c r="G336" s="29" t="s">
        <v>382</v>
      </c>
      <c r="H336" s="29">
        <v>4</v>
      </c>
      <c r="J336" s="29">
        <v>1</v>
      </c>
      <c r="K336" s="29">
        <v>4</v>
      </c>
      <c r="L336" s="29" t="s">
        <v>391</v>
      </c>
      <c r="M336" s="29">
        <v>1</v>
      </c>
      <c r="O336" s="29">
        <v>4</v>
      </c>
      <c r="P336" s="29">
        <v>4</v>
      </c>
      <c r="Q336" s="29" t="s">
        <v>392</v>
      </c>
    </row>
    <row r="337" spans="1:17" x14ac:dyDescent="0.3">
      <c r="B337" s="29">
        <v>6</v>
      </c>
      <c r="C337" s="29" t="s">
        <v>1034</v>
      </c>
      <c r="D337" s="29" t="s">
        <v>1035</v>
      </c>
      <c r="G337" s="29" t="s">
        <v>1036</v>
      </c>
      <c r="H337" s="29">
        <v>1</v>
      </c>
      <c r="J337" s="29">
        <v>20</v>
      </c>
      <c r="K337" s="29">
        <v>20</v>
      </c>
      <c r="L337" s="29" t="s">
        <v>391</v>
      </c>
      <c r="M337" s="29">
        <v>1</v>
      </c>
      <c r="O337" s="29">
        <v>1</v>
      </c>
      <c r="P337" s="29">
        <v>20</v>
      </c>
      <c r="Q337" s="29" t="s">
        <v>392</v>
      </c>
    </row>
    <row r="338" spans="1:17" x14ac:dyDescent="0.3">
      <c r="A338" s="29" t="s">
        <v>442</v>
      </c>
      <c r="B338" s="29">
        <v>1</v>
      </c>
      <c r="C338" s="29" t="s">
        <v>380</v>
      </c>
      <c r="D338" s="30" t="s">
        <v>1023</v>
      </c>
      <c r="E338" s="29">
        <v>193</v>
      </c>
      <c r="G338" s="29" t="s">
        <v>382</v>
      </c>
      <c r="H338" s="29">
        <v>1</v>
      </c>
      <c r="I338" s="29">
        <v>5.44</v>
      </c>
      <c r="J338" s="29">
        <v>1.0499200000000002</v>
      </c>
      <c r="K338" s="29">
        <v>1.0499200000000002</v>
      </c>
      <c r="L338" s="29" t="s">
        <v>383</v>
      </c>
      <c r="M338" s="29">
        <v>1</v>
      </c>
      <c r="N338" s="29">
        <v>0.193</v>
      </c>
      <c r="P338" s="29">
        <v>1.0499200000000002</v>
      </c>
      <c r="Q338" s="29" t="s">
        <v>384</v>
      </c>
    </row>
    <row r="339" spans="1:17" x14ac:dyDescent="0.3">
      <c r="B339" s="29">
        <v>2</v>
      </c>
      <c r="C339" s="29" t="s">
        <v>380</v>
      </c>
      <c r="D339" s="30" t="s">
        <v>1023</v>
      </c>
      <c r="E339" s="29">
        <v>1200</v>
      </c>
      <c r="G339" s="29" t="s">
        <v>385</v>
      </c>
      <c r="H339" s="29">
        <v>1</v>
      </c>
      <c r="I339" s="29">
        <v>5.44</v>
      </c>
      <c r="J339" s="29">
        <v>6.5280000000000005</v>
      </c>
      <c r="K339" s="29">
        <v>6.5280000000000005</v>
      </c>
      <c r="L339" s="29" t="s">
        <v>383</v>
      </c>
      <c r="M339" s="29">
        <v>1</v>
      </c>
      <c r="N339" s="29">
        <v>1.2</v>
      </c>
      <c r="P339" s="29">
        <v>6.5280000000000005</v>
      </c>
      <c r="Q339" s="29" t="s">
        <v>384</v>
      </c>
    </row>
    <row r="340" spans="1:17" x14ac:dyDescent="0.3">
      <c r="B340" s="29">
        <v>3</v>
      </c>
      <c r="C340" s="29" t="s">
        <v>386</v>
      </c>
      <c r="D340" s="29">
        <v>9</v>
      </c>
      <c r="E340" s="29">
        <v>150</v>
      </c>
      <c r="F340" s="29">
        <v>150</v>
      </c>
      <c r="G340" s="29" t="s">
        <v>292</v>
      </c>
      <c r="H340" s="29">
        <v>1</v>
      </c>
      <c r="J340" s="29">
        <v>1.5896249999999998</v>
      </c>
      <c r="K340" s="29">
        <v>1.5896249999999998</v>
      </c>
      <c r="L340" s="29" t="s">
        <v>293</v>
      </c>
      <c r="M340" s="29">
        <v>1</v>
      </c>
      <c r="O340" s="29">
        <v>1</v>
      </c>
      <c r="P340" s="29">
        <v>1.5896249999999998</v>
      </c>
      <c r="Q340" s="29" t="s">
        <v>294</v>
      </c>
    </row>
    <row r="341" spans="1:17" x14ac:dyDescent="0.3">
      <c r="B341" s="29">
        <v>4</v>
      </c>
      <c r="C341" s="29" t="s">
        <v>389</v>
      </c>
      <c r="D341" s="30">
        <v>9</v>
      </c>
      <c r="E341" s="29">
        <v>290</v>
      </c>
      <c r="F341" s="29">
        <v>290</v>
      </c>
      <c r="G341" s="29" t="s">
        <v>292</v>
      </c>
      <c r="H341" s="29">
        <v>1</v>
      </c>
      <c r="J341" s="29">
        <v>5.9416649999999995</v>
      </c>
      <c r="K341" s="29">
        <v>5.9416649999999995</v>
      </c>
      <c r="L341" s="29" t="s">
        <v>293</v>
      </c>
      <c r="M341" s="29">
        <v>1</v>
      </c>
      <c r="O341" s="29">
        <v>1</v>
      </c>
      <c r="P341" s="29">
        <v>5.9416649999999995</v>
      </c>
      <c r="Q341" s="29" t="s">
        <v>294</v>
      </c>
    </row>
    <row r="342" spans="1:17" x14ac:dyDescent="0.3">
      <c r="B342" s="29">
        <v>5</v>
      </c>
      <c r="C342" s="29" t="s">
        <v>390</v>
      </c>
      <c r="D342" s="30" t="s">
        <v>295</v>
      </c>
      <c r="G342" s="29" t="s">
        <v>382</v>
      </c>
      <c r="H342" s="29">
        <v>4</v>
      </c>
      <c r="J342" s="29">
        <v>1</v>
      </c>
      <c r="K342" s="29">
        <v>4</v>
      </c>
      <c r="L342" s="29" t="s">
        <v>391</v>
      </c>
      <c r="M342" s="29">
        <v>1</v>
      </c>
      <c r="O342" s="29">
        <v>4</v>
      </c>
      <c r="P342" s="29">
        <v>4</v>
      </c>
      <c r="Q342" s="29" t="s">
        <v>392</v>
      </c>
    </row>
    <row r="343" spans="1:17" x14ac:dyDescent="0.3">
      <c r="B343" s="29">
        <v>6</v>
      </c>
      <c r="C343" s="29" t="s">
        <v>1034</v>
      </c>
      <c r="D343" s="29" t="s">
        <v>1035</v>
      </c>
      <c r="G343" s="29" t="s">
        <v>1036</v>
      </c>
      <c r="H343" s="29">
        <v>1</v>
      </c>
      <c r="J343" s="29">
        <v>20</v>
      </c>
      <c r="K343" s="29">
        <v>20</v>
      </c>
      <c r="L343" s="29" t="s">
        <v>391</v>
      </c>
      <c r="M343" s="29">
        <v>1</v>
      </c>
      <c r="O343" s="29">
        <v>1</v>
      </c>
      <c r="P343" s="29">
        <v>20</v>
      </c>
      <c r="Q343" s="29" t="s">
        <v>392</v>
      </c>
    </row>
    <row r="344" spans="1:17" x14ac:dyDescent="0.3">
      <c r="A344" s="29" t="s">
        <v>443</v>
      </c>
      <c r="B344" s="29">
        <v>1</v>
      </c>
      <c r="C344" s="29" t="s">
        <v>380</v>
      </c>
      <c r="D344" s="30" t="s">
        <v>1023</v>
      </c>
      <c r="E344" s="29">
        <v>193</v>
      </c>
      <c r="G344" s="29" t="s">
        <v>382</v>
      </c>
      <c r="H344" s="29">
        <v>1</v>
      </c>
      <c r="I344" s="29">
        <v>5.44</v>
      </c>
      <c r="J344" s="29">
        <v>1.0499200000000002</v>
      </c>
      <c r="K344" s="29">
        <v>1.0499200000000002</v>
      </c>
      <c r="L344" s="29" t="s">
        <v>383</v>
      </c>
      <c r="M344" s="29">
        <v>1</v>
      </c>
      <c r="N344" s="29">
        <v>0.193</v>
      </c>
      <c r="P344" s="29">
        <v>1.0499200000000002</v>
      </c>
      <c r="Q344" s="29" t="s">
        <v>384</v>
      </c>
    </row>
    <row r="345" spans="1:17" x14ac:dyDescent="0.3">
      <c r="B345" s="29">
        <v>2</v>
      </c>
      <c r="C345" s="29" t="s">
        <v>380</v>
      </c>
      <c r="D345" s="30" t="s">
        <v>1023</v>
      </c>
      <c r="E345" s="29">
        <v>1400</v>
      </c>
      <c r="G345" s="29" t="s">
        <v>385</v>
      </c>
      <c r="H345" s="29">
        <v>1</v>
      </c>
      <c r="I345" s="29">
        <v>5.44</v>
      </c>
      <c r="J345" s="29">
        <v>7.6159999999999997</v>
      </c>
      <c r="K345" s="29">
        <v>7.6159999999999997</v>
      </c>
      <c r="L345" s="29" t="s">
        <v>383</v>
      </c>
      <c r="M345" s="29">
        <v>1</v>
      </c>
      <c r="N345" s="29">
        <v>1.4</v>
      </c>
      <c r="P345" s="29">
        <v>7.6159999999999997</v>
      </c>
      <c r="Q345" s="29" t="s">
        <v>384</v>
      </c>
    </row>
    <row r="346" spans="1:17" x14ac:dyDescent="0.3">
      <c r="B346" s="29">
        <v>3</v>
      </c>
      <c r="C346" s="29" t="s">
        <v>386</v>
      </c>
      <c r="D346" s="29">
        <v>9</v>
      </c>
      <c r="E346" s="29">
        <v>150</v>
      </c>
      <c r="F346" s="29">
        <v>150</v>
      </c>
      <c r="G346" s="29" t="s">
        <v>292</v>
      </c>
      <c r="H346" s="29">
        <v>1</v>
      </c>
      <c r="J346" s="29">
        <v>1.5896249999999998</v>
      </c>
      <c r="K346" s="29">
        <v>1.5896249999999998</v>
      </c>
      <c r="L346" s="29" t="s">
        <v>293</v>
      </c>
      <c r="M346" s="29">
        <v>1</v>
      </c>
      <c r="O346" s="29">
        <v>1</v>
      </c>
      <c r="P346" s="29">
        <v>1.5896249999999998</v>
      </c>
      <c r="Q346" s="29" t="s">
        <v>294</v>
      </c>
    </row>
    <row r="347" spans="1:17" x14ac:dyDescent="0.3">
      <c r="B347" s="29">
        <v>4</v>
      </c>
      <c r="C347" s="29" t="s">
        <v>389</v>
      </c>
      <c r="D347" s="29">
        <v>9</v>
      </c>
      <c r="E347" s="29">
        <v>290</v>
      </c>
      <c r="F347" s="29">
        <v>290</v>
      </c>
      <c r="G347" s="29" t="s">
        <v>292</v>
      </c>
      <c r="H347" s="29">
        <v>1</v>
      </c>
      <c r="J347" s="29">
        <v>5.9416649999999995</v>
      </c>
      <c r="K347" s="29">
        <v>5.9416649999999995</v>
      </c>
      <c r="L347" s="29" t="s">
        <v>293</v>
      </c>
      <c r="M347" s="29">
        <v>1</v>
      </c>
      <c r="O347" s="29">
        <v>1</v>
      </c>
      <c r="P347" s="29">
        <v>5.9416649999999995</v>
      </c>
      <c r="Q347" s="29" t="s">
        <v>294</v>
      </c>
    </row>
    <row r="348" spans="1:17" x14ac:dyDescent="0.3">
      <c r="B348" s="29">
        <v>5</v>
      </c>
      <c r="C348" s="29" t="s">
        <v>390</v>
      </c>
      <c r="D348" s="30" t="s">
        <v>295</v>
      </c>
      <c r="G348" s="29" t="s">
        <v>382</v>
      </c>
      <c r="H348" s="29">
        <v>4</v>
      </c>
      <c r="J348" s="29">
        <v>1</v>
      </c>
      <c r="K348" s="29">
        <v>4</v>
      </c>
      <c r="L348" s="29" t="s">
        <v>391</v>
      </c>
      <c r="M348" s="29">
        <v>1</v>
      </c>
      <c r="O348" s="29">
        <v>4</v>
      </c>
      <c r="P348" s="29">
        <v>4</v>
      </c>
      <c r="Q348" s="29" t="s">
        <v>392</v>
      </c>
    </row>
    <row r="349" spans="1:17" x14ac:dyDescent="0.3">
      <c r="B349" s="29">
        <v>6</v>
      </c>
      <c r="C349" s="29" t="s">
        <v>1034</v>
      </c>
      <c r="D349" s="29" t="s">
        <v>1035</v>
      </c>
      <c r="G349" s="29" t="s">
        <v>1036</v>
      </c>
      <c r="H349" s="29">
        <v>1</v>
      </c>
      <c r="J349" s="29">
        <v>20</v>
      </c>
      <c r="K349" s="29">
        <v>20</v>
      </c>
      <c r="L349" s="29" t="s">
        <v>391</v>
      </c>
      <c r="M349" s="29">
        <v>1</v>
      </c>
      <c r="O349" s="29">
        <v>1</v>
      </c>
      <c r="P349" s="29">
        <v>20</v>
      </c>
      <c r="Q349" s="29" t="s">
        <v>392</v>
      </c>
    </row>
    <row r="350" spans="1:17" x14ac:dyDescent="0.3">
      <c r="A350" s="29" t="s">
        <v>444</v>
      </c>
      <c r="B350" s="29">
        <v>1</v>
      </c>
      <c r="C350" s="29" t="s">
        <v>380</v>
      </c>
      <c r="D350" s="30" t="s">
        <v>1023</v>
      </c>
      <c r="E350" s="29">
        <v>206</v>
      </c>
      <c r="G350" s="29" t="s">
        <v>382</v>
      </c>
      <c r="H350" s="29">
        <v>1</v>
      </c>
      <c r="I350" s="29">
        <v>5.44</v>
      </c>
      <c r="J350" s="29">
        <v>1.1206400000000001</v>
      </c>
      <c r="K350" s="29">
        <v>1.1206400000000001</v>
      </c>
      <c r="L350" s="29" t="s">
        <v>383</v>
      </c>
      <c r="M350" s="29">
        <v>1</v>
      </c>
      <c r="N350" s="29">
        <v>0.20599999999999999</v>
      </c>
      <c r="P350" s="29">
        <v>1.1206400000000001</v>
      </c>
      <c r="Q350" s="29" t="s">
        <v>384</v>
      </c>
    </row>
    <row r="351" spans="1:17" x14ac:dyDescent="0.3">
      <c r="B351" s="29">
        <v>2</v>
      </c>
      <c r="C351" s="29" t="s">
        <v>380</v>
      </c>
      <c r="D351" s="30" t="s">
        <v>1023</v>
      </c>
      <c r="E351" s="29">
        <v>200</v>
      </c>
      <c r="G351" s="29" t="s">
        <v>385</v>
      </c>
      <c r="H351" s="29">
        <v>1</v>
      </c>
      <c r="I351" s="29">
        <v>5.44</v>
      </c>
      <c r="J351" s="29">
        <v>1.0880000000000001</v>
      </c>
      <c r="K351" s="29">
        <v>1.0880000000000001</v>
      </c>
      <c r="L351" s="29" t="s">
        <v>383</v>
      </c>
      <c r="M351" s="29">
        <v>1</v>
      </c>
      <c r="N351" s="29">
        <v>0.2</v>
      </c>
      <c r="P351" s="29">
        <v>1.0880000000000001</v>
      </c>
      <c r="Q351" s="29" t="s">
        <v>384</v>
      </c>
    </row>
    <row r="352" spans="1:17" x14ac:dyDescent="0.3">
      <c r="B352" s="29">
        <v>3</v>
      </c>
      <c r="C352" s="29" t="s">
        <v>386</v>
      </c>
      <c r="D352" s="30">
        <v>9</v>
      </c>
      <c r="E352" s="29">
        <v>150</v>
      </c>
      <c r="F352" s="29">
        <v>150</v>
      </c>
      <c r="G352" s="29" t="s">
        <v>292</v>
      </c>
      <c r="H352" s="29">
        <v>1</v>
      </c>
      <c r="J352" s="29">
        <v>1.5896249999999998</v>
      </c>
      <c r="K352" s="29">
        <v>1.5896249999999998</v>
      </c>
      <c r="L352" s="29" t="s">
        <v>293</v>
      </c>
      <c r="M352" s="29">
        <v>1</v>
      </c>
      <c r="O352" s="29">
        <v>1</v>
      </c>
      <c r="P352" s="29">
        <v>1.5896249999999998</v>
      </c>
      <c r="Q352" s="29" t="s">
        <v>294</v>
      </c>
    </row>
    <row r="353" spans="1:17" x14ac:dyDescent="0.3">
      <c r="B353" s="29">
        <v>4</v>
      </c>
      <c r="C353" s="29" t="s">
        <v>1034</v>
      </c>
      <c r="D353" s="29" t="s">
        <v>1035</v>
      </c>
      <c r="G353" s="29" t="s">
        <v>1036</v>
      </c>
      <c r="H353" s="29">
        <v>1</v>
      </c>
      <c r="J353" s="29">
        <v>20</v>
      </c>
      <c r="K353" s="29">
        <v>20</v>
      </c>
      <c r="L353" s="29" t="s">
        <v>391</v>
      </c>
      <c r="M353" s="29">
        <v>1</v>
      </c>
      <c r="O353" s="29">
        <v>1</v>
      </c>
      <c r="P353" s="29">
        <v>20</v>
      </c>
      <c r="Q353" s="29" t="s">
        <v>392</v>
      </c>
    </row>
    <row r="354" spans="1:17" x14ac:dyDescent="0.3">
      <c r="A354" s="29" t="s">
        <v>445</v>
      </c>
      <c r="B354" s="29">
        <v>1</v>
      </c>
      <c r="C354" s="29" t="s">
        <v>380</v>
      </c>
      <c r="D354" s="30" t="s">
        <v>1023</v>
      </c>
      <c r="E354" s="29">
        <v>206</v>
      </c>
      <c r="G354" s="29" t="s">
        <v>382</v>
      </c>
      <c r="H354" s="29">
        <v>1</v>
      </c>
      <c r="I354" s="29">
        <v>5.44</v>
      </c>
      <c r="J354" s="29">
        <v>1.1206400000000001</v>
      </c>
      <c r="K354" s="29">
        <v>1.1206400000000001</v>
      </c>
      <c r="L354" s="29" t="s">
        <v>383</v>
      </c>
      <c r="M354" s="29">
        <v>1</v>
      </c>
      <c r="N354" s="29">
        <v>0.20599999999999999</v>
      </c>
      <c r="P354" s="29">
        <v>1.1206400000000001</v>
      </c>
      <c r="Q354" s="29" t="s">
        <v>384</v>
      </c>
    </row>
    <row r="355" spans="1:17" x14ac:dyDescent="0.3">
      <c r="B355" s="29">
        <v>2</v>
      </c>
      <c r="C355" s="29" t="s">
        <v>380</v>
      </c>
      <c r="D355" s="30" t="s">
        <v>1023</v>
      </c>
      <c r="E355" s="29">
        <v>600</v>
      </c>
      <c r="G355" s="29" t="s">
        <v>385</v>
      </c>
      <c r="H355" s="29">
        <v>1</v>
      </c>
      <c r="I355" s="29">
        <v>5.44</v>
      </c>
      <c r="J355" s="29">
        <v>3.2640000000000002</v>
      </c>
      <c r="K355" s="29">
        <v>3.2640000000000002</v>
      </c>
      <c r="L355" s="29" t="s">
        <v>383</v>
      </c>
      <c r="M355" s="29">
        <v>1</v>
      </c>
      <c r="N355" s="29">
        <v>0.6</v>
      </c>
      <c r="P355" s="29">
        <v>3.2640000000000002</v>
      </c>
      <c r="Q355" s="29" t="s">
        <v>384</v>
      </c>
    </row>
    <row r="356" spans="1:17" x14ac:dyDescent="0.3">
      <c r="B356" s="29">
        <v>3</v>
      </c>
      <c r="C356" s="29" t="s">
        <v>386</v>
      </c>
      <c r="D356" s="29">
        <v>9</v>
      </c>
      <c r="E356" s="29">
        <v>150</v>
      </c>
      <c r="F356" s="29">
        <v>150</v>
      </c>
      <c r="G356" s="29" t="s">
        <v>292</v>
      </c>
      <c r="H356" s="29">
        <v>1</v>
      </c>
      <c r="J356" s="29">
        <v>1.5896249999999998</v>
      </c>
      <c r="K356" s="29">
        <v>1.5896249999999998</v>
      </c>
      <c r="L356" s="29" t="s">
        <v>293</v>
      </c>
      <c r="M356" s="29">
        <v>1</v>
      </c>
      <c r="O356" s="29">
        <v>1</v>
      </c>
      <c r="P356" s="29">
        <v>1.5896249999999998</v>
      </c>
      <c r="Q356" s="29" t="s">
        <v>294</v>
      </c>
    </row>
    <row r="357" spans="1:17" x14ac:dyDescent="0.3">
      <c r="B357" s="29">
        <v>4</v>
      </c>
      <c r="C357" s="29" t="s">
        <v>389</v>
      </c>
      <c r="D357" s="30">
        <v>9</v>
      </c>
      <c r="E357" s="29">
        <v>290</v>
      </c>
      <c r="F357" s="29">
        <v>290</v>
      </c>
      <c r="G357" s="29" t="s">
        <v>292</v>
      </c>
      <c r="H357" s="29">
        <v>1</v>
      </c>
      <c r="J357" s="29">
        <v>5.9416649999999995</v>
      </c>
      <c r="K357" s="29">
        <v>5.9416649999999995</v>
      </c>
      <c r="L357" s="29" t="s">
        <v>293</v>
      </c>
      <c r="M357" s="29">
        <v>1</v>
      </c>
      <c r="O357" s="29">
        <v>1</v>
      </c>
      <c r="P357" s="29">
        <v>5.9416649999999995</v>
      </c>
      <c r="Q357" s="29" t="s">
        <v>294</v>
      </c>
    </row>
    <row r="358" spans="1:17" x14ac:dyDescent="0.3">
      <c r="B358" s="29">
        <v>5</v>
      </c>
      <c r="C358" s="29" t="s">
        <v>390</v>
      </c>
      <c r="D358" s="30" t="s">
        <v>295</v>
      </c>
      <c r="G358" s="29" t="s">
        <v>382</v>
      </c>
      <c r="H358" s="29">
        <v>4</v>
      </c>
      <c r="J358" s="29">
        <v>1</v>
      </c>
      <c r="K358" s="29">
        <v>4</v>
      </c>
      <c r="L358" s="29" t="s">
        <v>391</v>
      </c>
      <c r="M358" s="29">
        <v>1</v>
      </c>
      <c r="O358" s="29">
        <v>4</v>
      </c>
      <c r="P358" s="29">
        <v>4</v>
      </c>
      <c r="Q358" s="29" t="s">
        <v>392</v>
      </c>
    </row>
    <row r="359" spans="1:17" x14ac:dyDescent="0.3">
      <c r="B359" s="29">
        <v>6</v>
      </c>
      <c r="C359" s="29" t="s">
        <v>1034</v>
      </c>
      <c r="D359" s="30" t="s">
        <v>1035</v>
      </c>
      <c r="G359" s="29" t="s">
        <v>1036</v>
      </c>
      <c r="H359" s="29">
        <v>1</v>
      </c>
      <c r="J359" s="29">
        <v>20</v>
      </c>
      <c r="K359" s="29">
        <v>20</v>
      </c>
      <c r="L359" s="29" t="s">
        <v>391</v>
      </c>
      <c r="M359" s="29">
        <v>1</v>
      </c>
      <c r="O359" s="29">
        <v>1</v>
      </c>
      <c r="P359" s="29">
        <v>20</v>
      </c>
      <c r="Q359" s="29" t="s">
        <v>392</v>
      </c>
    </row>
    <row r="360" spans="1:17" x14ac:dyDescent="0.3">
      <c r="A360" s="29" t="s">
        <v>446</v>
      </c>
      <c r="B360" s="29">
        <v>1</v>
      </c>
      <c r="C360" s="29" t="s">
        <v>380</v>
      </c>
      <c r="D360" s="30" t="s">
        <v>1023</v>
      </c>
      <c r="E360" s="29">
        <v>206</v>
      </c>
      <c r="G360" s="29" t="s">
        <v>382</v>
      </c>
      <c r="H360" s="29">
        <v>1</v>
      </c>
      <c r="I360" s="29">
        <v>5.44</v>
      </c>
      <c r="J360" s="29">
        <v>1.1206400000000001</v>
      </c>
      <c r="K360" s="29">
        <v>1.1206400000000001</v>
      </c>
      <c r="L360" s="29" t="s">
        <v>383</v>
      </c>
      <c r="M360" s="29">
        <v>1</v>
      </c>
      <c r="N360" s="29">
        <v>0.20599999999999999</v>
      </c>
      <c r="P360" s="29">
        <v>1.1206400000000001</v>
      </c>
      <c r="Q360" s="29" t="s">
        <v>384</v>
      </c>
    </row>
    <row r="361" spans="1:17" x14ac:dyDescent="0.3">
      <c r="B361" s="29">
        <v>2</v>
      </c>
      <c r="C361" s="29" t="s">
        <v>380</v>
      </c>
      <c r="D361" s="30" t="s">
        <v>1023</v>
      </c>
      <c r="E361" s="29">
        <v>700</v>
      </c>
      <c r="G361" s="29" t="s">
        <v>385</v>
      </c>
      <c r="H361" s="29">
        <v>1</v>
      </c>
      <c r="I361" s="29">
        <v>5.44</v>
      </c>
      <c r="J361" s="29">
        <v>3.8079999999999998</v>
      </c>
      <c r="K361" s="29">
        <v>3.8079999999999998</v>
      </c>
      <c r="L361" s="29" t="s">
        <v>383</v>
      </c>
      <c r="M361" s="29">
        <v>1</v>
      </c>
      <c r="N361" s="29">
        <v>0.7</v>
      </c>
      <c r="P361" s="29">
        <v>3.8079999999999998</v>
      </c>
      <c r="Q361" s="29" t="s">
        <v>384</v>
      </c>
    </row>
    <row r="362" spans="1:17" x14ac:dyDescent="0.3">
      <c r="B362" s="29">
        <v>3</v>
      </c>
      <c r="C362" s="29" t="s">
        <v>386</v>
      </c>
      <c r="D362" s="29">
        <v>9</v>
      </c>
      <c r="E362" s="29">
        <v>150</v>
      </c>
      <c r="F362" s="29">
        <v>150</v>
      </c>
      <c r="G362" s="29" t="s">
        <v>292</v>
      </c>
      <c r="H362" s="29">
        <v>1</v>
      </c>
      <c r="J362" s="29">
        <v>1.5896249999999998</v>
      </c>
      <c r="K362" s="29">
        <v>1.5896249999999998</v>
      </c>
      <c r="L362" s="29" t="s">
        <v>293</v>
      </c>
      <c r="M362" s="29">
        <v>1</v>
      </c>
      <c r="O362" s="29">
        <v>1</v>
      </c>
      <c r="P362" s="29">
        <v>1.5896249999999998</v>
      </c>
      <c r="Q362" s="29" t="s">
        <v>294</v>
      </c>
    </row>
    <row r="363" spans="1:17" x14ac:dyDescent="0.3">
      <c r="B363" s="29">
        <v>4</v>
      </c>
      <c r="C363" s="29" t="s">
        <v>389</v>
      </c>
      <c r="D363" s="29">
        <v>9</v>
      </c>
      <c r="E363" s="29">
        <v>290</v>
      </c>
      <c r="F363" s="29">
        <v>290</v>
      </c>
      <c r="G363" s="29" t="s">
        <v>292</v>
      </c>
      <c r="H363" s="29">
        <v>1</v>
      </c>
      <c r="J363" s="29">
        <v>5.9416649999999995</v>
      </c>
      <c r="K363" s="29">
        <v>5.9416649999999995</v>
      </c>
      <c r="L363" s="29" t="s">
        <v>293</v>
      </c>
      <c r="M363" s="29">
        <v>1</v>
      </c>
      <c r="O363" s="29">
        <v>1</v>
      </c>
      <c r="P363" s="29">
        <v>5.9416649999999995</v>
      </c>
      <c r="Q363" s="29" t="s">
        <v>294</v>
      </c>
    </row>
    <row r="364" spans="1:17" x14ac:dyDescent="0.3">
      <c r="B364" s="29">
        <v>5</v>
      </c>
      <c r="C364" s="29" t="s">
        <v>390</v>
      </c>
      <c r="D364" s="30" t="s">
        <v>295</v>
      </c>
      <c r="G364" s="29" t="s">
        <v>382</v>
      </c>
      <c r="H364" s="29">
        <v>4</v>
      </c>
      <c r="J364" s="29">
        <v>1</v>
      </c>
      <c r="K364" s="29">
        <v>4</v>
      </c>
      <c r="L364" s="29" t="s">
        <v>391</v>
      </c>
      <c r="M364" s="29">
        <v>1</v>
      </c>
      <c r="O364" s="29">
        <v>4</v>
      </c>
      <c r="P364" s="29">
        <v>4</v>
      </c>
      <c r="Q364" s="29" t="s">
        <v>392</v>
      </c>
    </row>
    <row r="365" spans="1:17" x14ac:dyDescent="0.3">
      <c r="B365" s="29">
        <v>6</v>
      </c>
      <c r="C365" s="29" t="s">
        <v>1034</v>
      </c>
      <c r="D365" s="30" t="s">
        <v>1035</v>
      </c>
      <c r="G365" s="29" t="s">
        <v>1036</v>
      </c>
      <c r="H365" s="29">
        <v>1</v>
      </c>
      <c r="J365" s="29">
        <v>20</v>
      </c>
      <c r="K365" s="29">
        <v>20</v>
      </c>
      <c r="L365" s="29" t="s">
        <v>391</v>
      </c>
      <c r="M365" s="29">
        <v>1</v>
      </c>
      <c r="O365" s="29">
        <v>1</v>
      </c>
      <c r="P365" s="29">
        <v>20</v>
      </c>
      <c r="Q365" s="29" t="s">
        <v>392</v>
      </c>
    </row>
    <row r="366" spans="1:17" x14ac:dyDescent="0.3">
      <c r="A366" s="29" t="s">
        <v>447</v>
      </c>
      <c r="B366" s="29" t="s">
        <v>395</v>
      </c>
      <c r="D366" s="30"/>
    </row>
    <row r="367" spans="1:17" x14ac:dyDescent="0.3">
      <c r="A367" s="29" t="s">
        <v>448</v>
      </c>
      <c r="B367" s="29" t="s">
        <v>395</v>
      </c>
      <c r="D367" s="30"/>
    </row>
    <row r="368" spans="1:17" x14ac:dyDescent="0.3">
      <c r="A368" s="29" t="s">
        <v>449</v>
      </c>
      <c r="B368" s="29" t="s">
        <v>395</v>
      </c>
      <c r="D368" s="30"/>
    </row>
    <row r="369" spans="1:17" x14ac:dyDescent="0.3">
      <c r="A369" s="29" t="s">
        <v>450</v>
      </c>
      <c r="B369" s="29" t="s">
        <v>395</v>
      </c>
    </row>
    <row r="370" spans="1:17" x14ac:dyDescent="0.3">
      <c r="A370" s="29" t="s">
        <v>451</v>
      </c>
      <c r="B370" s="29" t="s">
        <v>395</v>
      </c>
    </row>
    <row r="371" spans="1:17" x14ac:dyDescent="0.3">
      <c r="A371" s="29" t="s">
        <v>451</v>
      </c>
      <c r="B371" s="29" t="s">
        <v>395</v>
      </c>
      <c r="D371" s="30"/>
    </row>
    <row r="372" spans="1:17" x14ac:dyDescent="0.3">
      <c r="A372" s="29" t="s">
        <v>451</v>
      </c>
      <c r="B372" s="29" t="s">
        <v>395</v>
      </c>
      <c r="D372" s="30"/>
    </row>
    <row r="373" spans="1:17" x14ac:dyDescent="0.3">
      <c r="A373" s="29" t="s">
        <v>452</v>
      </c>
      <c r="B373" s="29" t="s">
        <v>395</v>
      </c>
      <c r="D373" s="30"/>
    </row>
    <row r="374" spans="1:17" x14ac:dyDescent="0.3">
      <c r="A374" s="29" t="s">
        <v>453</v>
      </c>
      <c r="B374" s="29" t="s">
        <v>395</v>
      </c>
      <c r="D374" s="30"/>
    </row>
    <row r="375" spans="1:17" x14ac:dyDescent="0.3">
      <c r="A375" s="29" t="s">
        <v>454</v>
      </c>
      <c r="B375" s="29" t="s">
        <v>395</v>
      </c>
      <c r="D375" s="30"/>
    </row>
    <row r="376" spans="1:17" x14ac:dyDescent="0.3">
      <c r="A376" s="29" t="s">
        <v>455</v>
      </c>
      <c r="B376" s="29" t="s">
        <v>395</v>
      </c>
    </row>
    <row r="377" spans="1:17" x14ac:dyDescent="0.3">
      <c r="A377" s="29" t="s">
        <v>456</v>
      </c>
      <c r="B377" s="29">
        <v>1</v>
      </c>
      <c r="C377" s="29" t="s">
        <v>380</v>
      </c>
      <c r="D377" s="30" t="s">
        <v>381</v>
      </c>
      <c r="E377" s="29">
        <v>181</v>
      </c>
      <c r="G377" s="29" t="s">
        <v>382</v>
      </c>
      <c r="H377" s="29">
        <v>1</v>
      </c>
      <c r="I377" s="29">
        <v>5.41</v>
      </c>
      <c r="J377" s="29">
        <v>0.97921000000000002</v>
      </c>
      <c r="K377" s="29">
        <v>0.97921000000000002</v>
      </c>
      <c r="L377" s="29" t="s">
        <v>383</v>
      </c>
      <c r="M377" s="29">
        <v>1</v>
      </c>
      <c r="N377" s="29">
        <v>0.18099999999999999</v>
      </c>
      <c r="P377" s="29">
        <v>0.97921000000000002</v>
      </c>
      <c r="Q377" s="29" t="s">
        <v>384</v>
      </c>
    </row>
    <row r="378" spans="1:17" x14ac:dyDescent="0.3">
      <c r="B378" s="29">
        <v>2</v>
      </c>
      <c r="C378" s="29" t="s">
        <v>380</v>
      </c>
      <c r="D378" s="30" t="s">
        <v>1033</v>
      </c>
      <c r="E378" s="29">
        <v>-384</v>
      </c>
      <c r="G378" s="29" t="s">
        <v>385</v>
      </c>
      <c r="H378" s="29">
        <v>1</v>
      </c>
      <c r="I378" s="29">
        <v>7.48</v>
      </c>
      <c r="J378" s="29">
        <v>-2.8723200000000002</v>
      </c>
      <c r="K378" s="29">
        <v>-2.8723200000000002</v>
      </c>
      <c r="L378" s="29" t="s">
        <v>383</v>
      </c>
      <c r="M378" s="29">
        <v>1</v>
      </c>
      <c r="N378" s="29">
        <v>-0.38400000000000001</v>
      </c>
      <c r="P378" s="29">
        <v>-2.8723200000000002</v>
      </c>
      <c r="Q378" s="29" t="s">
        <v>384</v>
      </c>
    </row>
    <row r="379" spans="1:17" x14ac:dyDescent="0.3">
      <c r="B379" s="29">
        <v>3</v>
      </c>
      <c r="C379" s="29" t="s">
        <v>1026</v>
      </c>
      <c r="D379" s="30">
        <v>9</v>
      </c>
      <c r="E379" s="29">
        <v>180</v>
      </c>
      <c r="F379" s="29">
        <v>180</v>
      </c>
      <c r="G379" s="29" t="s">
        <v>292</v>
      </c>
      <c r="H379" s="29">
        <v>1</v>
      </c>
      <c r="J379" s="29">
        <v>2.2890600000000001</v>
      </c>
      <c r="K379" s="29">
        <v>2.2890600000000001</v>
      </c>
      <c r="L379" s="29" t="s">
        <v>293</v>
      </c>
      <c r="M379" s="29">
        <v>1</v>
      </c>
      <c r="O379" s="29">
        <v>1</v>
      </c>
      <c r="P379" s="29">
        <v>2.2890600000000001</v>
      </c>
      <c r="Q379" s="29" t="s">
        <v>294</v>
      </c>
    </row>
    <row r="380" spans="1:17" x14ac:dyDescent="0.3">
      <c r="B380" s="29">
        <v>4</v>
      </c>
      <c r="C380" s="29" t="s">
        <v>390</v>
      </c>
      <c r="D380" s="30" t="s">
        <v>295</v>
      </c>
      <c r="G380" s="29" t="s">
        <v>382</v>
      </c>
      <c r="H380" s="29">
        <v>4</v>
      </c>
      <c r="J380" s="29">
        <v>1</v>
      </c>
      <c r="K380" s="29">
        <v>4</v>
      </c>
      <c r="L380" s="29" t="s">
        <v>391</v>
      </c>
      <c r="M380" s="29">
        <v>1</v>
      </c>
      <c r="O380" s="29">
        <v>4</v>
      </c>
      <c r="P380" s="29">
        <v>4</v>
      </c>
      <c r="Q380" s="29" t="s">
        <v>392</v>
      </c>
    </row>
    <row r="381" spans="1:17" x14ac:dyDescent="0.3">
      <c r="B381" s="29">
        <v>5</v>
      </c>
      <c r="C381" s="29" t="s">
        <v>1034</v>
      </c>
      <c r="D381" s="30" t="s">
        <v>1057</v>
      </c>
      <c r="G381" s="29" t="s">
        <v>1036</v>
      </c>
      <c r="H381" s="29">
        <v>1</v>
      </c>
      <c r="J381" s="29">
        <v>20</v>
      </c>
      <c r="K381" s="29">
        <v>20</v>
      </c>
      <c r="L381" s="29" t="s">
        <v>391</v>
      </c>
      <c r="M381" s="29">
        <v>1</v>
      </c>
      <c r="O381" s="29">
        <v>1</v>
      </c>
      <c r="P381" s="29">
        <v>20</v>
      </c>
      <c r="Q381" s="29" t="s">
        <v>392</v>
      </c>
    </row>
    <row r="382" spans="1:17" x14ac:dyDescent="0.3">
      <c r="B382" s="29">
        <v>6</v>
      </c>
      <c r="C382" s="29" t="s">
        <v>1058</v>
      </c>
      <c r="D382" s="30" t="s">
        <v>1059</v>
      </c>
      <c r="G382" s="29" t="s">
        <v>1036</v>
      </c>
      <c r="H382" s="29">
        <v>2</v>
      </c>
      <c r="J382" s="29">
        <v>1</v>
      </c>
      <c r="K382" s="29">
        <v>2</v>
      </c>
      <c r="L382" s="29" t="s">
        <v>391</v>
      </c>
      <c r="M382" s="29">
        <v>1</v>
      </c>
      <c r="O382" s="29">
        <v>2</v>
      </c>
      <c r="P382" s="29">
        <v>2</v>
      </c>
      <c r="Q382" s="29" t="s">
        <v>384</v>
      </c>
    </row>
    <row r="383" spans="1:17" x14ac:dyDescent="0.3">
      <c r="B383" s="29">
        <v>7</v>
      </c>
      <c r="C383" s="29" t="s">
        <v>1060</v>
      </c>
      <c r="D383" s="29" t="s">
        <v>1061</v>
      </c>
      <c r="G383" s="29" t="s">
        <v>1062</v>
      </c>
      <c r="H383" s="29">
        <v>2</v>
      </c>
      <c r="J383" s="29">
        <v>1</v>
      </c>
      <c r="K383" s="29">
        <v>2</v>
      </c>
      <c r="L383" s="29" t="s">
        <v>391</v>
      </c>
      <c r="M383" s="29">
        <v>1</v>
      </c>
      <c r="O383" s="29">
        <v>2</v>
      </c>
      <c r="P383" s="29">
        <v>2</v>
      </c>
      <c r="Q383" s="29" t="s">
        <v>384</v>
      </c>
    </row>
    <row r="384" spans="1:17" x14ac:dyDescent="0.3">
      <c r="A384" s="29" t="s">
        <v>457</v>
      </c>
      <c r="B384" s="29">
        <v>1</v>
      </c>
      <c r="C384" s="29" t="s">
        <v>380</v>
      </c>
      <c r="D384" s="30" t="s">
        <v>381</v>
      </c>
      <c r="E384" s="29">
        <v>181</v>
      </c>
      <c r="G384" s="29" t="s">
        <v>382</v>
      </c>
      <c r="H384" s="29">
        <v>1</v>
      </c>
      <c r="I384" s="29">
        <v>5.41</v>
      </c>
      <c r="J384" s="29">
        <v>0.97921000000000002</v>
      </c>
      <c r="K384" s="29">
        <v>0.97921000000000002</v>
      </c>
      <c r="L384" s="29" t="s">
        <v>383</v>
      </c>
      <c r="M384" s="29">
        <v>1</v>
      </c>
      <c r="N384" s="29">
        <v>0.18099999999999999</v>
      </c>
      <c r="P384" s="29">
        <v>0.97921000000000002</v>
      </c>
      <c r="Q384" s="29" t="s">
        <v>384</v>
      </c>
    </row>
    <row r="385" spans="1:17" x14ac:dyDescent="0.3">
      <c r="B385" s="29">
        <v>2</v>
      </c>
      <c r="C385" s="29" t="s">
        <v>380</v>
      </c>
      <c r="D385" s="30" t="s">
        <v>1033</v>
      </c>
      <c r="E385" s="29">
        <v>-378</v>
      </c>
      <c r="G385" s="29" t="s">
        <v>385</v>
      </c>
      <c r="H385" s="29">
        <v>1</v>
      </c>
      <c r="I385" s="29">
        <v>7.48</v>
      </c>
      <c r="J385" s="29">
        <v>-2.8274400000000002</v>
      </c>
      <c r="K385" s="29">
        <v>-2.8274400000000002</v>
      </c>
      <c r="L385" s="29" t="s">
        <v>383</v>
      </c>
      <c r="M385" s="29">
        <v>1</v>
      </c>
      <c r="N385" s="29">
        <v>-0.378</v>
      </c>
      <c r="P385" s="29">
        <v>-2.8274400000000002</v>
      </c>
      <c r="Q385" s="29" t="s">
        <v>384</v>
      </c>
    </row>
    <row r="386" spans="1:17" x14ac:dyDescent="0.3">
      <c r="B386" s="29">
        <v>3</v>
      </c>
      <c r="C386" s="29" t="s">
        <v>1026</v>
      </c>
      <c r="D386" s="30">
        <v>9</v>
      </c>
      <c r="E386" s="29">
        <v>180</v>
      </c>
      <c r="F386" s="29">
        <v>180</v>
      </c>
      <c r="G386" s="29" t="s">
        <v>292</v>
      </c>
      <c r="H386" s="29">
        <v>1</v>
      </c>
      <c r="J386" s="29">
        <v>2.2890600000000001</v>
      </c>
      <c r="K386" s="29">
        <v>2.2890600000000001</v>
      </c>
      <c r="L386" s="29" t="s">
        <v>293</v>
      </c>
      <c r="M386" s="29">
        <v>1</v>
      </c>
      <c r="O386" s="29">
        <v>1</v>
      </c>
      <c r="P386" s="29">
        <v>2.2890600000000001</v>
      </c>
      <c r="Q386" s="29" t="s">
        <v>294</v>
      </c>
    </row>
    <row r="387" spans="1:17" x14ac:dyDescent="0.3">
      <c r="B387" s="29">
        <v>4</v>
      </c>
      <c r="C387" s="29" t="s">
        <v>390</v>
      </c>
      <c r="D387" s="30" t="s">
        <v>295</v>
      </c>
      <c r="G387" s="29" t="s">
        <v>382</v>
      </c>
      <c r="H387" s="29">
        <v>4</v>
      </c>
      <c r="J387" s="29">
        <v>1</v>
      </c>
      <c r="K387" s="29">
        <v>4</v>
      </c>
      <c r="L387" s="29" t="s">
        <v>391</v>
      </c>
      <c r="M387" s="29">
        <v>1</v>
      </c>
      <c r="O387" s="29">
        <v>4</v>
      </c>
      <c r="P387" s="29">
        <v>4</v>
      </c>
      <c r="Q387" s="29" t="s">
        <v>392</v>
      </c>
    </row>
    <row r="388" spans="1:17" x14ac:dyDescent="0.3">
      <c r="B388" s="29">
        <v>5</v>
      </c>
      <c r="C388" s="29" t="s">
        <v>1034</v>
      </c>
      <c r="D388" s="30" t="s">
        <v>1057</v>
      </c>
      <c r="G388" s="29" t="s">
        <v>1036</v>
      </c>
      <c r="H388" s="29">
        <v>1</v>
      </c>
      <c r="J388" s="29">
        <v>20</v>
      </c>
      <c r="K388" s="29">
        <v>20</v>
      </c>
      <c r="L388" s="29" t="s">
        <v>391</v>
      </c>
      <c r="M388" s="29">
        <v>1</v>
      </c>
      <c r="O388" s="29">
        <v>1</v>
      </c>
      <c r="P388" s="29">
        <v>20</v>
      </c>
      <c r="Q388" s="29" t="s">
        <v>392</v>
      </c>
    </row>
    <row r="389" spans="1:17" x14ac:dyDescent="0.3">
      <c r="B389" s="29">
        <v>6</v>
      </c>
      <c r="C389" s="29" t="s">
        <v>1058</v>
      </c>
      <c r="D389" s="30" t="s">
        <v>1059</v>
      </c>
      <c r="G389" s="29" t="s">
        <v>1036</v>
      </c>
      <c r="H389" s="29">
        <v>2</v>
      </c>
      <c r="J389" s="29">
        <v>1</v>
      </c>
      <c r="K389" s="29">
        <v>2</v>
      </c>
      <c r="L389" s="29" t="s">
        <v>391</v>
      </c>
      <c r="M389" s="29">
        <v>1</v>
      </c>
      <c r="O389" s="29">
        <v>2</v>
      </c>
      <c r="P389" s="29">
        <v>2</v>
      </c>
      <c r="Q389" s="29" t="s">
        <v>384</v>
      </c>
    </row>
    <row r="390" spans="1:17" x14ac:dyDescent="0.3">
      <c r="B390" s="29">
        <v>7</v>
      </c>
      <c r="C390" s="29" t="s">
        <v>1060</v>
      </c>
      <c r="D390" s="29" t="s">
        <v>1061</v>
      </c>
      <c r="G390" s="29" t="s">
        <v>1062</v>
      </c>
      <c r="H390" s="29">
        <v>2</v>
      </c>
      <c r="J390" s="29">
        <v>1</v>
      </c>
      <c r="K390" s="29">
        <v>2</v>
      </c>
      <c r="L390" s="29" t="s">
        <v>391</v>
      </c>
      <c r="M390" s="29">
        <v>1</v>
      </c>
      <c r="O390" s="29">
        <v>2</v>
      </c>
      <c r="P390" s="29">
        <v>2</v>
      </c>
      <c r="Q390" s="29" t="s">
        <v>384</v>
      </c>
    </row>
    <row r="391" spans="1:17" x14ac:dyDescent="0.3">
      <c r="A391" s="29" t="s">
        <v>458</v>
      </c>
      <c r="B391" s="29">
        <v>1</v>
      </c>
      <c r="C391" s="29" t="s">
        <v>380</v>
      </c>
      <c r="D391" s="30" t="s">
        <v>381</v>
      </c>
      <c r="E391" s="29">
        <v>197</v>
      </c>
      <c r="G391" s="29" t="s">
        <v>382</v>
      </c>
      <c r="H391" s="29">
        <v>1</v>
      </c>
      <c r="I391" s="29">
        <v>5.41</v>
      </c>
      <c r="J391" s="29">
        <v>1.0657700000000001</v>
      </c>
      <c r="K391" s="29">
        <v>1.0657700000000001</v>
      </c>
      <c r="L391" s="29" t="s">
        <v>383</v>
      </c>
      <c r="M391" s="29">
        <v>1</v>
      </c>
      <c r="N391" s="29">
        <v>0.19700000000000001</v>
      </c>
      <c r="P391" s="29">
        <v>1.0657700000000001</v>
      </c>
      <c r="Q391" s="29" t="s">
        <v>384</v>
      </c>
    </row>
    <row r="392" spans="1:17" x14ac:dyDescent="0.3">
      <c r="B392" s="29">
        <v>2</v>
      </c>
      <c r="C392" s="29" t="s">
        <v>380</v>
      </c>
      <c r="D392" s="30" t="s">
        <v>1033</v>
      </c>
      <c r="E392" s="29">
        <v>-381</v>
      </c>
      <c r="G392" s="29" t="s">
        <v>385</v>
      </c>
      <c r="H392" s="29">
        <v>1</v>
      </c>
      <c r="I392" s="29">
        <v>7.48</v>
      </c>
      <c r="J392" s="29">
        <v>-2.8498800000000002</v>
      </c>
      <c r="K392" s="29">
        <v>-2.8498800000000002</v>
      </c>
      <c r="L392" s="29" t="s">
        <v>383</v>
      </c>
      <c r="M392" s="29">
        <v>1</v>
      </c>
      <c r="N392" s="29">
        <v>-0.38100000000000001</v>
      </c>
      <c r="P392" s="29">
        <v>-2.8498800000000002</v>
      </c>
      <c r="Q392" s="29" t="s">
        <v>384</v>
      </c>
    </row>
    <row r="393" spans="1:17" x14ac:dyDescent="0.3">
      <c r="B393" s="29">
        <v>3</v>
      </c>
      <c r="C393" s="29" t="s">
        <v>1026</v>
      </c>
      <c r="D393" s="29">
        <v>9</v>
      </c>
      <c r="E393" s="29">
        <v>180</v>
      </c>
      <c r="F393" s="29">
        <v>180</v>
      </c>
      <c r="G393" s="29" t="s">
        <v>292</v>
      </c>
      <c r="H393" s="29">
        <v>1</v>
      </c>
      <c r="J393" s="29">
        <v>2.2890600000000001</v>
      </c>
      <c r="K393" s="29">
        <v>2.2890600000000001</v>
      </c>
      <c r="L393" s="29" t="s">
        <v>293</v>
      </c>
      <c r="M393" s="29">
        <v>1</v>
      </c>
      <c r="O393" s="29">
        <v>1</v>
      </c>
      <c r="P393" s="29">
        <v>2.2890600000000001</v>
      </c>
      <c r="Q393" s="29" t="s">
        <v>294</v>
      </c>
    </row>
    <row r="394" spans="1:17" x14ac:dyDescent="0.3">
      <c r="B394" s="29">
        <v>4</v>
      </c>
      <c r="C394" s="29" t="s">
        <v>390</v>
      </c>
      <c r="D394" s="30" t="s">
        <v>295</v>
      </c>
      <c r="G394" s="29" t="s">
        <v>382</v>
      </c>
      <c r="H394" s="29">
        <v>4</v>
      </c>
      <c r="J394" s="29">
        <v>1</v>
      </c>
      <c r="K394" s="29">
        <v>4</v>
      </c>
      <c r="L394" s="29" t="s">
        <v>391</v>
      </c>
      <c r="M394" s="29">
        <v>1</v>
      </c>
      <c r="O394" s="29">
        <v>4</v>
      </c>
      <c r="P394" s="29">
        <v>4</v>
      </c>
      <c r="Q394" s="29" t="s">
        <v>392</v>
      </c>
    </row>
    <row r="395" spans="1:17" x14ac:dyDescent="0.3">
      <c r="B395" s="29">
        <v>5</v>
      </c>
      <c r="C395" s="29" t="s">
        <v>1034</v>
      </c>
      <c r="D395" s="30" t="s">
        <v>1057</v>
      </c>
      <c r="G395" s="29" t="s">
        <v>1036</v>
      </c>
      <c r="H395" s="29">
        <v>1</v>
      </c>
      <c r="J395" s="29">
        <v>20</v>
      </c>
      <c r="K395" s="29">
        <v>20</v>
      </c>
      <c r="L395" s="29" t="s">
        <v>391</v>
      </c>
      <c r="M395" s="29">
        <v>1</v>
      </c>
      <c r="O395" s="29">
        <v>1</v>
      </c>
      <c r="P395" s="29">
        <v>20</v>
      </c>
      <c r="Q395" s="29" t="s">
        <v>392</v>
      </c>
    </row>
    <row r="396" spans="1:17" x14ac:dyDescent="0.3">
      <c r="B396" s="29">
        <v>6</v>
      </c>
      <c r="C396" s="29" t="s">
        <v>1058</v>
      </c>
      <c r="D396" s="29" t="s">
        <v>1059</v>
      </c>
      <c r="G396" s="29" t="s">
        <v>1036</v>
      </c>
      <c r="H396" s="29">
        <v>2</v>
      </c>
      <c r="J396" s="29">
        <v>1</v>
      </c>
      <c r="K396" s="29">
        <v>2</v>
      </c>
      <c r="L396" s="29" t="s">
        <v>391</v>
      </c>
      <c r="M396" s="29">
        <v>1</v>
      </c>
      <c r="O396" s="29">
        <v>2</v>
      </c>
      <c r="P396" s="29">
        <v>2</v>
      </c>
      <c r="Q396" s="29" t="s">
        <v>384</v>
      </c>
    </row>
    <row r="397" spans="1:17" x14ac:dyDescent="0.3">
      <c r="B397" s="29">
        <v>7</v>
      </c>
      <c r="C397" s="29" t="s">
        <v>1060</v>
      </c>
      <c r="D397" s="29" t="s">
        <v>1061</v>
      </c>
      <c r="G397" s="29" t="s">
        <v>1062</v>
      </c>
      <c r="H397" s="29">
        <v>2</v>
      </c>
      <c r="J397" s="29">
        <v>1</v>
      </c>
      <c r="K397" s="29">
        <v>2</v>
      </c>
      <c r="L397" s="29" t="s">
        <v>391</v>
      </c>
      <c r="M397" s="29">
        <v>1</v>
      </c>
      <c r="O397" s="29">
        <v>2</v>
      </c>
      <c r="P397" s="29">
        <v>2</v>
      </c>
      <c r="Q397" s="29" t="s">
        <v>384</v>
      </c>
    </row>
    <row r="398" spans="1:17" x14ac:dyDescent="0.3">
      <c r="A398" s="29" t="s">
        <v>459</v>
      </c>
      <c r="B398" s="29">
        <v>1</v>
      </c>
      <c r="C398" s="29" t="s">
        <v>380</v>
      </c>
      <c r="D398" s="29" t="s">
        <v>1037</v>
      </c>
      <c r="E398" s="29">
        <v>1262</v>
      </c>
      <c r="G398" s="29" t="s">
        <v>382</v>
      </c>
      <c r="H398" s="29">
        <v>1</v>
      </c>
      <c r="I398" s="29">
        <v>73.86</v>
      </c>
      <c r="J398" s="29">
        <v>93.211320000000001</v>
      </c>
      <c r="K398" s="29">
        <v>93.211320000000001</v>
      </c>
      <c r="L398" s="29" t="s">
        <v>383</v>
      </c>
      <c r="M398" s="29">
        <v>1</v>
      </c>
      <c r="N398" s="29">
        <v>1.262</v>
      </c>
      <c r="P398" s="29">
        <v>93.211320000000001</v>
      </c>
      <c r="Q398" s="29" t="s">
        <v>384</v>
      </c>
    </row>
    <row r="399" spans="1:17" x14ac:dyDescent="0.3">
      <c r="B399" s="29">
        <v>2</v>
      </c>
      <c r="C399" s="29" t="s">
        <v>1029</v>
      </c>
      <c r="D399" s="29" t="s">
        <v>1038</v>
      </c>
      <c r="E399" s="29">
        <v>600</v>
      </c>
      <c r="G399" s="29" t="s">
        <v>292</v>
      </c>
      <c r="H399" s="29">
        <v>1</v>
      </c>
      <c r="I399" s="29">
        <v>30.3</v>
      </c>
      <c r="J399" s="29">
        <v>18.18</v>
      </c>
      <c r="K399" s="29">
        <v>18.18</v>
      </c>
      <c r="L399" s="29" t="s">
        <v>383</v>
      </c>
      <c r="M399" s="29">
        <v>1</v>
      </c>
      <c r="N399" s="29">
        <v>0.6</v>
      </c>
      <c r="O399" s="29">
        <v>1</v>
      </c>
      <c r="P399" s="29">
        <v>18.18</v>
      </c>
      <c r="Q399" s="29" t="s">
        <v>384</v>
      </c>
    </row>
    <row r="400" spans="1:17" x14ac:dyDescent="0.3">
      <c r="B400" s="29">
        <v>3</v>
      </c>
      <c r="C400" s="29" t="s">
        <v>1039</v>
      </c>
      <c r="D400" s="29">
        <v>19</v>
      </c>
      <c r="E400" s="29">
        <v>240</v>
      </c>
      <c r="F400" s="29">
        <v>190</v>
      </c>
      <c r="G400" s="29" t="s">
        <v>292</v>
      </c>
      <c r="H400" s="29">
        <v>1</v>
      </c>
      <c r="J400" s="29">
        <v>6.80124</v>
      </c>
      <c r="K400" s="29">
        <v>6.80124</v>
      </c>
      <c r="L400" s="29" t="s">
        <v>293</v>
      </c>
      <c r="M400" s="29">
        <v>1</v>
      </c>
      <c r="O400" s="29">
        <v>1</v>
      </c>
      <c r="P400" s="29">
        <v>6.80124</v>
      </c>
      <c r="Q400" s="29" t="s">
        <v>294</v>
      </c>
    </row>
    <row r="401" spans="1:17" x14ac:dyDescent="0.3">
      <c r="B401" s="29">
        <v>4</v>
      </c>
      <c r="C401" s="29" t="s">
        <v>1040</v>
      </c>
      <c r="D401" s="29">
        <v>6</v>
      </c>
      <c r="E401" s="29">
        <v>260</v>
      </c>
      <c r="F401" s="29">
        <v>250</v>
      </c>
      <c r="G401" s="29" t="s">
        <v>292</v>
      </c>
      <c r="H401" s="29">
        <v>1</v>
      </c>
      <c r="J401" s="29">
        <v>3.0614999999999997</v>
      </c>
      <c r="K401" s="29">
        <v>3.0614999999999997</v>
      </c>
      <c r="L401" s="29" t="s">
        <v>293</v>
      </c>
      <c r="M401" s="29">
        <v>1</v>
      </c>
      <c r="O401" s="29">
        <v>1</v>
      </c>
      <c r="P401" s="29">
        <v>3.0614999999999997</v>
      </c>
      <c r="Q401" s="29" t="s">
        <v>294</v>
      </c>
    </row>
    <row r="402" spans="1:17" x14ac:dyDescent="0.3">
      <c r="B402" s="29">
        <v>5</v>
      </c>
      <c r="C402" s="29" t="s">
        <v>1041</v>
      </c>
      <c r="D402" s="29">
        <v>19</v>
      </c>
      <c r="E402" s="29">
        <v>500</v>
      </c>
      <c r="F402" s="29">
        <v>500</v>
      </c>
      <c r="G402" s="29" t="s">
        <v>292</v>
      </c>
      <c r="H402" s="29">
        <v>1</v>
      </c>
      <c r="J402" s="29">
        <v>37.287500000000001</v>
      </c>
      <c r="K402" s="29">
        <v>37.287500000000001</v>
      </c>
      <c r="L402" s="29" t="s">
        <v>293</v>
      </c>
      <c r="M402" s="29">
        <v>1</v>
      </c>
      <c r="O402" s="29">
        <v>1</v>
      </c>
      <c r="P402" s="29">
        <v>37.287500000000001</v>
      </c>
      <c r="Q402" s="29" t="s">
        <v>294</v>
      </c>
    </row>
    <row r="403" spans="1:17" x14ac:dyDescent="0.3">
      <c r="B403" s="29">
        <v>6</v>
      </c>
      <c r="C403" s="29" t="s">
        <v>1042</v>
      </c>
      <c r="D403" s="29">
        <v>19</v>
      </c>
      <c r="E403" s="29">
        <v>345</v>
      </c>
      <c r="F403" s="29">
        <v>345</v>
      </c>
      <c r="G403" s="29" t="s">
        <v>292</v>
      </c>
      <c r="H403" s="29">
        <v>1</v>
      </c>
      <c r="J403" s="29">
        <v>17.752578749999998</v>
      </c>
      <c r="K403" s="29">
        <v>17.752578749999998</v>
      </c>
      <c r="L403" s="29" t="s">
        <v>293</v>
      </c>
      <c r="M403" s="29">
        <v>1</v>
      </c>
      <c r="O403" s="29">
        <v>1</v>
      </c>
      <c r="P403" s="29">
        <v>17.752578749999998</v>
      </c>
      <c r="Q403" s="29" t="s">
        <v>294</v>
      </c>
    </row>
    <row r="404" spans="1:17" x14ac:dyDescent="0.3">
      <c r="A404" s="29" t="s">
        <v>460</v>
      </c>
      <c r="B404" s="29">
        <v>1</v>
      </c>
      <c r="C404" s="29" t="s">
        <v>380</v>
      </c>
      <c r="D404" s="29" t="s">
        <v>1025</v>
      </c>
      <c r="E404" s="29">
        <v>251</v>
      </c>
      <c r="G404" s="29" t="s">
        <v>382</v>
      </c>
      <c r="H404" s="29">
        <v>1</v>
      </c>
      <c r="I404" s="29">
        <v>16.079999999999998</v>
      </c>
      <c r="J404" s="29">
        <v>4.0360799999999992</v>
      </c>
      <c r="K404" s="29">
        <v>4.0360799999999992</v>
      </c>
      <c r="L404" s="29" t="s">
        <v>383</v>
      </c>
      <c r="M404" s="29">
        <v>1</v>
      </c>
      <c r="N404" s="29">
        <v>0.251</v>
      </c>
      <c r="P404" s="29">
        <v>4.0360799999999992</v>
      </c>
      <c r="Q404" s="29" t="s">
        <v>384</v>
      </c>
    </row>
    <row r="405" spans="1:17" x14ac:dyDescent="0.3">
      <c r="B405" s="29">
        <v>2</v>
      </c>
      <c r="C405" s="29" t="s">
        <v>1029</v>
      </c>
      <c r="D405" s="29" t="s">
        <v>1030</v>
      </c>
      <c r="E405" s="29">
        <v>400</v>
      </c>
      <c r="G405" s="29" t="s">
        <v>292</v>
      </c>
      <c r="H405" s="29">
        <v>1</v>
      </c>
      <c r="I405" s="29">
        <v>13.4</v>
      </c>
      <c r="J405" s="29">
        <v>5.36</v>
      </c>
      <c r="K405" s="29">
        <v>5.36</v>
      </c>
      <c r="L405" s="29" t="s">
        <v>383</v>
      </c>
      <c r="M405" s="29">
        <v>1</v>
      </c>
      <c r="N405" s="29">
        <v>0.4</v>
      </c>
      <c r="O405" s="29">
        <v>1</v>
      </c>
      <c r="P405" s="29">
        <v>5.36</v>
      </c>
      <c r="Q405" s="29" t="s">
        <v>384</v>
      </c>
    </row>
    <row r="406" spans="1:17" x14ac:dyDescent="0.3">
      <c r="B406" s="29">
        <v>3</v>
      </c>
      <c r="C406" s="29" t="s">
        <v>1039</v>
      </c>
      <c r="D406" s="29">
        <v>12</v>
      </c>
      <c r="E406" s="29">
        <v>170</v>
      </c>
      <c r="F406" s="29">
        <v>120</v>
      </c>
      <c r="G406" s="29" t="s">
        <v>292</v>
      </c>
      <c r="H406" s="29">
        <v>1</v>
      </c>
      <c r="J406" s="29">
        <v>1.9216799999999998</v>
      </c>
      <c r="K406" s="29">
        <v>1.9216799999999998</v>
      </c>
      <c r="L406" s="29" t="s">
        <v>293</v>
      </c>
      <c r="M406" s="29">
        <v>1</v>
      </c>
      <c r="O406" s="29">
        <v>1</v>
      </c>
      <c r="P406" s="29">
        <v>1.9216799999999998</v>
      </c>
      <c r="Q406" s="29" t="s">
        <v>294</v>
      </c>
    </row>
    <row r="407" spans="1:17" x14ac:dyDescent="0.3">
      <c r="B407" s="29">
        <v>4</v>
      </c>
      <c r="C407" s="29" t="s">
        <v>1040</v>
      </c>
      <c r="D407" s="29">
        <v>6</v>
      </c>
      <c r="E407" s="29">
        <v>185</v>
      </c>
      <c r="F407" s="29">
        <v>85</v>
      </c>
      <c r="G407" s="29" t="s">
        <v>292</v>
      </c>
      <c r="H407" s="29">
        <v>1</v>
      </c>
      <c r="J407" s="29">
        <v>0.74064750000000001</v>
      </c>
      <c r="K407" s="29">
        <v>0.74064750000000001</v>
      </c>
      <c r="L407" s="29" t="s">
        <v>293</v>
      </c>
      <c r="M407" s="29">
        <v>1</v>
      </c>
      <c r="O407" s="29">
        <v>1</v>
      </c>
      <c r="P407" s="29">
        <v>0.74064750000000001</v>
      </c>
      <c r="Q407" s="29" t="s">
        <v>294</v>
      </c>
    </row>
    <row r="408" spans="1:17" x14ac:dyDescent="0.3">
      <c r="B408" s="29">
        <v>5</v>
      </c>
      <c r="C408" s="29" t="s">
        <v>1041</v>
      </c>
      <c r="D408" s="29">
        <v>12</v>
      </c>
      <c r="E408" s="29">
        <v>260</v>
      </c>
      <c r="F408" s="29">
        <v>260</v>
      </c>
      <c r="G408" s="29" t="s">
        <v>292</v>
      </c>
      <c r="H408" s="29">
        <v>1</v>
      </c>
      <c r="J408" s="29">
        <v>6.3679199999999998</v>
      </c>
      <c r="K408" s="29">
        <v>6.3679199999999998</v>
      </c>
      <c r="L408" s="29" t="s">
        <v>293</v>
      </c>
      <c r="M408" s="29">
        <v>1</v>
      </c>
      <c r="O408" s="29">
        <v>1</v>
      </c>
      <c r="P408" s="29">
        <v>6.3679199999999998</v>
      </c>
      <c r="Q408" s="29" t="s">
        <v>294</v>
      </c>
    </row>
    <row r="409" spans="1:17" x14ac:dyDescent="0.3">
      <c r="B409" s="29">
        <v>6</v>
      </c>
      <c r="C409" s="29" t="s">
        <v>1042</v>
      </c>
      <c r="D409" s="29">
        <v>12</v>
      </c>
      <c r="E409" s="29">
        <v>135</v>
      </c>
      <c r="F409" s="29">
        <v>135</v>
      </c>
      <c r="G409" s="29" t="s">
        <v>292</v>
      </c>
      <c r="H409" s="29">
        <v>1</v>
      </c>
      <c r="J409" s="29">
        <v>1.7167949999999998</v>
      </c>
      <c r="K409" s="29">
        <v>1.7167949999999998</v>
      </c>
      <c r="L409" s="29" t="s">
        <v>293</v>
      </c>
      <c r="M409" s="29">
        <v>1</v>
      </c>
      <c r="O409" s="29">
        <v>1</v>
      </c>
      <c r="P409" s="29">
        <v>1.7167949999999998</v>
      </c>
      <c r="Q409" s="29" t="s">
        <v>294</v>
      </c>
    </row>
    <row r="410" spans="1:17" x14ac:dyDescent="0.3">
      <c r="A410" s="29" t="s">
        <v>461</v>
      </c>
      <c r="B410" s="29">
        <v>1</v>
      </c>
      <c r="C410" s="29" t="s">
        <v>380</v>
      </c>
      <c r="D410" s="30" t="s">
        <v>1025</v>
      </c>
      <c r="E410" s="29">
        <v>2251</v>
      </c>
      <c r="G410" s="29" t="s">
        <v>382</v>
      </c>
      <c r="H410" s="29">
        <v>1</v>
      </c>
      <c r="I410" s="29">
        <v>16.079999999999998</v>
      </c>
      <c r="J410" s="29">
        <v>36.196079999999995</v>
      </c>
      <c r="K410" s="29">
        <v>36.196079999999995</v>
      </c>
      <c r="L410" s="29" t="s">
        <v>383</v>
      </c>
      <c r="M410" s="29">
        <v>1</v>
      </c>
      <c r="N410" s="29">
        <v>2.2509999999999999</v>
      </c>
      <c r="P410" s="29">
        <v>36.196079999999995</v>
      </c>
      <c r="Q410" s="29" t="s">
        <v>384</v>
      </c>
    </row>
    <row r="411" spans="1:17" x14ac:dyDescent="0.3">
      <c r="B411" s="29">
        <v>2</v>
      </c>
      <c r="C411" s="29" t="s">
        <v>1029</v>
      </c>
      <c r="D411" s="30" t="s">
        <v>1030</v>
      </c>
      <c r="E411" s="29">
        <v>500</v>
      </c>
      <c r="G411" s="29" t="s">
        <v>292</v>
      </c>
      <c r="H411" s="29">
        <v>1</v>
      </c>
      <c r="I411" s="29">
        <v>13.4</v>
      </c>
      <c r="J411" s="29">
        <v>6.7</v>
      </c>
      <c r="K411" s="29">
        <v>6.7</v>
      </c>
      <c r="L411" s="29" t="s">
        <v>383</v>
      </c>
      <c r="M411" s="29">
        <v>1</v>
      </c>
      <c r="N411" s="29">
        <v>0.5</v>
      </c>
      <c r="O411" s="29">
        <v>1</v>
      </c>
      <c r="P411" s="29">
        <v>6.7</v>
      </c>
      <c r="Q411" s="29" t="s">
        <v>384</v>
      </c>
    </row>
    <row r="412" spans="1:17" x14ac:dyDescent="0.3">
      <c r="B412" s="29">
        <v>3</v>
      </c>
      <c r="C412" s="29" t="s">
        <v>1039</v>
      </c>
      <c r="D412" s="30">
        <v>12</v>
      </c>
      <c r="E412" s="29">
        <v>170</v>
      </c>
      <c r="F412" s="29">
        <v>120</v>
      </c>
      <c r="G412" s="29" t="s">
        <v>292</v>
      </c>
      <c r="H412" s="29">
        <v>1</v>
      </c>
      <c r="J412" s="29">
        <v>1.9216799999999998</v>
      </c>
      <c r="K412" s="29">
        <v>1.9216799999999998</v>
      </c>
      <c r="L412" s="29" t="s">
        <v>293</v>
      </c>
      <c r="M412" s="29">
        <v>1</v>
      </c>
      <c r="O412" s="29">
        <v>1</v>
      </c>
      <c r="P412" s="29">
        <v>1.9216799999999998</v>
      </c>
      <c r="Q412" s="29" t="s">
        <v>294</v>
      </c>
    </row>
    <row r="413" spans="1:17" x14ac:dyDescent="0.3">
      <c r="B413" s="29">
        <v>4</v>
      </c>
      <c r="C413" s="29" t="s">
        <v>1040</v>
      </c>
      <c r="D413" s="30">
        <v>6</v>
      </c>
      <c r="E413" s="29">
        <v>185</v>
      </c>
      <c r="F413" s="29">
        <v>85</v>
      </c>
      <c r="G413" s="29" t="s">
        <v>292</v>
      </c>
      <c r="H413" s="29">
        <v>1</v>
      </c>
      <c r="J413" s="29">
        <v>0.74064750000000001</v>
      </c>
      <c r="K413" s="29">
        <v>0.74064750000000001</v>
      </c>
      <c r="L413" s="29" t="s">
        <v>293</v>
      </c>
      <c r="M413" s="29">
        <v>1</v>
      </c>
      <c r="O413" s="29">
        <v>1</v>
      </c>
      <c r="P413" s="29">
        <v>0.74064750000000001</v>
      </c>
      <c r="Q413" s="29" t="s">
        <v>294</v>
      </c>
    </row>
    <row r="414" spans="1:17" x14ac:dyDescent="0.3">
      <c r="B414" s="29">
        <v>5</v>
      </c>
      <c r="C414" s="29" t="s">
        <v>1041</v>
      </c>
      <c r="D414" s="29">
        <v>12</v>
      </c>
      <c r="E414" s="29">
        <v>260</v>
      </c>
      <c r="F414" s="29">
        <v>260</v>
      </c>
      <c r="G414" s="29" t="s">
        <v>292</v>
      </c>
      <c r="H414" s="29">
        <v>1</v>
      </c>
      <c r="J414" s="29">
        <v>6.3679199999999998</v>
      </c>
      <c r="K414" s="29">
        <v>6.3679199999999998</v>
      </c>
      <c r="L414" s="29" t="s">
        <v>293</v>
      </c>
      <c r="M414" s="29">
        <v>1</v>
      </c>
      <c r="O414" s="29">
        <v>1</v>
      </c>
      <c r="P414" s="29">
        <v>6.3679199999999998</v>
      </c>
      <c r="Q414" s="29" t="s">
        <v>294</v>
      </c>
    </row>
    <row r="415" spans="1:17" x14ac:dyDescent="0.3">
      <c r="B415" s="29">
        <v>6</v>
      </c>
      <c r="C415" s="29" t="s">
        <v>1042</v>
      </c>
      <c r="D415" s="30">
        <v>12</v>
      </c>
      <c r="E415" s="29">
        <v>135</v>
      </c>
      <c r="F415" s="29">
        <v>135</v>
      </c>
      <c r="G415" s="29" t="s">
        <v>292</v>
      </c>
      <c r="H415" s="29">
        <v>1</v>
      </c>
      <c r="J415" s="29">
        <v>1.7167949999999998</v>
      </c>
      <c r="K415" s="29">
        <v>1.7167949999999998</v>
      </c>
      <c r="L415" s="29" t="s">
        <v>293</v>
      </c>
      <c r="M415" s="29">
        <v>1</v>
      </c>
      <c r="O415" s="29">
        <v>1</v>
      </c>
      <c r="P415" s="29">
        <v>1.7167949999999998</v>
      </c>
      <c r="Q415" s="29" t="s">
        <v>294</v>
      </c>
    </row>
    <row r="416" spans="1:17" x14ac:dyDescent="0.3">
      <c r="A416" s="29" t="s">
        <v>462</v>
      </c>
      <c r="B416" s="29">
        <v>1</v>
      </c>
      <c r="C416" s="29" t="s">
        <v>380</v>
      </c>
      <c r="D416" s="30" t="s">
        <v>1025</v>
      </c>
      <c r="E416" s="29">
        <v>2251</v>
      </c>
      <c r="G416" s="29" t="s">
        <v>382</v>
      </c>
      <c r="H416" s="29">
        <v>1</v>
      </c>
      <c r="I416" s="29">
        <v>16.079999999999998</v>
      </c>
      <c r="J416" s="29">
        <v>36.196079999999995</v>
      </c>
      <c r="K416" s="29">
        <v>36.196079999999995</v>
      </c>
      <c r="L416" s="29" t="s">
        <v>383</v>
      </c>
      <c r="M416" s="29">
        <v>1</v>
      </c>
      <c r="N416" s="29">
        <v>2.2509999999999999</v>
      </c>
      <c r="P416" s="29">
        <v>36.196079999999995</v>
      </c>
      <c r="Q416" s="29" t="s">
        <v>384</v>
      </c>
    </row>
    <row r="417" spans="1:17" x14ac:dyDescent="0.3">
      <c r="B417" s="29">
        <v>2</v>
      </c>
      <c r="C417" s="29" t="s">
        <v>1029</v>
      </c>
      <c r="D417" s="29" t="s">
        <v>1030</v>
      </c>
      <c r="E417" s="29">
        <v>1000</v>
      </c>
      <c r="G417" s="29" t="s">
        <v>292</v>
      </c>
      <c r="H417" s="29">
        <v>1</v>
      </c>
      <c r="I417" s="29">
        <v>13.4</v>
      </c>
      <c r="J417" s="29">
        <v>13.4</v>
      </c>
      <c r="K417" s="29">
        <v>13.4</v>
      </c>
      <c r="L417" s="29" t="s">
        <v>383</v>
      </c>
      <c r="M417" s="29">
        <v>1</v>
      </c>
      <c r="N417" s="29">
        <v>1</v>
      </c>
      <c r="O417" s="29">
        <v>1</v>
      </c>
      <c r="P417" s="29">
        <v>13.4</v>
      </c>
      <c r="Q417" s="29" t="s">
        <v>384</v>
      </c>
    </row>
    <row r="418" spans="1:17" x14ac:dyDescent="0.3">
      <c r="B418" s="29">
        <v>3</v>
      </c>
      <c r="C418" s="29" t="s">
        <v>1039</v>
      </c>
      <c r="D418" s="30">
        <v>12</v>
      </c>
      <c r="E418" s="29">
        <v>170</v>
      </c>
      <c r="F418" s="29">
        <v>120</v>
      </c>
      <c r="G418" s="29" t="s">
        <v>292</v>
      </c>
      <c r="H418" s="29">
        <v>1</v>
      </c>
      <c r="J418" s="29">
        <v>1.9216799999999998</v>
      </c>
      <c r="K418" s="29">
        <v>1.9216799999999998</v>
      </c>
      <c r="L418" s="29" t="s">
        <v>293</v>
      </c>
      <c r="M418" s="29">
        <v>1</v>
      </c>
      <c r="O418" s="29">
        <v>1</v>
      </c>
      <c r="P418" s="29">
        <v>1.9216799999999998</v>
      </c>
      <c r="Q418" s="29" t="s">
        <v>294</v>
      </c>
    </row>
    <row r="419" spans="1:17" x14ac:dyDescent="0.3">
      <c r="B419" s="29">
        <v>4</v>
      </c>
      <c r="C419" s="29" t="s">
        <v>1040</v>
      </c>
      <c r="D419" s="30">
        <v>6</v>
      </c>
      <c r="E419" s="29">
        <v>185</v>
      </c>
      <c r="F419" s="29">
        <v>85</v>
      </c>
      <c r="G419" s="29" t="s">
        <v>292</v>
      </c>
      <c r="H419" s="29">
        <v>1</v>
      </c>
      <c r="J419" s="29">
        <v>0.74064750000000001</v>
      </c>
      <c r="K419" s="29">
        <v>0.74064750000000001</v>
      </c>
      <c r="L419" s="29" t="s">
        <v>293</v>
      </c>
      <c r="M419" s="29">
        <v>1</v>
      </c>
      <c r="O419" s="29">
        <v>1</v>
      </c>
      <c r="P419" s="29">
        <v>0.74064750000000001</v>
      </c>
      <c r="Q419" s="29" t="s">
        <v>294</v>
      </c>
    </row>
    <row r="420" spans="1:17" x14ac:dyDescent="0.3">
      <c r="B420" s="29">
        <v>5</v>
      </c>
      <c r="C420" s="29" t="s">
        <v>1041</v>
      </c>
      <c r="D420" s="29">
        <v>12</v>
      </c>
      <c r="E420" s="29">
        <v>260</v>
      </c>
      <c r="F420" s="29">
        <v>260</v>
      </c>
      <c r="G420" s="29" t="s">
        <v>292</v>
      </c>
      <c r="H420" s="29">
        <v>1</v>
      </c>
      <c r="J420" s="29">
        <v>6.3679199999999998</v>
      </c>
      <c r="K420" s="29">
        <v>6.3679199999999998</v>
      </c>
      <c r="L420" s="29" t="s">
        <v>293</v>
      </c>
      <c r="M420" s="29">
        <v>1</v>
      </c>
      <c r="O420" s="29">
        <v>1</v>
      </c>
      <c r="P420" s="29">
        <v>6.3679199999999998</v>
      </c>
      <c r="Q420" s="29" t="s">
        <v>294</v>
      </c>
    </row>
    <row r="421" spans="1:17" x14ac:dyDescent="0.3">
      <c r="B421" s="29">
        <v>6</v>
      </c>
      <c r="C421" s="29" t="s">
        <v>1042</v>
      </c>
      <c r="D421" s="30">
        <v>12</v>
      </c>
      <c r="E421" s="29">
        <v>135</v>
      </c>
      <c r="F421" s="29">
        <v>135</v>
      </c>
      <c r="G421" s="29" t="s">
        <v>292</v>
      </c>
      <c r="H421" s="29">
        <v>1</v>
      </c>
      <c r="J421" s="29">
        <v>1.7167949999999998</v>
      </c>
      <c r="K421" s="29">
        <v>1.7167949999999998</v>
      </c>
      <c r="L421" s="29" t="s">
        <v>293</v>
      </c>
      <c r="M421" s="29">
        <v>1</v>
      </c>
      <c r="O421" s="29">
        <v>1</v>
      </c>
      <c r="P421" s="29">
        <v>1.7167949999999998</v>
      </c>
      <c r="Q421" s="29" t="s">
        <v>294</v>
      </c>
    </row>
    <row r="422" spans="1:17" x14ac:dyDescent="0.3">
      <c r="A422" s="29" t="s">
        <v>463</v>
      </c>
      <c r="B422" s="29">
        <v>1</v>
      </c>
      <c r="C422" s="29" t="s">
        <v>380</v>
      </c>
      <c r="D422" s="30" t="s">
        <v>393</v>
      </c>
      <c r="E422" s="29">
        <v>368</v>
      </c>
      <c r="G422" s="29" t="s">
        <v>382</v>
      </c>
      <c r="H422" s="29">
        <v>1</v>
      </c>
      <c r="I422" s="29">
        <v>42.55</v>
      </c>
      <c r="J422" s="29">
        <v>15.658399999999999</v>
      </c>
      <c r="K422" s="29">
        <v>15.658399999999999</v>
      </c>
      <c r="L422" s="29" t="s">
        <v>383</v>
      </c>
      <c r="M422" s="29">
        <v>1</v>
      </c>
      <c r="N422" s="29">
        <v>0.36799999999999999</v>
      </c>
      <c r="P422" s="29">
        <v>15.658399999999999</v>
      </c>
      <c r="Q422" s="29" t="s">
        <v>384</v>
      </c>
    </row>
    <row r="423" spans="1:17" x14ac:dyDescent="0.3">
      <c r="B423" s="29">
        <v>2</v>
      </c>
      <c r="C423" s="29" t="s">
        <v>1029</v>
      </c>
      <c r="D423" s="29" t="s">
        <v>1038</v>
      </c>
      <c r="E423" s="29">
        <v>400</v>
      </c>
      <c r="G423" s="29" t="s">
        <v>292</v>
      </c>
      <c r="H423" s="29">
        <v>1</v>
      </c>
      <c r="I423" s="29">
        <v>30.3</v>
      </c>
      <c r="J423" s="29">
        <v>12.120000000000001</v>
      </c>
      <c r="K423" s="29">
        <v>12.120000000000001</v>
      </c>
      <c r="L423" s="29" t="s">
        <v>383</v>
      </c>
      <c r="M423" s="29">
        <v>1</v>
      </c>
      <c r="N423" s="29">
        <v>0.4</v>
      </c>
      <c r="O423" s="29">
        <v>1</v>
      </c>
      <c r="P423" s="29">
        <v>12.120000000000001</v>
      </c>
      <c r="Q423" s="29" t="s">
        <v>384</v>
      </c>
    </row>
    <row r="424" spans="1:17" x14ac:dyDescent="0.3">
      <c r="B424" s="29">
        <v>3</v>
      </c>
      <c r="C424" s="29" t="s">
        <v>1039</v>
      </c>
      <c r="D424" s="30">
        <v>16</v>
      </c>
      <c r="E424" s="29">
        <v>210</v>
      </c>
      <c r="F424" s="29">
        <v>150</v>
      </c>
      <c r="G424" s="29" t="s">
        <v>292</v>
      </c>
      <c r="H424" s="29">
        <v>1</v>
      </c>
      <c r="J424" s="29">
        <v>3.9563999999999999</v>
      </c>
      <c r="K424" s="29">
        <v>3.9563999999999999</v>
      </c>
      <c r="L424" s="29" t="s">
        <v>293</v>
      </c>
      <c r="M424" s="29">
        <v>1</v>
      </c>
      <c r="O424" s="29">
        <v>1</v>
      </c>
      <c r="P424" s="29">
        <v>3.9563999999999999</v>
      </c>
      <c r="Q424" s="29" t="s">
        <v>294</v>
      </c>
    </row>
    <row r="425" spans="1:17" x14ac:dyDescent="0.3">
      <c r="B425" s="29">
        <v>4</v>
      </c>
      <c r="C425" s="29" t="s">
        <v>1040</v>
      </c>
      <c r="D425" s="30">
        <v>6</v>
      </c>
      <c r="E425" s="29">
        <v>260</v>
      </c>
      <c r="F425" s="29">
        <v>110</v>
      </c>
      <c r="G425" s="29" t="s">
        <v>292</v>
      </c>
      <c r="H425" s="29">
        <v>1</v>
      </c>
      <c r="J425" s="29">
        <v>1.3470599999999999</v>
      </c>
      <c r="K425" s="29">
        <v>1.3470599999999999</v>
      </c>
      <c r="L425" s="29" t="s">
        <v>293</v>
      </c>
      <c r="M425" s="29">
        <v>1</v>
      </c>
      <c r="O425" s="29">
        <v>1</v>
      </c>
      <c r="P425" s="29">
        <v>1.3470599999999999</v>
      </c>
      <c r="Q425" s="29" t="s">
        <v>294</v>
      </c>
    </row>
    <row r="426" spans="1:17" x14ac:dyDescent="0.3">
      <c r="B426" s="29">
        <v>5</v>
      </c>
      <c r="C426" s="29" t="s">
        <v>1041</v>
      </c>
      <c r="D426" s="29">
        <v>16</v>
      </c>
      <c r="E426" s="29">
        <v>380</v>
      </c>
      <c r="F426" s="29">
        <v>380</v>
      </c>
      <c r="G426" s="29" t="s">
        <v>292</v>
      </c>
      <c r="H426" s="29">
        <v>1</v>
      </c>
      <c r="J426" s="29">
        <v>18.13664</v>
      </c>
      <c r="K426" s="29">
        <v>18.13664</v>
      </c>
      <c r="L426" s="29" t="s">
        <v>293</v>
      </c>
      <c r="M426" s="29">
        <v>1</v>
      </c>
      <c r="O426" s="29">
        <v>1</v>
      </c>
      <c r="P426" s="29">
        <v>18.13664</v>
      </c>
      <c r="Q426" s="29" t="s">
        <v>294</v>
      </c>
    </row>
    <row r="427" spans="1:17" x14ac:dyDescent="0.3">
      <c r="B427" s="29">
        <v>6</v>
      </c>
      <c r="C427" s="29" t="s">
        <v>1042</v>
      </c>
      <c r="D427" s="30">
        <v>16</v>
      </c>
      <c r="E427" s="29">
        <v>240</v>
      </c>
      <c r="F427" s="29">
        <v>240</v>
      </c>
      <c r="G427" s="29" t="s">
        <v>292</v>
      </c>
      <c r="H427" s="29">
        <v>1</v>
      </c>
      <c r="J427" s="29">
        <v>7.2345600000000001</v>
      </c>
      <c r="K427" s="29">
        <v>7.2345600000000001</v>
      </c>
      <c r="L427" s="29" t="s">
        <v>293</v>
      </c>
      <c r="M427" s="29">
        <v>1</v>
      </c>
      <c r="O427" s="29">
        <v>1</v>
      </c>
      <c r="P427" s="29">
        <v>7.2345600000000001</v>
      </c>
      <c r="Q427" s="29" t="s">
        <v>294</v>
      </c>
    </row>
    <row r="428" spans="1:17" x14ac:dyDescent="0.3">
      <c r="A428" s="29" t="s">
        <v>464</v>
      </c>
      <c r="B428" s="29" t="s">
        <v>395</v>
      </c>
      <c r="C428" s="29" t="s">
        <v>380</v>
      </c>
      <c r="D428" s="30" t="s">
        <v>1037</v>
      </c>
      <c r="E428" s="29">
        <v>811</v>
      </c>
      <c r="G428" s="29" t="s">
        <v>382</v>
      </c>
      <c r="H428" s="29">
        <v>1</v>
      </c>
      <c r="I428" s="29">
        <v>73.86</v>
      </c>
      <c r="J428" s="29">
        <v>59.900460000000002</v>
      </c>
      <c r="K428" s="29">
        <v>59.900460000000002</v>
      </c>
      <c r="L428" s="29" t="s">
        <v>383</v>
      </c>
      <c r="M428" s="29">
        <v>1</v>
      </c>
      <c r="N428" s="29">
        <v>0.81100000000000005</v>
      </c>
      <c r="P428" s="29">
        <v>59.900460000000002</v>
      </c>
      <c r="Q428" s="29" t="s">
        <v>384</v>
      </c>
    </row>
    <row r="429" spans="1:17" x14ac:dyDescent="0.3">
      <c r="A429" s="29" t="s">
        <v>465</v>
      </c>
      <c r="B429" s="29" t="s">
        <v>395</v>
      </c>
      <c r="C429" s="29" t="s">
        <v>380</v>
      </c>
      <c r="D429" s="30" t="s">
        <v>1037</v>
      </c>
      <c r="E429" s="29">
        <v>913</v>
      </c>
      <c r="G429" s="29" t="s">
        <v>382</v>
      </c>
      <c r="H429" s="29">
        <v>1</v>
      </c>
      <c r="I429" s="29">
        <v>73.86</v>
      </c>
      <c r="J429" s="29">
        <v>67.434179999999998</v>
      </c>
      <c r="K429" s="29">
        <v>67.434179999999998</v>
      </c>
      <c r="L429" s="29" t="s">
        <v>383</v>
      </c>
      <c r="M429" s="29">
        <v>1</v>
      </c>
      <c r="N429" s="29">
        <v>0.91300000000000003</v>
      </c>
      <c r="P429" s="29">
        <v>67.434179999999998</v>
      </c>
      <c r="Q429" s="29" t="s">
        <v>384</v>
      </c>
    </row>
    <row r="430" spans="1:17" x14ac:dyDescent="0.3">
      <c r="A430" s="29" t="s">
        <v>466</v>
      </c>
      <c r="B430" s="29">
        <v>1</v>
      </c>
      <c r="C430" s="29" t="s">
        <v>380</v>
      </c>
      <c r="D430" s="30" t="s">
        <v>381</v>
      </c>
      <c r="E430" s="29">
        <v>206</v>
      </c>
      <c r="G430" s="29" t="s">
        <v>382</v>
      </c>
      <c r="H430" s="29">
        <v>1</v>
      </c>
      <c r="I430" s="29">
        <v>5.41</v>
      </c>
      <c r="J430" s="29">
        <v>1.11446</v>
      </c>
      <c r="K430" s="29">
        <v>1.11446</v>
      </c>
      <c r="L430" s="29" t="s">
        <v>383</v>
      </c>
      <c r="M430" s="29">
        <v>1</v>
      </c>
      <c r="N430" s="29">
        <v>0.20599999999999999</v>
      </c>
      <c r="P430" s="29">
        <v>1.11446</v>
      </c>
      <c r="Q430" s="29" t="s">
        <v>384</v>
      </c>
    </row>
    <row r="431" spans="1:17" x14ac:dyDescent="0.3">
      <c r="B431" s="29">
        <v>2</v>
      </c>
      <c r="C431" s="29" t="s">
        <v>380</v>
      </c>
      <c r="D431" s="30" t="s">
        <v>381</v>
      </c>
      <c r="E431" s="29">
        <v>370</v>
      </c>
      <c r="G431" s="29" t="s">
        <v>385</v>
      </c>
      <c r="H431" s="29">
        <v>1</v>
      </c>
      <c r="I431" s="29">
        <v>5.41</v>
      </c>
      <c r="J431" s="29">
        <v>2.0017</v>
      </c>
      <c r="K431" s="29">
        <v>2.0017</v>
      </c>
      <c r="L431" s="29" t="s">
        <v>383</v>
      </c>
      <c r="M431" s="29">
        <v>1</v>
      </c>
      <c r="N431" s="29">
        <v>0.37</v>
      </c>
      <c r="P431" s="29">
        <v>2.0017</v>
      </c>
      <c r="Q431" s="29" t="s">
        <v>384</v>
      </c>
    </row>
    <row r="432" spans="1:17" x14ac:dyDescent="0.3">
      <c r="B432" s="29">
        <v>3</v>
      </c>
      <c r="C432" s="29" t="s">
        <v>1043</v>
      </c>
      <c r="D432" s="29">
        <v>6</v>
      </c>
      <c r="E432" s="29">
        <v>70</v>
      </c>
      <c r="F432" s="29">
        <v>70</v>
      </c>
      <c r="G432" s="29" t="s">
        <v>292</v>
      </c>
      <c r="H432" s="29">
        <v>1</v>
      </c>
      <c r="J432" s="29">
        <v>0.23079</v>
      </c>
      <c r="K432" s="29">
        <v>0.23079</v>
      </c>
      <c r="L432" s="29" t="s">
        <v>293</v>
      </c>
      <c r="M432" s="29">
        <v>1</v>
      </c>
      <c r="O432" s="29">
        <v>1</v>
      </c>
      <c r="P432" s="29">
        <v>0.23079</v>
      </c>
      <c r="Q432" s="29" t="s">
        <v>294</v>
      </c>
    </row>
    <row r="433" spans="1:17" x14ac:dyDescent="0.3">
      <c r="A433" s="29" t="s">
        <v>467</v>
      </c>
      <c r="B433" s="29">
        <v>1</v>
      </c>
      <c r="C433" s="29" t="s">
        <v>380</v>
      </c>
      <c r="D433" s="30" t="s">
        <v>381</v>
      </c>
      <c r="E433" s="29">
        <v>206</v>
      </c>
      <c r="G433" s="29" t="s">
        <v>382</v>
      </c>
      <c r="H433" s="29">
        <v>1</v>
      </c>
      <c r="I433" s="29">
        <v>5.41</v>
      </c>
      <c r="J433" s="29">
        <v>1.11446</v>
      </c>
      <c r="K433" s="29">
        <v>1.11446</v>
      </c>
      <c r="L433" s="29" t="s">
        <v>383</v>
      </c>
      <c r="M433" s="29">
        <v>1</v>
      </c>
      <c r="N433" s="29">
        <v>0.20599999999999999</v>
      </c>
      <c r="P433" s="29">
        <v>1.11446</v>
      </c>
      <c r="Q433" s="29" t="s">
        <v>384</v>
      </c>
    </row>
    <row r="434" spans="1:17" x14ac:dyDescent="0.3">
      <c r="B434" s="29">
        <v>2</v>
      </c>
      <c r="C434" s="29" t="s">
        <v>380</v>
      </c>
      <c r="D434" s="30" t="s">
        <v>381</v>
      </c>
      <c r="E434" s="29">
        <v>470</v>
      </c>
      <c r="G434" s="29" t="s">
        <v>385</v>
      </c>
      <c r="H434" s="29">
        <v>1</v>
      </c>
      <c r="I434" s="29">
        <v>5.41</v>
      </c>
      <c r="J434" s="29">
        <v>2.5427</v>
      </c>
      <c r="K434" s="29">
        <v>2.5427</v>
      </c>
      <c r="L434" s="29" t="s">
        <v>383</v>
      </c>
      <c r="M434" s="29">
        <v>1</v>
      </c>
      <c r="N434" s="29">
        <v>0.47</v>
      </c>
      <c r="P434" s="29">
        <v>2.5427</v>
      </c>
      <c r="Q434" s="29" t="s">
        <v>384</v>
      </c>
    </row>
    <row r="435" spans="1:17" x14ac:dyDescent="0.3">
      <c r="B435" s="29">
        <v>3</v>
      </c>
      <c r="C435" s="29" t="s">
        <v>1043</v>
      </c>
      <c r="D435" s="29">
        <v>6</v>
      </c>
      <c r="E435" s="29">
        <v>70</v>
      </c>
      <c r="F435" s="29">
        <v>70</v>
      </c>
      <c r="G435" s="29" t="s">
        <v>292</v>
      </c>
      <c r="H435" s="29">
        <v>1</v>
      </c>
      <c r="J435" s="29">
        <v>0.23079</v>
      </c>
      <c r="K435" s="29">
        <v>0.23079</v>
      </c>
      <c r="L435" s="29" t="s">
        <v>293</v>
      </c>
      <c r="M435" s="29">
        <v>1</v>
      </c>
      <c r="O435" s="29">
        <v>1</v>
      </c>
      <c r="P435" s="29">
        <v>0.23079</v>
      </c>
      <c r="Q435" s="29" t="s">
        <v>294</v>
      </c>
    </row>
    <row r="436" spans="1:17" x14ac:dyDescent="0.3">
      <c r="A436" s="29" t="s">
        <v>467</v>
      </c>
      <c r="B436" s="29">
        <v>1</v>
      </c>
      <c r="C436" s="29" t="s">
        <v>380</v>
      </c>
      <c r="D436" s="30" t="s">
        <v>381</v>
      </c>
      <c r="E436" s="29">
        <v>206</v>
      </c>
      <c r="G436" s="29" t="s">
        <v>382</v>
      </c>
      <c r="H436" s="29">
        <v>1</v>
      </c>
      <c r="I436" s="29">
        <v>5.41</v>
      </c>
      <c r="J436" s="29">
        <v>1.11446</v>
      </c>
      <c r="K436" s="29">
        <v>1.11446</v>
      </c>
      <c r="L436" s="29" t="s">
        <v>383</v>
      </c>
      <c r="M436" s="29">
        <v>1</v>
      </c>
      <c r="N436" s="29">
        <v>0.20599999999999999</v>
      </c>
      <c r="P436" s="29">
        <v>1.11446</v>
      </c>
      <c r="Q436" s="29" t="s">
        <v>384</v>
      </c>
    </row>
    <row r="437" spans="1:17" x14ac:dyDescent="0.3">
      <c r="B437" s="29">
        <v>2</v>
      </c>
      <c r="C437" s="29" t="s">
        <v>380</v>
      </c>
      <c r="D437" s="30" t="s">
        <v>381</v>
      </c>
      <c r="E437" s="29">
        <v>470</v>
      </c>
      <c r="G437" s="29" t="s">
        <v>385</v>
      </c>
      <c r="H437" s="29">
        <v>1</v>
      </c>
      <c r="I437" s="29">
        <v>5.41</v>
      </c>
      <c r="J437" s="29">
        <v>2.5427</v>
      </c>
      <c r="K437" s="29">
        <v>2.5427</v>
      </c>
      <c r="L437" s="29" t="s">
        <v>383</v>
      </c>
      <c r="M437" s="29">
        <v>1</v>
      </c>
      <c r="N437" s="29">
        <v>0.47</v>
      </c>
      <c r="P437" s="29">
        <v>2.5427</v>
      </c>
      <c r="Q437" s="29" t="s">
        <v>384</v>
      </c>
    </row>
    <row r="438" spans="1:17" x14ac:dyDescent="0.3">
      <c r="B438" s="29">
        <v>3</v>
      </c>
      <c r="C438" s="29" t="s">
        <v>1043</v>
      </c>
      <c r="D438" s="29">
        <v>6</v>
      </c>
      <c r="E438" s="29">
        <v>70</v>
      </c>
      <c r="F438" s="29">
        <v>70</v>
      </c>
      <c r="G438" s="29" t="s">
        <v>292</v>
      </c>
      <c r="H438" s="29">
        <v>1</v>
      </c>
      <c r="J438" s="29">
        <v>0.23079</v>
      </c>
      <c r="K438" s="29">
        <v>0.23079</v>
      </c>
      <c r="L438" s="29" t="s">
        <v>293</v>
      </c>
      <c r="M438" s="29">
        <v>1</v>
      </c>
      <c r="O438" s="29">
        <v>1</v>
      </c>
      <c r="P438" s="29">
        <v>0.23079</v>
      </c>
      <c r="Q438" s="29" t="s">
        <v>294</v>
      </c>
    </row>
    <row r="439" spans="1:17" x14ac:dyDescent="0.3">
      <c r="A439" s="29" t="s">
        <v>468</v>
      </c>
      <c r="B439" s="29">
        <v>1</v>
      </c>
      <c r="C439" s="29" t="s">
        <v>380</v>
      </c>
      <c r="D439" s="30" t="s">
        <v>1023</v>
      </c>
      <c r="E439" s="29">
        <v>259</v>
      </c>
      <c r="G439" s="29" t="s">
        <v>382</v>
      </c>
      <c r="H439" s="29">
        <v>1</v>
      </c>
      <c r="I439" s="29">
        <v>5.44</v>
      </c>
      <c r="J439" s="29">
        <v>1.4089600000000002</v>
      </c>
      <c r="K439" s="29">
        <v>1.4089600000000002</v>
      </c>
      <c r="L439" s="29" t="s">
        <v>383</v>
      </c>
      <c r="M439" s="29">
        <v>1</v>
      </c>
      <c r="N439" s="29">
        <v>0.25900000000000001</v>
      </c>
      <c r="P439" s="29">
        <v>1.4089600000000002</v>
      </c>
      <c r="Q439" s="29" t="s">
        <v>384</v>
      </c>
    </row>
    <row r="440" spans="1:17" x14ac:dyDescent="0.3">
      <c r="B440" s="29">
        <v>2</v>
      </c>
      <c r="C440" s="29" t="s">
        <v>380</v>
      </c>
      <c r="D440" s="30" t="s">
        <v>1023</v>
      </c>
      <c r="E440" s="29">
        <v>356</v>
      </c>
      <c r="G440" s="29" t="s">
        <v>385</v>
      </c>
      <c r="H440" s="29">
        <v>1</v>
      </c>
      <c r="I440" s="29">
        <v>5.44</v>
      </c>
      <c r="J440" s="29">
        <v>1.9366400000000001</v>
      </c>
      <c r="K440" s="29">
        <v>1.9366400000000001</v>
      </c>
      <c r="L440" s="29" t="s">
        <v>383</v>
      </c>
      <c r="M440" s="29">
        <v>1</v>
      </c>
      <c r="N440" s="29">
        <v>0.35599999999999998</v>
      </c>
      <c r="P440" s="29">
        <v>1.9366400000000001</v>
      </c>
      <c r="Q440" s="29" t="s">
        <v>384</v>
      </c>
    </row>
    <row r="441" spans="1:17" x14ac:dyDescent="0.3">
      <c r="B441" s="29">
        <v>3</v>
      </c>
      <c r="C441" s="29" t="s">
        <v>1043</v>
      </c>
      <c r="D441" s="29">
        <v>6</v>
      </c>
      <c r="E441" s="29">
        <v>80</v>
      </c>
      <c r="F441" s="29">
        <v>80</v>
      </c>
      <c r="G441" s="29" t="s">
        <v>292</v>
      </c>
      <c r="H441" s="29">
        <v>1</v>
      </c>
      <c r="J441" s="29">
        <v>0.30143999999999999</v>
      </c>
      <c r="K441" s="29">
        <v>0.30143999999999999</v>
      </c>
      <c r="L441" s="29" t="s">
        <v>293</v>
      </c>
      <c r="M441" s="29">
        <v>1</v>
      </c>
      <c r="O441" s="29">
        <v>1</v>
      </c>
      <c r="P441" s="29">
        <v>0.30143999999999999</v>
      </c>
      <c r="Q441" s="29" t="s">
        <v>294</v>
      </c>
    </row>
    <row r="442" spans="1:17" x14ac:dyDescent="0.3">
      <c r="A442" s="29" t="s">
        <v>469</v>
      </c>
      <c r="B442" s="29">
        <v>1</v>
      </c>
      <c r="C442" s="29" t="s">
        <v>380</v>
      </c>
      <c r="D442" s="30" t="s">
        <v>1023</v>
      </c>
      <c r="E442" s="29">
        <v>259</v>
      </c>
      <c r="G442" s="29" t="s">
        <v>382</v>
      </c>
      <c r="H442" s="29">
        <v>1</v>
      </c>
      <c r="I442" s="29">
        <v>5.44</v>
      </c>
      <c r="J442" s="29">
        <v>1.4089600000000002</v>
      </c>
      <c r="K442" s="29">
        <v>1.4089600000000002</v>
      </c>
      <c r="L442" s="29" t="s">
        <v>383</v>
      </c>
      <c r="M442" s="29">
        <v>1</v>
      </c>
      <c r="N442" s="29">
        <v>0.25900000000000001</v>
      </c>
      <c r="P442" s="29">
        <v>1.4089600000000002</v>
      </c>
      <c r="Q442" s="29" t="s">
        <v>384</v>
      </c>
    </row>
    <row r="443" spans="1:17" x14ac:dyDescent="0.3">
      <c r="B443" s="29">
        <v>2</v>
      </c>
      <c r="C443" s="29" t="s">
        <v>380</v>
      </c>
      <c r="D443" s="30" t="s">
        <v>1023</v>
      </c>
      <c r="E443" s="29">
        <v>456</v>
      </c>
      <c r="G443" s="29" t="s">
        <v>385</v>
      </c>
      <c r="H443" s="29">
        <v>1</v>
      </c>
      <c r="I443" s="29">
        <v>5.44</v>
      </c>
      <c r="J443" s="29">
        <v>2.4806400000000002</v>
      </c>
      <c r="K443" s="29">
        <v>2.4806400000000002</v>
      </c>
      <c r="L443" s="29" t="s">
        <v>383</v>
      </c>
      <c r="M443" s="29">
        <v>1</v>
      </c>
      <c r="N443" s="29">
        <v>0.45600000000000002</v>
      </c>
      <c r="P443" s="29">
        <v>2.4806400000000002</v>
      </c>
      <c r="Q443" s="29" t="s">
        <v>384</v>
      </c>
    </row>
    <row r="444" spans="1:17" x14ac:dyDescent="0.3">
      <c r="B444" s="29">
        <v>3</v>
      </c>
      <c r="C444" s="29" t="s">
        <v>1043</v>
      </c>
      <c r="D444" s="29">
        <v>6</v>
      </c>
      <c r="E444" s="29">
        <v>80</v>
      </c>
      <c r="F444" s="29">
        <v>80</v>
      </c>
      <c r="G444" s="29" t="s">
        <v>292</v>
      </c>
      <c r="H444" s="29">
        <v>1</v>
      </c>
      <c r="J444" s="29">
        <v>0.30143999999999999</v>
      </c>
      <c r="K444" s="29">
        <v>0.30143999999999999</v>
      </c>
      <c r="L444" s="29" t="s">
        <v>293</v>
      </c>
      <c r="M444" s="29">
        <v>1</v>
      </c>
      <c r="O444" s="29">
        <v>1</v>
      </c>
      <c r="P444" s="29">
        <v>0.30143999999999999</v>
      </c>
      <c r="Q444" s="29" t="s">
        <v>294</v>
      </c>
    </row>
    <row r="445" spans="1:17" x14ac:dyDescent="0.3">
      <c r="A445" s="29" t="s">
        <v>470</v>
      </c>
      <c r="B445" s="29">
        <v>1</v>
      </c>
      <c r="C445" s="29" t="s">
        <v>380</v>
      </c>
      <c r="D445" s="30" t="s">
        <v>1023</v>
      </c>
      <c r="E445" s="29">
        <v>259</v>
      </c>
      <c r="G445" s="29" t="s">
        <v>382</v>
      </c>
      <c r="H445" s="29">
        <v>1</v>
      </c>
      <c r="I445" s="29">
        <v>5.44</v>
      </c>
      <c r="J445" s="29">
        <v>1.4089600000000002</v>
      </c>
      <c r="K445" s="29">
        <v>1.4089600000000002</v>
      </c>
      <c r="L445" s="29" t="s">
        <v>383</v>
      </c>
      <c r="M445" s="29">
        <v>1</v>
      </c>
      <c r="N445" s="29">
        <v>0.25900000000000001</v>
      </c>
      <c r="P445" s="29">
        <v>1.4089600000000002</v>
      </c>
      <c r="Q445" s="29" t="s">
        <v>384</v>
      </c>
    </row>
    <row r="446" spans="1:17" x14ac:dyDescent="0.3">
      <c r="B446" s="29">
        <v>2</v>
      </c>
      <c r="C446" s="29" t="s">
        <v>380</v>
      </c>
      <c r="D446" s="30" t="s">
        <v>1023</v>
      </c>
      <c r="E446" s="29">
        <v>556</v>
      </c>
      <c r="G446" s="29" t="s">
        <v>385</v>
      </c>
      <c r="H446" s="29">
        <v>1</v>
      </c>
      <c r="I446" s="29">
        <v>5.44</v>
      </c>
      <c r="J446" s="29">
        <v>3.0246400000000007</v>
      </c>
      <c r="K446" s="29">
        <v>3.0246400000000007</v>
      </c>
      <c r="L446" s="29" t="s">
        <v>383</v>
      </c>
      <c r="M446" s="29">
        <v>1</v>
      </c>
      <c r="N446" s="29">
        <v>0.55600000000000005</v>
      </c>
      <c r="P446" s="29">
        <v>3.0246400000000007</v>
      </c>
      <c r="Q446" s="29" t="s">
        <v>384</v>
      </c>
    </row>
    <row r="447" spans="1:17" x14ac:dyDescent="0.3">
      <c r="B447" s="29">
        <v>3</v>
      </c>
      <c r="C447" s="29" t="s">
        <v>1043</v>
      </c>
      <c r="D447" s="29">
        <v>6</v>
      </c>
      <c r="E447" s="29">
        <v>80</v>
      </c>
      <c r="F447" s="29">
        <v>80</v>
      </c>
      <c r="G447" s="29" t="s">
        <v>292</v>
      </c>
      <c r="H447" s="29">
        <v>1</v>
      </c>
      <c r="J447" s="29">
        <v>0.30143999999999999</v>
      </c>
      <c r="K447" s="29">
        <v>0.30143999999999999</v>
      </c>
      <c r="L447" s="29" t="s">
        <v>293</v>
      </c>
      <c r="M447" s="29">
        <v>1</v>
      </c>
      <c r="O447" s="29">
        <v>1</v>
      </c>
      <c r="P447" s="29">
        <v>0.30143999999999999</v>
      </c>
      <c r="Q447" s="29" t="s">
        <v>294</v>
      </c>
    </row>
    <row r="448" spans="1:17" x14ac:dyDescent="0.3">
      <c r="A448" s="29" t="s">
        <v>471</v>
      </c>
      <c r="B448" s="29">
        <v>1</v>
      </c>
      <c r="C448" s="29" t="s">
        <v>380</v>
      </c>
      <c r="D448" s="30" t="s">
        <v>1023</v>
      </c>
      <c r="E448" s="29">
        <v>259</v>
      </c>
      <c r="G448" s="29" t="s">
        <v>382</v>
      </c>
      <c r="H448" s="29">
        <v>1</v>
      </c>
      <c r="I448" s="29">
        <v>5.44</v>
      </c>
      <c r="J448" s="29">
        <v>1.4089600000000002</v>
      </c>
      <c r="K448" s="29">
        <v>1.4089600000000002</v>
      </c>
      <c r="L448" s="29" t="s">
        <v>383</v>
      </c>
      <c r="M448" s="29">
        <v>1</v>
      </c>
      <c r="N448" s="29">
        <v>0.25900000000000001</v>
      </c>
      <c r="P448" s="29">
        <v>1.4089600000000002</v>
      </c>
      <c r="Q448" s="29" t="s">
        <v>384</v>
      </c>
    </row>
    <row r="449" spans="1:17" x14ac:dyDescent="0.3">
      <c r="B449" s="29">
        <v>2</v>
      </c>
      <c r="C449" s="29" t="s">
        <v>380</v>
      </c>
      <c r="D449" s="30" t="s">
        <v>1023</v>
      </c>
      <c r="E449" s="29">
        <v>856</v>
      </c>
      <c r="G449" s="29" t="s">
        <v>385</v>
      </c>
      <c r="H449" s="29">
        <v>1</v>
      </c>
      <c r="I449" s="29">
        <v>5.44</v>
      </c>
      <c r="J449" s="29">
        <v>4.6566400000000003</v>
      </c>
      <c r="K449" s="29">
        <v>4.6566400000000003</v>
      </c>
      <c r="L449" s="29" t="s">
        <v>383</v>
      </c>
      <c r="M449" s="29">
        <v>1</v>
      </c>
      <c r="N449" s="29">
        <v>0.85599999999999998</v>
      </c>
      <c r="P449" s="29">
        <v>4.6566400000000003</v>
      </c>
      <c r="Q449" s="29" t="s">
        <v>384</v>
      </c>
    </row>
    <row r="450" spans="1:17" x14ac:dyDescent="0.3">
      <c r="B450" s="29">
        <v>3</v>
      </c>
      <c r="C450" s="29" t="s">
        <v>1043</v>
      </c>
      <c r="D450" s="29">
        <v>6</v>
      </c>
      <c r="E450" s="29">
        <v>80</v>
      </c>
      <c r="F450" s="29">
        <v>80</v>
      </c>
      <c r="G450" s="29" t="s">
        <v>292</v>
      </c>
      <c r="H450" s="29">
        <v>1</v>
      </c>
      <c r="J450" s="29">
        <v>0.30143999999999999</v>
      </c>
      <c r="K450" s="29">
        <v>0.30143999999999999</v>
      </c>
      <c r="L450" s="29" t="s">
        <v>293</v>
      </c>
      <c r="M450" s="29">
        <v>1</v>
      </c>
      <c r="O450" s="29">
        <v>1</v>
      </c>
      <c r="P450" s="29">
        <v>0.30143999999999999</v>
      </c>
      <c r="Q450" s="29" t="s">
        <v>294</v>
      </c>
    </row>
    <row r="451" spans="1:17" x14ac:dyDescent="0.3">
      <c r="A451" s="29" t="s">
        <v>472</v>
      </c>
      <c r="B451" s="29">
        <v>1</v>
      </c>
      <c r="C451" s="29" t="s">
        <v>380</v>
      </c>
      <c r="D451" s="30" t="s">
        <v>1024</v>
      </c>
      <c r="E451" s="29">
        <v>310</v>
      </c>
      <c r="G451" s="29" t="s">
        <v>382</v>
      </c>
      <c r="H451" s="29">
        <v>1</v>
      </c>
      <c r="I451" s="29">
        <v>11.29</v>
      </c>
      <c r="J451" s="29">
        <v>3.4998999999999998</v>
      </c>
      <c r="K451" s="29">
        <v>3.4998999999999998</v>
      </c>
      <c r="L451" s="29" t="s">
        <v>383</v>
      </c>
      <c r="M451" s="29">
        <v>1</v>
      </c>
      <c r="N451" s="29">
        <v>0.31</v>
      </c>
      <c r="P451" s="29">
        <v>3.4998999999999998</v>
      </c>
      <c r="Q451" s="29" t="s">
        <v>384</v>
      </c>
    </row>
    <row r="452" spans="1:17" x14ac:dyDescent="0.3">
      <c r="B452" s="29">
        <v>2</v>
      </c>
      <c r="C452" s="29" t="s">
        <v>380</v>
      </c>
      <c r="D452" s="30" t="s">
        <v>1024</v>
      </c>
      <c r="E452" s="29">
        <v>443</v>
      </c>
      <c r="G452" s="29" t="s">
        <v>385</v>
      </c>
      <c r="H452" s="29">
        <v>1</v>
      </c>
      <c r="I452" s="29">
        <v>11.29</v>
      </c>
      <c r="J452" s="29">
        <v>5.0014699999999994</v>
      </c>
      <c r="K452" s="29">
        <v>5.0014699999999994</v>
      </c>
      <c r="L452" s="29" t="s">
        <v>383</v>
      </c>
      <c r="M452" s="29">
        <v>1</v>
      </c>
      <c r="N452" s="29">
        <v>0.443</v>
      </c>
      <c r="P452" s="29">
        <v>5.0014699999999994</v>
      </c>
      <c r="Q452" s="29" t="s">
        <v>384</v>
      </c>
    </row>
    <row r="453" spans="1:17" x14ac:dyDescent="0.3">
      <c r="B453" s="29">
        <v>3</v>
      </c>
      <c r="C453" s="29" t="s">
        <v>1043</v>
      </c>
      <c r="D453" s="29">
        <v>6</v>
      </c>
      <c r="E453" s="29">
        <v>110</v>
      </c>
      <c r="F453" s="29">
        <v>110</v>
      </c>
      <c r="G453" s="29" t="s">
        <v>292</v>
      </c>
      <c r="H453" s="29">
        <v>1</v>
      </c>
      <c r="J453" s="29">
        <v>0.56991000000000003</v>
      </c>
      <c r="K453" s="29">
        <v>0.56991000000000003</v>
      </c>
      <c r="L453" s="29" t="s">
        <v>293</v>
      </c>
      <c r="M453" s="29">
        <v>1</v>
      </c>
      <c r="O453" s="29">
        <v>1</v>
      </c>
      <c r="P453" s="29">
        <v>0.56991000000000003</v>
      </c>
      <c r="Q453" s="29" t="s">
        <v>294</v>
      </c>
    </row>
    <row r="454" spans="1:17" x14ac:dyDescent="0.3">
      <c r="A454" s="29" t="s">
        <v>472</v>
      </c>
      <c r="B454" s="29">
        <v>1</v>
      </c>
      <c r="C454" s="29" t="s">
        <v>380</v>
      </c>
      <c r="D454" s="30" t="s">
        <v>1024</v>
      </c>
      <c r="E454" s="29">
        <v>310</v>
      </c>
      <c r="G454" s="29" t="s">
        <v>382</v>
      </c>
      <c r="H454" s="29">
        <v>1</v>
      </c>
      <c r="I454" s="29">
        <v>11.29</v>
      </c>
      <c r="J454" s="29">
        <v>3.4998999999999998</v>
      </c>
      <c r="K454" s="29">
        <v>3.4998999999999998</v>
      </c>
      <c r="L454" s="29" t="s">
        <v>383</v>
      </c>
      <c r="M454" s="29">
        <v>1</v>
      </c>
      <c r="N454" s="29">
        <v>0.31</v>
      </c>
      <c r="P454" s="29">
        <v>3.4998999999999998</v>
      </c>
      <c r="Q454" s="29" t="s">
        <v>384</v>
      </c>
    </row>
    <row r="455" spans="1:17" x14ac:dyDescent="0.3">
      <c r="B455" s="29">
        <v>2</v>
      </c>
      <c r="C455" s="29" t="s">
        <v>380</v>
      </c>
      <c r="D455" s="30" t="s">
        <v>1024</v>
      </c>
      <c r="E455" s="29">
        <v>443</v>
      </c>
      <c r="G455" s="29" t="s">
        <v>385</v>
      </c>
      <c r="H455" s="29">
        <v>1</v>
      </c>
      <c r="I455" s="29">
        <v>11.29</v>
      </c>
      <c r="J455" s="29">
        <v>5.0014699999999994</v>
      </c>
      <c r="K455" s="29">
        <v>5.0014699999999994</v>
      </c>
      <c r="L455" s="29" t="s">
        <v>383</v>
      </c>
      <c r="M455" s="29">
        <v>1</v>
      </c>
      <c r="N455" s="29">
        <v>0.443</v>
      </c>
      <c r="P455" s="29">
        <v>5.0014699999999994</v>
      </c>
      <c r="Q455" s="29" t="s">
        <v>384</v>
      </c>
    </row>
    <row r="456" spans="1:17" x14ac:dyDescent="0.3">
      <c r="B456" s="29">
        <v>3</v>
      </c>
      <c r="C456" s="29" t="s">
        <v>1043</v>
      </c>
      <c r="D456" s="29">
        <v>6</v>
      </c>
      <c r="E456" s="29">
        <v>110</v>
      </c>
      <c r="F456" s="29">
        <v>110</v>
      </c>
      <c r="G456" s="29" t="s">
        <v>292</v>
      </c>
      <c r="H456" s="29">
        <v>1</v>
      </c>
      <c r="J456" s="29">
        <v>0.56991000000000003</v>
      </c>
      <c r="K456" s="29">
        <v>0.56991000000000003</v>
      </c>
      <c r="L456" s="29" t="s">
        <v>293</v>
      </c>
      <c r="M456" s="29">
        <v>1</v>
      </c>
      <c r="O456" s="29">
        <v>1</v>
      </c>
      <c r="P456" s="29">
        <v>0.56991000000000003</v>
      </c>
      <c r="Q456" s="29" t="s">
        <v>294</v>
      </c>
    </row>
    <row r="457" spans="1:17" x14ac:dyDescent="0.3">
      <c r="A457" s="29" t="s">
        <v>473</v>
      </c>
      <c r="B457" s="29">
        <v>1</v>
      </c>
      <c r="C457" s="29" t="s">
        <v>380</v>
      </c>
      <c r="D457" s="30" t="s">
        <v>1024</v>
      </c>
      <c r="E457" s="29">
        <v>310</v>
      </c>
      <c r="G457" s="29" t="s">
        <v>382</v>
      </c>
      <c r="H457" s="29">
        <v>1</v>
      </c>
      <c r="I457" s="29">
        <v>11.29</v>
      </c>
      <c r="J457" s="29">
        <v>3.4998999999999998</v>
      </c>
      <c r="K457" s="29">
        <v>3.4998999999999998</v>
      </c>
      <c r="L457" s="29" t="s">
        <v>383</v>
      </c>
      <c r="M457" s="29">
        <v>1</v>
      </c>
      <c r="N457" s="29">
        <v>0.31</v>
      </c>
      <c r="P457" s="29">
        <v>3.4998999999999998</v>
      </c>
      <c r="Q457" s="29" t="s">
        <v>384</v>
      </c>
    </row>
    <row r="458" spans="1:17" x14ac:dyDescent="0.3">
      <c r="B458" s="29">
        <v>2</v>
      </c>
      <c r="C458" s="29" t="s">
        <v>380</v>
      </c>
      <c r="D458" s="30" t="s">
        <v>1024</v>
      </c>
      <c r="E458" s="29">
        <v>743</v>
      </c>
      <c r="G458" s="29" t="s">
        <v>385</v>
      </c>
      <c r="H458" s="29">
        <v>1</v>
      </c>
      <c r="I458" s="29">
        <v>11.29</v>
      </c>
      <c r="J458" s="29">
        <v>8.3884699999999999</v>
      </c>
      <c r="K458" s="29">
        <v>8.3884699999999999</v>
      </c>
      <c r="L458" s="29" t="s">
        <v>383</v>
      </c>
      <c r="M458" s="29">
        <v>1</v>
      </c>
      <c r="N458" s="29">
        <v>0.74299999999999999</v>
      </c>
      <c r="P458" s="29">
        <v>8.3884699999999999</v>
      </c>
      <c r="Q458" s="29" t="s">
        <v>384</v>
      </c>
    </row>
    <row r="459" spans="1:17" x14ac:dyDescent="0.3">
      <c r="B459" s="29">
        <v>3</v>
      </c>
      <c r="C459" s="29" t="s">
        <v>1043</v>
      </c>
      <c r="D459" s="29">
        <v>6</v>
      </c>
      <c r="E459" s="29">
        <v>110</v>
      </c>
      <c r="F459" s="29">
        <v>110</v>
      </c>
      <c r="G459" s="29" t="s">
        <v>292</v>
      </c>
      <c r="H459" s="29">
        <v>1</v>
      </c>
      <c r="J459" s="29">
        <v>0.56991000000000003</v>
      </c>
      <c r="K459" s="29">
        <v>0.56991000000000003</v>
      </c>
      <c r="L459" s="29" t="s">
        <v>293</v>
      </c>
      <c r="M459" s="29">
        <v>1</v>
      </c>
      <c r="O459" s="29">
        <v>1</v>
      </c>
      <c r="P459" s="29">
        <v>0.56991000000000003</v>
      </c>
      <c r="Q459" s="29" t="s">
        <v>294</v>
      </c>
    </row>
    <row r="460" spans="1:17" x14ac:dyDescent="0.3">
      <c r="A460" s="29" t="s">
        <v>474</v>
      </c>
      <c r="B460" s="29">
        <v>1</v>
      </c>
      <c r="C460" s="29" t="s">
        <v>380</v>
      </c>
      <c r="D460" s="30" t="s">
        <v>1024</v>
      </c>
      <c r="E460" s="29">
        <v>310</v>
      </c>
      <c r="G460" s="29" t="s">
        <v>382</v>
      </c>
      <c r="H460" s="29">
        <v>1</v>
      </c>
      <c r="I460" s="29">
        <v>11.29</v>
      </c>
      <c r="J460" s="29">
        <v>3.4998999999999998</v>
      </c>
      <c r="K460" s="29">
        <v>3.4998999999999998</v>
      </c>
      <c r="L460" s="29" t="s">
        <v>383</v>
      </c>
      <c r="M460" s="29">
        <v>1</v>
      </c>
      <c r="N460" s="29">
        <v>0.31</v>
      </c>
      <c r="P460" s="29">
        <v>3.4998999999999998</v>
      </c>
      <c r="Q460" s="29" t="s">
        <v>384</v>
      </c>
    </row>
    <row r="461" spans="1:17" x14ac:dyDescent="0.3">
      <c r="B461" s="29">
        <v>2</v>
      </c>
      <c r="C461" s="29" t="s">
        <v>380</v>
      </c>
      <c r="D461" s="30" t="s">
        <v>1024</v>
      </c>
      <c r="E461" s="29">
        <v>943</v>
      </c>
      <c r="G461" s="29" t="s">
        <v>385</v>
      </c>
      <c r="H461" s="29">
        <v>1</v>
      </c>
      <c r="I461" s="29">
        <v>11.29</v>
      </c>
      <c r="J461" s="29">
        <v>10.646469999999999</v>
      </c>
      <c r="K461" s="29">
        <v>10.646469999999999</v>
      </c>
      <c r="L461" s="29" t="s">
        <v>383</v>
      </c>
      <c r="M461" s="29">
        <v>1</v>
      </c>
      <c r="N461" s="29">
        <v>0.94299999999999995</v>
      </c>
      <c r="P461" s="29">
        <v>10.646469999999999</v>
      </c>
      <c r="Q461" s="29" t="s">
        <v>384</v>
      </c>
    </row>
    <row r="462" spans="1:17" x14ac:dyDescent="0.3">
      <c r="B462" s="29">
        <v>3</v>
      </c>
      <c r="C462" s="29" t="s">
        <v>1043</v>
      </c>
      <c r="D462" s="29">
        <v>6</v>
      </c>
      <c r="E462" s="29">
        <v>110</v>
      </c>
      <c r="F462" s="29">
        <v>110</v>
      </c>
      <c r="G462" s="29" t="s">
        <v>292</v>
      </c>
      <c r="H462" s="29">
        <v>1</v>
      </c>
      <c r="J462" s="29">
        <v>0.56991000000000003</v>
      </c>
      <c r="K462" s="29">
        <v>0.56991000000000003</v>
      </c>
      <c r="L462" s="29" t="s">
        <v>293</v>
      </c>
      <c r="M462" s="29">
        <v>1</v>
      </c>
      <c r="O462" s="29">
        <v>1</v>
      </c>
      <c r="P462" s="29">
        <v>0.56991000000000003</v>
      </c>
      <c r="Q462" s="29" t="s">
        <v>294</v>
      </c>
    </row>
    <row r="463" spans="1:17" x14ac:dyDescent="0.3">
      <c r="A463" s="29" t="s">
        <v>475</v>
      </c>
      <c r="B463" s="29">
        <v>1</v>
      </c>
      <c r="C463" s="29" t="s">
        <v>380</v>
      </c>
      <c r="D463" s="30" t="s">
        <v>1024</v>
      </c>
      <c r="E463" s="29">
        <v>310</v>
      </c>
      <c r="G463" s="29" t="s">
        <v>382</v>
      </c>
      <c r="H463" s="29">
        <v>1</v>
      </c>
      <c r="I463" s="29">
        <v>11.29</v>
      </c>
      <c r="J463" s="29">
        <v>3.4998999999999998</v>
      </c>
      <c r="K463" s="29">
        <v>3.4998999999999998</v>
      </c>
      <c r="L463" s="29" t="s">
        <v>383</v>
      </c>
      <c r="M463" s="29">
        <v>1</v>
      </c>
      <c r="N463" s="29">
        <v>0.31</v>
      </c>
      <c r="P463" s="29">
        <v>3.4998999999999998</v>
      </c>
      <c r="Q463" s="29" t="s">
        <v>384</v>
      </c>
    </row>
    <row r="464" spans="1:17" x14ac:dyDescent="0.3">
      <c r="B464" s="29">
        <v>2</v>
      </c>
      <c r="C464" s="29" t="s">
        <v>380</v>
      </c>
      <c r="D464" s="30" t="s">
        <v>1024</v>
      </c>
      <c r="E464" s="29">
        <v>1543</v>
      </c>
      <c r="G464" s="29" t="s">
        <v>385</v>
      </c>
      <c r="H464" s="29">
        <v>1</v>
      </c>
      <c r="I464" s="29">
        <v>11.29</v>
      </c>
      <c r="J464" s="29">
        <v>17.420469999999998</v>
      </c>
      <c r="K464" s="29">
        <v>17.420469999999998</v>
      </c>
      <c r="L464" s="29" t="s">
        <v>383</v>
      </c>
      <c r="M464" s="29">
        <v>1</v>
      </c>
      <c r="N464" s="29">
        <v>1.5429999999999999</v>
      </c>
      <c r="P464" s="29">
        <v>17.420469999999998</v>
      </c>
      <c r="Q464" s="29" t="s">
        <v>384</v>
      </c>
    </row>
    <row r="465" spans="1:17" x14ac:dyDescent="0.3">
      <c r="B465" s="29">
        <v>3</v>
      </c>
      <c r="C465" s="29" t="s">
        <v>1043</v>
      </c>
      <c r="D465" s="29">
        <v>6</v>
      </c>
      <c r="E465" s="29">
        <v>110</v>
      </c>
      <c r="F465" s="29">
        <v>110</v>
      </c>
      <c r="G465" s="29" t="s">
        <v>292</v>
      </c>
      <c r="H465" s="29">
        <v>1</v>
      </c>
      <c r="J465" s="29">
        <v>0.56991000000000003</v>
      </c>
      <c r="K465" s="29">
        <v>0.56991000000000003</v>
      </c>
      <c r="L465" s="29" t="s">
        <v>293</v>
      </c>
      <c r="M465" s="29">
        <v>1</v>
      </c>
      <c r="O465" s="29">
        <v>1</v>
      </c>
      <c r="P465" s="29">
        <v>0.56991000000000003</v>
      </c>
      <c r="Q465" s="29" t="s">
        <v>294</v>
      </c>
    </row>
    <row r="466" spans="1:17" x14ac:dyDescent="0.3">
      <c r="A466" s="29" t="s">
        <v>476</v>
      </c>
      <c r="B466" s="29">
        <v>1</v>
      </c>
      <c r="C466" s="29" t="s">
        <v>380</v>
      </c>
      <c r="D466" s="30" t="s">
        <v>1024</v>
      </c>
      <c r="E466" s="29">
        <v>310</v>
      </c>
      <c r="G466" s="29" t="s">
        <v>382</v>
      </c>
      <c r="H466" s="29">
        <v>1</v>
      </c>
      <c r="I466" s="29">
        <v>11.29</v>
      </c>
      <c r="J466" s="29">
        <v>3.4998999999999998</v>
      </c>
      <c r="K466" s="29">
        <v>3.4998999999999998</v>
      </c>
      <c r="L466" s="29" t="s">
        <v>383</v>
      </c>
      <c r="M466" s="29">
        <v>1</v>
      </c>
      <c r="N466" s="29">
        <v>0.31</v>
      </c>
      <c r="P466" s="29">
        <v>3.4998999999999998</v>
      </c>
      <c r="Q466" s="29" t="s">
        <v>384</v>
      </c>
    </row>
    <row r="467" spans="1:17" x14ac:dyDescent="0.3">
      <c r="B467" s="29">
        <v>2</v>
      </c>
      <c r="C467" s="29" t="s">
        <v>380</v>
      </c>
      <c r="D467" s="30" t="s">
        <v>1024</v>
      </c>
      <c r="E467" s="29">
        <v>1643</v>
      </c>
      <c r="G467" s="29" t="s">
        <v>385</v>
      </c>
      <c r="H467" s="29">
        <v>1</v>
      </c>
      <c r="I467" s="29">
        <v>11.29</v>
      </c>
      <c r="J467" s="29">
        <v>18.549469999999999</v>
      </c>
      <c r="K467" s="29">
        <v>18.549469999999999</v>
      </c>
      <c r="L467" s="29" t="s">
        <v>383</v>
      </c>
      <c r="M467" s="29">
        <v>1</v>
      </c>
      <c r="N467" s="29">
        <v>1.643</v>
      </c>
      <c r="P467" s="29">
        <v>18.549469999999999</v>
      </c>
      <c r="Q467" s="29" t="s">
        <v>384</v>
      </c>
    </row>
    <row r="468" spans="1:17" x14ac:dyDescent="0.3">
      <c r="B468" s="29">
        <v>3</v>
      </c>
      <c r="C468" s="29" t="s">
        <v>1043</v>
      </c>
      <c r="D468" s="29">
        <v>6</v>
      </c>
      <c r="E468" s="29">
        <v>110</v>
      </c>
      <c r="F468" s="29">
        <v>110</v>
      </c>
      <c r="G468" s="29" t="s">
        <v>292</v>
      </c>
      <c r="H468" s="29">
        <v>1</v>
      </c>
      <c r="J468" s="29">
        <v>0.56991000000000003</v>
      </c>
      <c r="K468" s="29">
        <v>0.56991000000000003</v>
      </c>
      <c r="L468" s="29" t="s">
        <v>293</v>
      </c>
      <c r="M468" s="29">
        <v>1</v>
      </c>
      <c r="O468" s="29">
        <v>1</v>
      </c>
      <c r="P468" s="29">
        <v>0.56991000000000003</v>
      </c>
      <c r="Q468" s="29" t="s">
        <v>294</v>
      </c>
    </row>
    <row r="469" spans="1:17" x14ac:dyDescent="0.3">
      <c r="A469" s="29" t="s">
        <v>477</v>
      </c>
      <c r="B469" s="29">
        <v>1</v>
      </c>
      <c r="C469" s="29" t="s">
        <v>380</v>
      </c>
      <c r="D469" s="30" t="s">
        <v>1025</v>
      </c>
      <c r="E469" s="29">
        <v>413</v>
      </c>
      <c r="G469" s="29" t="s">
        <v>382</v>
      </c>
      <c r="H469" s="29">
        <v>1</v>
      </c>
      <c r="I469" s="29">
        <v>16.079999999999998</v>
      </c>
      <c r="J469" s="29">
        <v>6.6410399999999994</v>
      </c>
      <c r="K469" s="29">
        <v>6.6410399999999994</v>
      </c>
      <c r="L469" s="29" t="s">
        <v>383</v>
      </c>
      <c r="M469" s="29">
        <v>1</v>
      </c>
      <c r="N469" s="29">
        <v>0.41299999999999998</v>
      </c>
      <c r="P469" s="29">
        <v>6.6410399999999994</v>
      </c>
      <c r="Q469" s="29" t="s">
        <v>384</v>
      </c>
    </row>
    <row r="470" spans="1:17" x14ac:dyDescent="0.3">
      <c r="B470" s="29">
        <v>2</v>
      </c>
      <c r="C470" s="29" t="s">
        <v>380</v>
      </c>
      <c r="D470" s="30" t="s">
        <v>1025</v>
      </c>
      <c r="E470" s="29">
        <v>416</v>
      </c>
      <c r="G470" s="29" t="s">
        <v>385</v>
      </c>
      <c r="H470" s="29">
        <v>1</v>
      </c>
      <c r="I470" s="29">
        <v>16.079999999999998</v>
      </c>
      <c r="J470" s="29">
        <v>6.6892799999999992</v>
      </c>
      <c r="K470" s="29">
        <v>6.6892799999999992</v>
      </c>
      <c r="L470" s="29" t="s">
        <v>383</v>
      </c>
      <c r="M470" s="29">
        <v>1</v>
      </c>
      <c r="N470" s="29">
        <v>0.41599999999999998</v>
      </c>
      <c r="P470" s="29">
        <v>6.6892799999999992</v>
      </c>
      <c r="Q470" s="29" t="s">
        <v>384</v>
      </c>
    </row>
    <row r="471" spans="1:17" x14ac:dyDescent="0.3">
      <c r="B471" s="29">
        <v>3</v>
      </c>
      <c r="C471" s="29" t="s">
        <v>1043</v>
      </c>
      <c r="D471" s="29">
        <v>6</v>
      </c>
      <c r="E471" s="29">
        <v>140</v>
      </c>
      <c r="F471" s="29">
        <v>140</v>
      </c>
      <c r="G471" s="29" t="s">
        <v>292</v>
      </c>
      <c r="H471" s="29">
        <v>1</v>
      </c>
      <c r="J471" s="29">
        <v>0.92315999999999998</v>
      </c>
      <c r="K471" s="29">
        <v>0.92315999999999998</v>
      </c>
      <c r="L471" s="29" t="s">
        <v>293</v>
      </c>
      <c r="M471" s="29">
        <v>1</v>
      </c>
      <c r="O471" s="29">
        <v>1</v>
      </c>
      <c r="P471" s="29">
        <v>0.92315999999999998</v>
      </c>
      <c r="Q471" s="29" t="s">
        <v>294</v>
      </c>
    </row>
    <row r="472" spans="1:17" x14ac:dyDescent="0.3">
      <c r="A472" s="29" t="s">
        <v>478</v>
      </c>
      <c r="B472" s="29">
        <v>1</v>
      </c>
      <c r="C472" s="29" t="s">
        <v>380</v>
      </c>
      <c r="D472" s="30" t="s">
        <v>1025</v>
      </c>
      <c r="E472" s="29">
        <v>413</v>
      </c>
      <c r="G472" s="29" t="s">
        <v>382</v>
      </c>
      <c r="H472" s="29">
        <v>1</v>
      </c>
      <c r="I472" s="29">
        <v>16.079999999999998</v>
      </c>
      <c r="J472" s="29">
        <v>6.6410399999999994</v>
      </c>
      <c r="K472" s="29">
        <v>6.6410399999999994</v>
      </c>
      <c r="L472" s="29" t="s">
        <v>383</v>
      </c>
      <c r="M472" s="29">
        <v>1</v>
      </c>
      <c r="N472" s="29">
        <v>0.41299999999999998</v>
      </c>
      <c r="P472" s="29">
        <v>6.6410399999999994</v>
      </c>
      <c r="Q472" s="29" t="s">
        <v>384</v>
      </c>
    </row>
    <row r="473" spans="1:17" x14ac:dyDescent="0.3">
      <c r="B473" s="29">
        <v>2</v>
      </c>
      <c r="C473" s="29" t="s">
        <v>380</v>
      </c>
      <c r="D473" s="30" t="s">
        <v>1025</v>
      </c>
      <c r="E473" s="29">
        <v>616</v>
      </c>
      <c r="G473" s="29" t="s">
        <v>385</v>
      </c>
      <c r="H473" s="29">
        <v>1</v>
      </c>
      <c r="I473" s="29">
        <v>16.079999999999998</v>
      </c>
      <c r="J473" s="29">
        <v>9.9052799999999994</v>
      </c>
      <c r="K473" s="29">
        <v>9.9052799999999994</v>
      </c>
      <c r="L473" s="29" t="s">
        <v>383</v>
      </c>
      <c r="M473" s="29">
        <v>1</v>
      </c>
      <c r="N473" s="29">
        <v>0.61599999999999999</v>
      </c>
      <c r="P473" s="29">
        <v>9.9052799999999994</v>
      </c>
      <c r="Q473" s="29" t="s">
        <v>384</v>
      </c>
    </row>
    <row r="474" spans="1:17" x14ac:dyDescent="0.3">
      <c r="B474" s="29">
        <v>3</v>
      </c>
      <c r="C474" s="29" t="s">
        <v>1043</v>
      </c>
      <c r="D474" s="29">
        <v>6</v>
      </c>
      <c r="E474" s="29">
        <v>140</v>
      </c>
      <c r="F474" s="29">
        <v>140</v>
      </c>
      <c r="G474" s="29" t="s">
        <v>292</v>
      </c>
      <c r="H474" s="29">
        <v>1</v>
      </c>
      <c r="J474" s="29">
        <v>0.92315999999999998</v>
      </c>
      <c r="K474" s="29">
        <v>0.92315999999999998</v>
      </c>
      <c r="L474" s="29" t="s">
        <v>293</v>
      </c>
      <c r="M474" s="29">
        <v>1</v>
      </c>
      <c r="O474" s="29">
        <v>1</v>
      </c>
      <c r="P474" s="29">
        <v>0.92315999999999998</v>
      </c>
      <c r="Q474" s="29" t="s">
        <v>294</v>
      </c>
    </row>
    <row r="475" spans="1:17" x14ac:dyDescent="0.3">
      <c r="A475" s="29" t="s">
        <v>479</v>
      </c>
      <c r="B475" s="29">
        <v>1</v>
      </c>
      <c r="C475" s="29" t="s">
        <v>380</v>
      </c>
      <c r="D475" s="30" t="s">
        <v>1025</v>
      </c>
      <c r="E475" s="29">
        <v>413</v>
      </c>
      <c r="G475" s="29" t="s">
        <v>382</v>
      </c>
      <c r="H475" s="29">
        <v>1</v>
      </c>
      <c r="I475" s="29">
        <v>16.079999999999998</v>
      </c>
      <c r="J475" s="29">
        <v>6.6410399999999994</v>
      </c>
      <c r="K475" s="29">
        <v>6.6410399999999994</v>
      </c>
      <c r="L475" s="29" t="s">
        <v>383</v>
      </c>
      <c r="M475" s="29">
        <v>1</v>
      </c>
      <c r="N475" s="29">
        <v>0.41299999999999998</v>
      </c>
      <c r="P475" s="29">
        <v>6.6410399999999994</v>
      </c>
      <c r="Q475" s="29" t="s">
        <v>384</v>
      </c>
    </row>
    <row r="476" spans="1:17" x14ac:dyDescent="0.3">
      <c r="B476" s="29">
        <v>2</v>
      </c>
      <c r="C476" s="29" t="s">
        <v>380</v>
      </c>
      <c r="D476" s="30" t="s">
        <v>1025</v>
      </c>
      <c r="E476" s="29">
        <v>716</v>
      </c>
      <c r="G476" s="29" t="s">
        <v>385</v>
      </c>
      <c r="H476" s="29">
        <v>1</v>
      </c>
      <c r="I476" s="29">
        <v>16.079999999999998</v>
      </c>
      <c r="J476" s="29">
        <v>11.513279999999998</v>
      </c>
      <c r="K476" s="29">
        <v>11.513279999999998</v>
      </c>
      <c r="L476" s="29" t="s">
        <v>383</v>
      </c>
      <c r="M476" s="29">
        <v>1</v>
      </c>
      <c r="N476" s="29">
        <v>0.71599999999999997</v>
      </c>
      <c r="P476" s="29">
        <v>11.513279999999998</v>
      </c>
      <c r="Q476" s="29" t="s">
        <v>384</v>
      </c>
    </row>
    <row r="477" spans="1:17" x14ac:dyDescent="0.3">
      <c r="B477" s="29">
        <v>3</v>
      </c>
      <c r="C477" s="29" t="s">
        <v>1043</v>
      </c>
      <c r="D477" s="29">
        <v>6</v>
      </c>
      <c r="E477" s="29">
        <v>140</v>
      </c>
      <c r="F477" s="29">
        <v>140</v>
      </c>
      <c r="G477" s="29" t="s">
        <v>292</v>
      </c>
      <c r="H477" s="29">
        <v>1</v>
      </c>
      <c r="J477" s="29">
        <v>0.92315999999999998</v>
      </c>
      <c r="K477" s="29">
        <v>0.92315999999999998</v>
      </c>
      <c r="L477" s="29" t="s">
        <v>293</v>
      </c>
      <c r="M477" s="29">
        <v>1</v>
      </c>
      <c r="O477" s="29">
        <v>1</v>
      </c>
      <c r="P477" s="29">
        <v>0.92315999999999998</v>
      </c>
      <c r="Q477" s="29" t="s">
        <v>294</v>
      </c>
    </row>
    <row r="478" spans="1:17" x14ac:dyDescent="0.3">
      <c r="A478" s="29" t="s">
        <v>479</v>
      </c>
      <c r="B478" s="29">
        <v>1</v>
      </c>
      <c r="C478" s="29" t="s">
        <v>380</v>
      </c>
      <c r="D478" s="30" t="s">
        <v>1025</v>
      </c>
      <c r="E478" s="29">
        <v>413</v>
      </c>
      <c r="G478" s="29" t="s">
        <v>382</v>
      </c>
      <c r="H478" s="29">
        <v>1</v>
      </c>
      <c r="I478" s="29">
        <v>16.079999999999998</v>
      </c>
      <c r="J478" s="29">
        <v>6.6410399999999994</v>
      </c>
      <c r="K478" s="29">
        <v>6.6410399999999994</v>
      </c>
      <c r="L478" s="29" t="s">
        <v>383</v>
      </c>
      <c r="M478" s="29">
        <v>1</v>
      </c>
      <c r="N478" s="29">
        <v>0.41299999999999998</v>
      </c>
      <c r="P478" s="29">
        <v>6.6410399999999994</v>
      </c>
      <c r="Q478" s="29" t="s">
        <v>384</v>
      </c>
    </row>
    <row r="479" spans="1:17" x14ac:dyDescent="0.3">
      <c r="B479" s="29">
        <v>2</v>
      </c>
      <c r="C479" s="29" t="s">
        <v>380</v>
      </c>
      <c r="D479" s="30" t="s">
        <v>1025</v>
      </c>
      <c r="E479" s="29">
        <v>716</v>
      </c>
      <c r="G479" s="29" t="s">
        <v>385</v>
      </c>
      <c r="H479" s="29">
        <v>1</v>
      </c>
      <c r="I479" s="29">
        <v>16.079999999999998</v>
      </c>
      <c r="J479" s="29">
        <v>11.513279999999998</v>
      </c>
      <c r="K479" s="29">
        <v>11.513279999999998</v>
      </c>
      <c r="L479" s="29" t="s">
        <v>383</v>
      </c>
      <c r="M479" s="29">
        <v>1</v>
      </c>
      <c r="N479" s="29">
        <v>0.71599999999999997</v>
      </c>
      <c r="P479" s="29">
        <v>11.513279999999998</v>
      </c>
      <c r="Q479" s="29" t="s">
        <v>384</v>
      </c>
    </row>
    <row r="480" spans="1:17" x14ac:dyDescent="0.3">
      <c r="B480" s="29">
        <v>3</v>
      </c>
      <c r="C480" s="29" t="s">
        <v>1043</v>
      </c>
      <c r="D480" s="29">
        <v>6</v>
      </c>
      <c r="E480" s="29">
        <v>140</v>
      </c>
      <c r="F480" s="29">
        <v>140</v>
      </c>
      <c r="G480" s="29" t="s">
        <v>292</v>
      </c>
      <c r="H480" s="29">
        <v>1</v>
      </c>
      <c r="J480" s="29">
        <v>0.92315999999999998</v>
      </c>
      <c r="K480" s="29">
        <v>0.92315999999999998</v>
      </c>
      <c r="L480" s="29" t="s">
        <v>293</v>
      </c>
      <c r="M480" s="29">
        <v>1</v>
      </c>
      <c r="O480" s="29">
        <v>1</v>
      </c>
      <c r="P480" s="29">
        <v>0.92315999999999998</v>
      </c>
      <c r="Q480" s="29" t="s">
        <v>294</v>
      </c>
    </row>
    <row r="481" spans="1:17" x14ac:dyDescent="0.3">
      <c r="A481" s="29" t="s">
        <v>480</v>
      </c>
      <c r="B481" s="29">
        <v>1</v>
      </c>
      <c r="C481" s="29" t="s">
        <v>380</v>
      </c>
      <c r="D481" s="30" t="s">
        <v>1027</v>
      </c>
      <c r="E481" s="29">
        <v>514</v>
      </c>
      <c r="G481" s="29" t="s">
        <v>382</v>
      </c>
      <c r="H481" s="29">
        <v>1</v>
      </c>
      <c r="I481" s="29">
        <v>28.26</v>
      </c>
      <c r="J481" s="29">
        <v>14.525640000000001</v>
      </c>
      <c r="K481" s="29">
        <v>14.525640000000001</v>
      </c>
      <c r="L481" s="29" t="s">
        <v>383</v>
      </c>
      <c r="M481" s="29">
        <v>1</v>
      </c>
      <c r="N481" s="29">
        <v>0.51400000000000001</v>
      </c>
      <c r="P481" s="29">
        <v>14.525640000000001</v>
      </c>
      <c r="Q481" s="29" t="s">
        <v>384</v>
      </c>
    </row>
    <row r="482" spans="1:17" x14ac:dyDescent="0.3">
      <c r="B482" s="29">
        <v>2</v>
      </c>
      <c r="C482" s="29" t="s">
        <v>380</v>
      </c>
      <c r="D482" s="30" t="s">
        <v>1027</v>
      </c>
      <c r="E482" s="29">
        <v>490</v>
      </c>
      <c r="G482" s="29" t="s">
        <v>385</v>
      </c>
      <c r="H482" s="29">
        <v>1</v>
      </c>
      <c r="I482" s="29">
        <v>28.26</v>
      </c>
      <c r="J482" s="29">
        <v>13.8474</v>
      </c>
      <c r="K482" s="29">
        <v>13.8474</v>
      </c>
      <c r="L482" s="29" t="s">
        <v>383</v>
      </c>
      <c r="M482" s="29">
        <v>1</v>
      </c>
      <c r="N482" s="29">
        <v>0.49</v>
      </c>
      <c r="P482" s="29">
        <v>13.8474</v>
      </c>
      <c r="Q482" s="29" t="s">
        <v>384</v>
      </c>
    </row>
    <row r="483" spans="1:17" x14ac:dyDescent="0.3">
      <c r="B483" s="29">
        <v>3</v>
      </c>
      <c r="C483" s="29" t="s">
        <v>1043</v>
      </c>
      <c r="D483" s="29">
        <v>6</v>
      </c>
      <c r="E483" s="29">
        <v>190</v>
      </c>
      <c r="F483" s="29">
        <v>190</v>
      </c>
      <c r="G483" s="29" t="s">
        <v>292</v>
      </c>
      <c r="H483" s="29">
        <v>1</v>
      </c>
      <c r="J483" s="29">
        <v>1.70031</v>
      </c>
      <c r="K483" s="29">
        <v>1.70031</v>
      </c>
      <c r="L483" s="29" t="s">
        <v>293</v>
      </c>
      <c r="M483" s="29">
        <v>1</v>
      </c>
      <c r="O483" s="29">
        <v>1</v>
      </c>
      <c r="P483" s="29">
        <v>1.70031</v>
      </c>
      <c r="Q483" s="29" t="s">
        <v>294</v>
      </c>
    </row>
    <row r="484" spans="1:17" x14ac:dyDescent="0.3">
      <c r="A484" s="29" t="s">
        <v>481</v>
      </c>
      <c r="B484" s="29">
        <v>1</v>
      </c>
      <c r="C484" s="29" t="s">
        <v>380</v>
      </c>
      <c r="D484" s="30" t="s">
        <v>1027</v>
      </c>
      <c r="E484" s="29">
        <v>514</v>
      </c>
      <c r="G484" s="29" t="s">
        <v>382</v>
      </c>
      <c r="H484" s="29">
        <v>1</v>
      </c>
      <c r="I484" s="29">
        <v>28.26</v>
      </c>
      <c r="J484" s="29">
        <v>14.525640000000001</v>
      </c>
      <c r="K484" s="29">
        <v>14.525640000000001</v>
      </c>
      <c r="L484" s="29" t="s">
        <v>383</v>
      </c>
      <c r="M484" s="29">
        <v>1</v>
      </c>
      <c r="N484" s="29">
        <v>0.51400000000000001</v>
      </c>
      <c r="P484" s="29">
        <v>14.525640000000001</v>
      </c>
      <c r="Q484" s="29" t="s">
        <v>384</v>
      </c>
    </row>
    <row r="485" spans="1:17" x14ac:dyDescent="0.3">
      <c r="B485" s="29">
        <v>2</v>
      </c>
      <c r="C485" s="29" t="s">
        <v>380</v>
      </c>
      <c r="D485" s="30" t="s">
        <v>1027</v>
      </c>
      <c r="E485" s="29">
        <v>590</v>
      </c>
      <c r="G485" s="29" t="s">
        <v>385</v>
      </c>
      <c r="H485" s="29">
        <v>1</v>
      </c>
      <c r="I485" s="29">
        <v>28.26</v>
      </c>
      <c r="J485" s="29">
        <v>16.673400000000001</v>
      </c>
      <c r="K485" s="29">
        <v>16.673400000000001</v>
      </c>
      <c r="L485" s="29" t="s">
        <v>383</v>
      </c>
      <c r="M485" s="29">
        <v>1</v>
      </c>
      <c r="N485" s="29">
        <v>0.59</v>
      </c>
      <c r="P485" s="29">
        <v>16.673400000000001</v>
      </c>
      <c r="Q485" s="29" t="s">
        <v>384</v>
      </c>
    </row>
    <row r="486" spans="1:17" x14ac:dyDescent="0.3">
      <c r="B486" s="29">
        <v>3</v>
      </c>
      <c r="C486" s="29" t="s">
        <v>1043</v>
      </c>
      <c r="D486" s="29">
        <v>6</v>
      </c>
      <c r="E486" s="29">
        <v>190</v>
      </c>
      <c r="F486" s="29">
        <v>190</v>
      </c>
      <c r="G486" s="29" t="s">
        <v>292</v>
      </c>
      <c r="H486" s="29">
        <v>1</v>
      </c>
      <c r="J486" s="29">
        <v>1.70031</v>
      </c>
      <c r="K486" s="29">
        <v>1.70031</v>
      </c>
      <c r="L486" s="29" t="s">
        <v>293</v>
      </c>
      <c r="M486" s="29">
        <v>1</v>
      </c>
      <c r="O486" s="29">
        <v>1</v>
      </c>
      <c r="P486" s="29">
        <v>1.70031</v>
      </c>
      <c r="Q486" s="29" t="s">
        <v>294</v>
      </c>
    </row>
    <row r="487" spans="1:17" x14ac:dyDescent="0.3">
      <c r="A487" s="29" t="s">
        <v>482</v>
      </c>
      <c r="B487" s="29">
        <v>1</v>
      </c>
      <c r="C487" s="29" t="s">
        <v>380</v>
      </c>
      <c r="D487" s="30" t="s">
        <v>1027</v>
      </c>
      <c r="E487" s="29">
        <v>514</v>
      </c>
      <c r="G487" s="29" t="s">
        <v>382</v>
      </c>
      <c r="H487" s="29">
        <v>1</v>
      </c>
      <c r="I487" s="29">
        <v>28.26</v>
      </c>
      <c r="J487" s="29">
        <v>14.525640000000001</v>
      </c>
      <c r="K487" s="29">
        <v>14.525640000000001</v>
      </c>
      <c r="L487" s="29" t="s">
        <v>383</v>
      </c>
      <c r="M487" s="29">
        <v>1</v>
      </c>
      <c r="N487" s="29">
        <v>0.51400000000000001</v>
      </c>
      <c r="P487" s="29">
        <v>14.525640000000001</v>
      </c>
      <c r="Q487" s="29" t="s">
        <v>384</v>
      </c>
    </row>
    <row r="488" spans="1:17" x14ac:dyDescent="0.3">
      <c r="B488" s="29">
        <v>2</v>
      </c>
      <c r="C488" s="29" t="s">
        <v>380</v>
      </c>
      <c r="D488" s="30" t="s">
        <v>1027</v>
      </c>
      <c r="E488" s="29">
        <v>690</v>
      </c>
      <c r="G488" s="29" t="s">
        <v>385</v>
      </c>
      <c r="H488" s="29">
        <v>1</v>
      </c>
      <c r="I488" s="29">
        <v>28.26</v>
      </c>
      <c r="J488" s="29">
        <v>19.499399999999998</v>
      </c>
      <c r="K488" s="29">
        <v>19.499399999999998</v>
      </c>
      <c r="L488" s="29" t="s">
        <v>383</v>
      </c>
      <c r="M488" s="29">
        <v>1</v>
      </c>
      <c r="N488" s="29">
        <v>0.69</v>
      </c>
      <c r="P488" s="29">
        <v>19.499399999999998</v>
      </c>
      <c r="Q488" s="29" t="s">
        <v>384</v>
      </c>
    </row>
    <row r="489" spans="1:17" x14ac:dyDescent="0.3">
      <c r="B489" s="29">
        <v>3</v>
      </c>
      <c r="C489" s="29" t="s">
        <v>1043</v>
      </c>
      <c r="D489" s="29">
        <v>6</v>
      </c>
      <c r="E489" s="29">
        <v>190</v>
      </c>
      <c r="F489" s="29">
        <v>190</v>
      </c>
      <c r="G489" s="29" t="s">
        <v>292</v>
      </c>
      <c r="H489" s="29">
        <v>1</v>
      </c>
      <c r="J489" s="29">
        <v>1.70031</v>
      </c>
      <c r="K489" s="29">
        <v>1.70031</v>
      </c>
      <c r="L489" s="29" t="s">
        <v>293</v>
      </c>
      <c r="M489" s="29">
        <v>1</v>
      </c>
      <c r="O489" s="29">
        <v>1</v>
      </c>
      <c r="P489" s="29">
        <v>1.70031</v>
      </c>
      <c r="Q489" s="29" t="s">
        <v>294</v>
      </c>
    </row>
    <row r="490" spans="1:17" x14ac:dyDescent="0.3">
      <c r="A490" s="29" t="s">
        <v>483</v>
      </c>
      <c r="B490" s="29">
        <v>1</v>
      </c>
      <c r="C490" s="29" t="s">
        <v>380</v>
      </c>
      <c r="D490" s="30" t="s">
        <v>1027</v>
      </c>
      <c r="E490" s="29">
        <v>514</v>
      </c>
      <c r="G490" s="29" t="s">
        <v>382</v>
      </c>
      <c r="H490" s="29">
        <v>1</v>
      </c>
      <c r="I490" s="29">
        <v>28.26</v>
      </c>
      <c r="J490" s="29">
        <v>14.525640000000001</v>
      </c>
      <c r="K490" s="29">
        <v>14.525640000000001</v>
      </c>
      <c r="L490" s="29" t="s">
        <v>383</v>
      </c>
      <c r="M490" s="29">
        <v>1</v>
      </c>
      <c r="N490" s="29">
        <v>0.51400000000000001</v>
      </c>
      <c r="P490" s="29">
        <v>14.525640000000001</v>
      </c>
      <c r="Q490" s="29" t="s">
        <v>384</v>
      </c>
    </row>
    <row r="491" spans="1:17" x14ac:dyDescent="0.3">
      <c r="B491" s="29">
        <v>2</v>
      </c>
      <c r="C491" s="29" t="s">
        <v>380</v>
      </c>
      <c r="D491" s="30" t="s">
        <v>1027</v>
      </c>
      <c r="E491" s="29">
        <v>1190</v>
      </c>
      <c r="G491" s="29" t="s">
        <v>385</v>
      </c>
      <c r="H491" s="29">
        <v>1</v>
      </c>
      <c r="I491" s="29">
        <v>28.26</v>
      </c>
      <c r="J491" s="29">
        <v>33.629399999999997</v>
      </c>
      <c r="K491" s="29">
        <v>33.629399999999997</v>
      </c>
      <c r="L491" s="29" t="s">
        <v>383</v>
      </c>
      <c r="M491" s="29">
        <v>1</v>
      </c>
      <c r="N491" s="29">
        <v>1.19</v>
      </c>
      <c r="P491" s="29">
        <v>33.629399999999997</v>
      </c>
      <c r="Q491" s="29" t="s">
        <v>384</v>
      </c>
    </row>
    <row r="492" spans="1:17" x14ac:dyDescent="0.3">
      <c r="B492" s="29">
        <v>3</v>
      </c>
      <c r="C492" s="29" t="s">
        <v>1043</v>
      </c>
      <c r="D492" s="29">
        <v>6</v>
      </c>
      <c r="E492" s="29">
        <v>190</v>
      </c>
      <c r="F492" s="29">
        <v>190</v>
      </c>
      <c r="G492" s="29" t="s">
        <v>292</v>
      </c>
      <c r="H492" s="29">
        <v>1</v>
      </c>
      <c r="J492" s="29">
        <v>1.70031</v>
      </c>
      <c r="K492" s="29">
        <v>1.70031</v>
      </c>
      <c r="L492" s="29" t="s">
        <v>293</v>
      </c>
      <c r="M492" s="29">
        <v>1</v>
      </c>
      <c r="O492" s="29">
        <v>1</v>
      </c>
      <c r="P492" s="29">
        <v>1.70031</v>
      </c>
      <c r="Q492" s="29" t="s">
        <v>294</v>
      </c>
    </row>
    <row r="493" spans="1:17" x14ac:dyDescent="0.3">
      <c r="A493" s="29" t="s">
        <v>484</v>
      </c>
      <c r="B493" s="29">
        <v>1</v>
      </c>
      <c r="C493" s="29" t="s">
        <v>1029</v>
      </c>
      <c r="D493" s="29" t="s">
        <v>1030</v>
      </c>
      <c r="E493" s="29">
        <v>800</v>
      </c>
      <c r="G493" s="29" t="s">
        <v>292</v>
      </c>
      <c r="H493" s="29">
        <v>1</v>
      </c>
      <c r="I493" s="29">
        <v>13.4</v>
      </c>
      <c r="J493" s="29">
        <v>10.72</v>
      </c>
      <c r="K493" s="29">
        <v>10.72</v>
      </c>
      <c r="L493" s="29" t="s">
        <v>383</v>
      </c>
      <c r="M493" s="29">
        <v>1</v>
      </c>
      <c r="N493" s="29">
        <v>0.8</v>
      </c>
      <c r="O493" s="29">
        <v>1</v>
      </c>
      <c r="P493" s="29">
        <v>10.72</v>
      </c>
      <c r="Q493" s="29" t="s">
        <v>384</v>
      </c>
    </row>
    <row r="494" spans="1:17" x14ac:dyDescent="0.3">
      <c r="A494" s="29" t="s">
        <v>485</v>
      </c>
      <c r="B494" s="29">
        <v>1</v>
      </c>
      <c r="C494" s="29" t="s">
        <v>387</v>
      </c>
      <c r="D494" s="29" t="s">
        <v>1044</v>
      </c>
      <c r="E494" s="29">
        <v>400</v>
      </c>
      <c r="G494" s="29" t="s">
        <v>292</v>
      </c>
      <c r="H494" s="29">
        <v>1</v>
      </c>
      <c r="I494" s="29">
        <v>4.43</v>
      </c>
      <c r="J494" s="29">
        <v>1.772</v>
      </c>
      <c r="K494" s="29">
        <v>1.772</v>
      </c>
      <c r="L494" s="29" t="s">
        <v>383</v>
      </c>
      <c r="M494" s="29">
        <v>1</v>
      </c>
      <c r="N494" s="29">
        <v>0.4</v>
      </c>
      <c r="O494" s="29">
        <v>1</v>
      </c>
      <c r="P494" s="29">
        <v>1.772</v>
      </c>
      <c r="Q494" s="29" t="s">
        <v>384</v>
      </c>
    </row>
    <row r="495" spans="1:17" x14ac:dyDescent="0.3">
      <c r="A495" s="29" t="s">
        <v>485</v>
      </c>
      <c r="B495" s="29">
        <v>1</v>
      </c>
      <c r="C495" s="29" t="s">
        <v>387</v>
      </c>
      <c r="D495" s="29" t="s">
        <v>1044</v>
      </c>
      <c r="E495" s="29">
        <v>400</v>
      </c>
      <c r="G495" s="29" t="s">
        <v>292</v>
      </c>
      <c r="H495" s="29">
        <v>1</v>
      </c>
      <c r="I495" s="29">
        <v>4.43</v>
      </c>
      <c r="J495" s="29">
        <v>1.772</v>
      </c>
      <c r="K495" s="29">
        <v>1.772</v>
      </c>
      <c r="L495" s="29" t="s">
        <v>383</v>
      </c>
      <c r="M495" s="29">
        <v>1</v>
      </c>
      <c r="N495" s="29">
        <v>0.4</v>
      </c>
      <c r="O495" s="29">
        <v>1</v>
      </c>
      <c r="P495" s="29">
        <v>1.772</v>
      </c>
      <c r="Q495" s="29" t="s">
        <v>384</v>
      </c>
    </row>
    <row r="496" spans="1:17" x14ac:dyDescent="0.3">
      <c r="A496" s="29" t="s">
        <v>485</v>
      </c>
      <c r="B496" s="29">
        <v>1</v>
      </c>
      <c r="C496" s="29" t="s">
        <v>387</v>
      </c>
      <c r="D496" s="29" t="s">
        <v>1044</v>
      </c>
      <c r="E496" s="29">
        <v>400</v>
      </c>
      <c r="G496" s="29" t="s">
        <v>292</v>
      </c>
      <c r="H496" s="29">
        <v>1</v>
      </c>
      <c r="I496" s="29">
        <v>4.43</v>
      </c>
      <c r="J496" s="29">
        <v>1.772</v>
      </c>
      <c r="K496" s="29">
        <v>1.772</v>
      </c>
      <c r="L496" s="29" t="s">
        <v>383</v>
      </c>
      <c r="M496" s="29">
        <v>1</v>
      </c>
      <c r="N496" s="29">
        <v>0.4</v>
      </c>
      <c r="O496" s="29">
        <v>1</v>
      </c>
      <c r="P496" s="29">
        <v>1.772</v>
      </c>
      <c r="Q496" s="29" t="s">
        <v>384</v>
      </c>
    </row>
    <row r="497" spans="1:17" x14ac:dyDescent="0.3">
      <c r="A497" s="29" t="s">
        <v>485</v>
      </c>
      <c r="B497" s="29">
        <v>1</v>
      </c>
      <c r="C497" s="29" t="s">
        <v>387</v>
      </c>
      <c r="D497" s="29" t="s">
        <v>1044</v>
      </c>
      <c r="E497" s="29">
        <v>400</v>
      </c>
      <c r="G497" s="29" t="s">
        <v>292</v>
      </c>
      <c r="H497" s="29">
        <v>1</v>
      </c>
      <c r="I497" s="29">
        <v>4.43</v>
      </c>
      <c r="J497" s="29">
        <v>1.772</v>
      </c>
      <c r="K497" s="29">
        <v>1.772</v>
      </c>
      <c r="L497" s="29" t="s">
        <v>383</v>
      </c>
      <c r="M497" s="29">
        <v>1</v>
      </c>
      <c r="N497" s="29">
        <v>0.4</v>
      </c>
      <c r="O497" s="29">
        <v>1</v>
      </c>
      <c r="P497" s="29">
        <v>1.772</v>
      </c>
      <c r="Q497" s="29" t="s">
        <v>384</v>
      </c>
    </row>
    <row r="498" spans="1:17" x14ac:dyDescent="0.3">
      <c r="A498" s="29" t="s">
        <v>486</v>
      </c>
      <c r="B498" s="29">
        <v>1</v>
      </c>
      <c r="C498" s="29" t="s">
        <v>387</v>
      </c>
      <c r="D498" s="29" t="s">
        <v>1044</v>
      </c>
      <c r="E498" s="29">
        <v>500</v>
      </c>
      <c r="G498" s="29" t="s">
        <v>292</v>
      </c>
      <c r="H498" s="29">
        <v>1</v>
      </c>
      <c r="I498" s="29">
        <v>4.43</v>
      </c>
      <c r="J498" s="29">
        <v>2.2149999999999999</v>
      </c>
      <c r="K498" s="29">
        <v>2.2149999999999999</v>
      </c>
      <c r="L498" s="29" t="s">
        <v>383</v>
      </c>
      <c r="M498" s="29">
        <v>1</v>
      </c>
      <c r="N498" s="29">
        <v>0.5</v>
      </c>
      <c r="O498" s="29">
        <v>1</v>
      </c>
      <c r="P498" s="29">
        <v>2.2149999999999999</v>
      </c>
      <c r="Q498" s="29" t="s">
        <v>384</v>
      </c>
    </row>
    <row r="499" spans="1:17" x14ac:dyDescent="0.3">
      <c r="A499" s="29" t="s">
        <v>486</v>
      </c>
      <c r="B499" s="29">
        <v>1</v>
      </c>
      <c r="C499" s="29" t="s">
        <v>387</v>
      </c>
      <c r="D499" s="29" t="s">
        <v>1044</v>
      </c>
      <c r="E499" s="29">
        <v>500</v>
      </c>
      <c r="G499" s="29" t="s">
        <v>292</v>
      </c>
      <c r="H499" s="29">
        <v>1</v>
      </c>
      <c r="I499" s="29">
        <v>4.43</v>
      </c>
      <c r="J499" s="29">
        <v>2.2149999999999999</v>
      </c>
      <c r="K499" s="29">
        <v>2.2149999999999999</v>
      </c>
      <c r="L499" s="29" t="s">
        <v>383</v>
      </c>
      <c r="M499" s="29">
        <v>1</v>
      </c>
      <c r="N499" s="29">
        <v>0.5</v>
      </c>
      <c r="O499" s="29">
        <v>1</v>
      </c>
      <c r="P499" s="29">
        <v>2.2149999999999999</v>
      </c>
      <c r="Q499" s="29" t="s">
        <v>384</v>
      </c>
    </row>
    <row r="500" spans="1:17" x14ac:dyDescent="0.3">
      <c r="A500" s="29" t="s">
        <v>486</v>
      </c>
      <c r="B500" s="29">
        <v>1</v>
      </c>
      <c r="C500" s="29" t="s">
        <v>387</v>
      </c>
      <c r="D500" s="29" t="s">
        <v>1044</v>
      </c>
      <c r="E500" s="29">
        <v>500</v>
      </c>
      <c r="G500" s="29" t="s">
        <v>292</v>
      </c>
      <c r="H500" s="29">
        <v>1</v>
      </c>
      <c r="I500" s="29">
        <v>4.43</v>
      </c>
      <c r="J500" s="29">
        <v>2.2149999999999999</v>
      </c>
      <c r="K500" s="29">
        <v>2.2149999999999999</v>
      </c>
      <c r="L500" s="29" t="s">
        <v>383</v>
      </c>
      <c r="M500" s="29">
        <v>1</v>
      </c>
      <c r="N500" s="29">
        <v>0.5</v>
      </c>
      <c r="O500" s="29">
        <v>1</v>
      </c>
      <c r="P500" s="29">
        <v>2.2149999999999999</v>
      </c>
      <c r="Q500" s="29" t="s">
        <v>384</v>
      </c>
    </row>
    <row r="501" spans="1:17" x14ac:dyDescent="0.3">
      <c r="A501" s="29" t="s">
        <v>486</v>
      </c>
      <c r="B501" s="29">
        <v>1</v>
      </c>
      <c r="C501" s="29" t="s">
        <v>387</v>
      </c>
      <c r="D501" s="29" t="s">
        <v>1044</v>
      </c>
      <c r="E501" s="29">
        <v>500</v>
      </c>
      <c r="G501" s="29" t="s">
        <v>292</v>
      </c>
      <c r="H501" s="29">
        <v>1</v>
      </c>
      <c r="I501" s="29">
        <v>4.43</v>
      </c>
      <c r="J501" s="29">
        <v>2.2149999999999999</v>
      </c>
      <c r="K501" s="29">
        <v>2.2149999999999999</v>
      </c>
      <c r="L501" s="29" t="s">
        <v>383</v>
      </c>
      <c r="M501" s="29">
        <v>1</v>
      </c>
      <c r="N501" s="29">
        <v>0.5</v>
      </c>
      <c r="O501" s="29">
        <v>1</v>
      </c>
      <c r="P501" s="29">
        <v>2.2149999999999999</v>
      </c>
      <c r="Q501" s="29" t="s">
        <v>384</v>
      </c>
    </row>
    <row r="502" spans="1:17" x14ac:dyDescent="0.3">
      <c r="A502" s="29" t="s">
        <v>486</v>
      </c>
      <c r="B502" s="29">
        <v>1</v>
      </c>
      <c r="C502" s="29" t="s">
        <v>387</v>
      </c>
      <c r="D502" s="29" t="s">
        <v>1044</v>
      </c>
      <c r="E502" s="29">
        <v>500</v>
      </c>
      <c r="G502" s="29" t="s">
        <v>292</v>
      </c>
      <c r="H502" s="29">
        <v>1</v>
      </c>
      <c r="I502" s="29">
        <v>4.43</v>
      </c>
      <c r="J502" s="29">
        <v>2.2149999999999999</v>
      </c>
      <c r="K502" s="29">
        <v>2.2149999999999999</v>
      </c>
      <c r="L502" s="29" t="s">
        <v>383</v>
      </c>
      <c r="M502" s="29">
        <v>1</v>
      </c>
      <c r="N502" s="29">
        <v>0.5</v>
      </c>
      <c r="O502" s="29">
        <v>1</v>
      </c>
      <c r="P502" s="29">
        <v>2.2149999999999999</v>
      </c>
      <c r="Q502" s="29" t="s">
        <v>384</v>
      </c>
    </row>
    <row r="503" spans="1:17" x14ac:dyDescent="0.3">
      <c r="A503" s="29" t="s">
        <v>486</v>
      </c>
      <c r="B503" s="29">
        <v>1</v>
      </c>
      <c r="C503" s="29" t="s">
        <v>387</v>
      </c>
      <c r="D503" s="29" t="s">
        <v>1044</v>
      </c>
      <c r="E503" s="29">
        <v>500</v>
      </c>
      <c r="G503" s="29" t="s">
        <v>292</v>
      </c>
      <c r="H503" s="29">
        <v>1</v>
      </c>
      <c r="I503" s="29">
        <v>4.43</v>
      </c>
      <c r="J503" s="29">
        <v>2.2149999999999999</v>
      </c>
      <c r="K503" s="29">
        <v>2.2149999999999999</v>
      </c>
      <c r="L503" s="29" t="s">
        <v>383</v>
      </c>
      <c r="M503" s="29">
        <v>1</v>
      </c>
      <c r="N503" s="29">
        <v>0.5</v>
      </c>
      <c r="O503" s="29">
        <v>1</v>
      </c>
      <c r="P503" s="29">
        <v>2.2149999999999999</v>
      </c>
      <c r="Q503" s="29" t="s">
        <v>384</v>
      </c>
    </row>
    <row r="504" spans="1:17" x14ac:dyDescent="0.3">
      <c r="A504" s="29" t="s">
        <v>486</v>
      </c>
      <c r="B504" s="29">
        <v>1</v>
      </c>
      <c r="C504" s="29" t="s">
        <v>387</v>
      </c>
      <c r="D504" s="29" t="s">
        <v>1044</v>
      </c>
      <c r="E504" s="29">
        <v>500</v>
      </c>
      <c r="G504" s="29" t="s">
        <v>292</v>
      </c>
      <c r="H504" s="29">
        <v>1</v>
      </c>
      <c r="I504" s="29">
        <v>4.43</v>
      </c>
      <c r="J504" s="29">
        <v>2.2149999999999999</v>
      </c>
      <c r="K504" s="29">
        <v>2.2149999999999999</v>
      </c>
      <c r="L504" s="29" t="s">
        <v>383</v>
      </c>
      <c r="M504" s="29">
        <v>1</v>
      </c>
      <c r="N504" s="29">
        <v>0.5</v>
      </c>
      <c r="O504" s="29">
        <v>1</v>
      </c>
      <c r="P504" s="29">
        <v>2.2149999999999999</v>
      </c>
      <c r="Q504" s="29" t="s">
        <v>384</v>
      </c>
    </row>
    <row r="505" spans="1:17" x14ac:dyDescent="0.3">
      <c r="A505" s="29" t="s">
        <v>487</v>
      </c>
      <c r="B505" s="29">
        <v>1</v>
      </c>
      <c r="C505" s="29" t="s">
        <v>387</v>
      </c>
      <c r="D505" s="29" t="s">
        <v>1044</v>
      </c>
      <c r="E505" s="29">
        <v>500</v>
      </c>
      <c r="G505" s="29" t="s">
        <v>292</v>
      </c>
      <c r="H505" s="29">
        <v>1</v>
      </c>
      <c r="I505" s="29">
        <v>4.43</v>
      </c>
      <c r="J505" s="29">
        <v>2.2149999999999999</v>
      </c>
      <c r="K505" s="29">
        <v>2.2149999999999999</v>
      </c>
      <c r="L505" s="29" t="s">
        <v>383</v>
      </c>
      <c r="M505" s="29">
        <v>1</v>
      </c>
      <c r="N505" s="29">
        <v>0.5</v>
      </c>
      <c r="O505" s="29">
        <v>1</v>
      </c>
      <c r="P505" s="29">
        <v>2.2149999999999999</v>
      </c>
      <c r="Q505" s="29" t="s">
        <v>384</v>
      </c>
    </row>
    <row r="506" spans="1:17" x14ac:dyDescent="0.3">
      <c r="A506" s="29" t="s">
        <v>488</v>
      </c>
      <c r="B506" s="29">
        <v>1</v>
      </c>
      <c r="C506" s="29" t="s">
        <v>387</v>
      </c>
      <c r="D506" s="29" t="s">
        <v>1044</v>
      </c>
      <c r="E506" s="29">
        <v>600</v>
      </c>
      <c r="G506" s="29" t="s">
        <v>292</v>
      </c>
      <c r="H506" s="29">
        <v>1</v>
      </c>
      <c r="I506" s="29">
        <v>4.43</v>
      </c>
      <c r="J506" s="29">
        <v>2.6579999999999999</v>
      </c>
      <c r="K506" s="29">
        <v>2.6579999999999999</v>
      </c>
      <c r="L506" s="29" t="s">
        <v>383</v>
      </c>
      <c r="M506" s="29">
        <v>1</v>
      </c>
      <c r="N506" s="29">
        <v>0.6</v>
      </c>
      <c r="O506" s="29">
        <v>1</v>
      </c>
      <c r="P506" s="29">
        <v>2.6579999999999999</v>
      </c>
      <c r="Q506" s="29" t="s">
        <v>384</v>
      </c>
    </row>
    <row r="507" spans="1:17" x14ac:dyDescent="0.3">
      <c r="A507" s="29" t="s">
        <v>488</v>
      </c>
      <c r="B507" s="29">
        <v>1</v>
      </c>
      <c r="C507" s="29" t="s">
        <v>387</v>
      </c>
      <c r="D507" s="29" t="s">
        <v>1044</v>
      </c>
      <c r="E507" s="29">
        <v>600</v>
      </c>
      <c r="G507" s="29" t="s">
        <v>292</v>
      </c>
      <c r="H507" s="29">
        <v>1</v>
      </c>
      <c r="I507" s="29">
        <v>4.43</v>
      </c>
      <c r="J507" s="29">
        <v>2.6579999999999999</v>
      </c>
      <c r="K507" s="29">
        <v>2.6579999999999999</v>
      </c>
      <c r="L507" s="29" t="s">
        <v>383</v>
      </c>
      <c r="M507" s="29">
        <v>1</v>
      </c>
      <c r="N507" s="29">
        <v>0.6</v>
      </c>
      <c r="O507" s="29">
        <v>1</v>
      </c>
      <c r="P507" s="29">
        <v>2.6579999999999999</v>
      </c>
      <c r="Q507" s="29" t="s">
        <v>384</v>
      </c>
    </row>
    <row r="508" spans="1:17" x14ac:dyDescent="0.3">
      <c r="A508" s="29" t="s">
        <v>489</v>
      </c>
      <c r="B508" s="29">
        <v>1</v>
      </c>
      <c r="C508" s="29" t="s">
        <v>387</v>
      </c>
      <c r="D508" s="29" t="s">
        <v>1044</v>
      </c>
      <c r="E508" s="29">
        <v>800</v>
      </c>
      <c r="G508" s="29" t="s">
        <v>292</v>
      </c>
      <c r="H508" s="29">
        <v>1</v>
      </c>
      <c r="I508" s="29">
        <v>4.43</v>
      </c>
      <c r="J508" s="29">
        <v>3.544</v>
      </c>
      <c r="K508" s="29">
        <v>3.544</v>
      </c>
      <c r="L508" s="29" t="s">
        <v>383</v>
      </c>
      <c r="M508" s="29">
        <v>1</v>
      </c>
      <c r="N508" s="29">
        <v>0.8</v>
      </c>
      <c r="O508" s="29">
        <v>1</v>
      </c>
      <c r="P508" s="29">
        <v>3.544</v>
      </c>
      <c r="Q508" s="29" t="s">
        <v>384</v>
      </c>
    </row>
    <row r="509" spans="1:17" x14ac:dyDescent="0.3">
      <c r="A509" s="29" t="s">
        <v>489</v>
      </c>
      <c r="B509" s="29">
        <v>1</v>
      </c>
      <c r="C509" s="29" t="s">
        <v>387</v>
      </c>
      <c r="D509" s="29" t="s">
        <v>1044</v>
      </c>
      <c r="E509" s="29">
        <v>800</v>
      </c>
      <c r="G509" s="29" t="s">
        <v>292</v>
      </c>
      <c r="H509" s="29">
        <v>1</v>
      </c>
      <c r="I509" s="29">
        <v>4.43</v>
      </c>
      <c r="J509" s="29">
        <v>3.544</v>
      </c>
      <c r="K509" s="29">
        <v>3.544</v>
      </c>
      <c r="L509" s="29" t="s">
        <v>383</v>
      </c>
      <c r="M509" s="29">
        <v>1</v>
      </c>
      <c r="N509" s="29">
        <v>0.8</v>
      </c>
      <c r="O509" s="29">
        <v>1</v>
      </c>
      <c r="P509" s="29">
        <v>3.544</v>
      </c>
      <c r="Q509" s="29" t="s">
        <v>384</v>
      </c>
    </row>
    <row r="510" spans="1:17" x14ac:dyDescent="0.3">
      <c r="A510" s="29" t="s">
        <v>489</v>
      </c>
      <c r="B510" s="29">
        <v>1</v>
      </c>
      <c r="C510" s="29" t="s">
        <v>387</v>
      </c>
      <c r="D510" s="29" t="s">
        <v>1044</v>
      </c>
      <c r="E510" s="29">
        <v>800</v>
      </c>
      <c r="G510" s="29" t="s">
        <v>292</v>
      </c>
      <c r="H510" s="29">
        <v>1</v>
      </c>
      <c r="I510" s="29">
        <v>4.43</v>
      </c>
      <c r="J510" s="29">
        <v>3.544</v>
      </c>
      <c r="K510" s="29">
        <v>3.544</v>
      </c>
      <c r="L510" s="29" t="s">
        <v>383</v>
      </c>
      <c r="M510" s="29">
        <v>1</v>
      </c>
      <c r="N510" s="29">
        <v>0.8</v>
      </c>
      <c r="O510" s="29">
        <v>1</v>
      </c>
      <c r="P510" s="29">
        <v>3.544</v>
      </c>
      <c r="Q510" s="29" t="s">
        <v>384</v>
      </c>
    </row>
    <row r="511" spans="1:17" x14ac:dyDescent="0.3">
      <c r="A511" s="29" t="s">
        <v>490</v>
      </c>
      <c r="B511" s="29">
        <v>1</v>
      </c>
      <c r="C511" s="29" t="s">
        <v>387</v>
      </c>
      <c r="D511" s="29" t="s">
        <v>1044</v>
      </c>
      <c r="E511" s="29">
        <v>1000</v>
      </c>
      <c r="G511" s="29" t="s">
        <v>292</v>
      </c>
      <c r="H511" s="29">
        <v>1</v>
      </c>
      <c r="I511" s="29">
        <v>4.43</v>
      </c>
      <c r="J511" s="29">
        <v>4.43</v>
      </c>
      <c r="K511" s="29">
        <v>4.43</v>
      </c>
      <c r="L511" s="29" t="s">
        <v>383</v>
      </c>
      <c r="M511" s="29">
        <v>1</v>
      </c>
      <c r="N511" s="29">
        <v>1</v>
      </c>
      <c r="O511" s="29">
        <v>1</v>
      </c>
      <c r="P511" s="29">
        <v>4.43</v>
      </c>
      <c r="Q511" s="29" t="s">
        <v>384</v>
      </c>
    </row>
    <row r="512" spans="1:17" x14ac:dyDescent="0.3">
      <c r="A512" s="29" t="s">
        <v>491</v>
      </c>
      <c r="B512" s="29">
        <v>1</v>
      </c>
      <c r="C512" s="29" t="s">
        <v>387</v>
      </c>
      <c r="D512" s="29" t="s">
        <v>1045</v>
      </c>
      <c r="E512" s="29">
        <v>500</v>
      </c>
      <c r="G512" s="29" t="s">
        <v>292</v>
      </c>
      <c r="H512" s="29">
        <v>1</v>
      </c>
      <c r="I512" s="29">
        <v>9.9600000000000009</v>
      </c>
      <c r="J512" s="29">
        <v>4.9800000000000004</v>
      </c>
      <c r="K512" s="29">
        <v>4.9800000000000004</v>
      </c>
      <c r="L512" s="29" t="s">
        <v>383</v>
      </c>
      <c r="M512" s="29">
        <v>1</v>
      </c>
      <c r="N512" s="29">
        <v>0.5</v>
      </c>
      <c r="O512" s="29">
        <v>1</v>
      </c>
      <c r="P512" s="29">
        <v>4.9800000000000004</v>
      </c>
      <c r="Q512" s="29" t="s">
        <v>384</v>
      </c>
    </row>
    <row r="513" spans="1:17" x14ac:dyDescent="0.3">
      <c r="A513" s="29" t="s">
        <v>491</v>
      </c>
      <c r="B513" s="29">
        <v>1</v>
      </c>
      <c r="C513" s="29" t="s">
        <v>387</v>
      </c>
      <c r="D513" s="29" t="s">
        <v>1045</v>
      </c>
      <c r="E513" s="29">
        <v>500</v>
      </c>
      <c r="G513" s="29" t="s">
        <v>292</v>
      </c>
      <c r="H513" s="29">
        <v>1</v>
      </c>
      <c r="I513" s="29">
        <v>9.9600000000000009</v>
      </c>
      <c r="J513" s="29">
        <v>4.9800000000000004</v>
      </c>
      <c r="K513" s="29">
        <v>4.9800000000000004</v>
      </c>
      <c r="L513" s="29" t="s">
        <v>383</v>
      </c>
      <c r="M513" s="29">
        <v>1</v>
      </c>
      <c r="N513" s="29">
        <v>0.5</v>
      </c>
      <c r="O513" s="29">
        <v>1</v>
      </c>
      <c r="P513" s="29">
        <v>4.9800000000000004</v>
      </c>
      <c r="Q513" s="29" t="s">
        <v>384</v>
      </c>
    </row>
    <row r="514" spans="1:17" x14ac:dyDescent="0.3">
      <c r="A514" s="29" t="s">
        <v>492</v>
      </c>
      <c r="B514" s="29">
        <v>1</v>
      </c>
      <c r="C514" s="29" t="s">
        <v>387</v>
      </c>
      <c r="D514" s="29" t="s">
        <v>1045</v>
      </c>
      <c r="E514" s="29">
        <v>600</v>
      </c>
      <c r="G514" s="29" t="s">
        <v>292</v>
      </c>
      <c r="H514" s="29">
        <v>1</v>
      </c>
      <c r="I514" s="29">
        <v>9.9600000000000009</v>
      </c>
      <c r="J514" s="29">
        <v>5.976</v>
      </c>
      <c r="K514" s="29">
        <v>5.976</v>
      </c>
      <c r="L514" s="29" t="s">
        <v>383</v>
      </c>
      <c r="M514" s="29">
        <v>1</v>
      </c>
      <c r="N514" s="29">
        <v>0.6</v>
      </c>
      <c r="O514" s="29">
        <v>1</v>
      </c>
      <c r="P514" s="29">
        <v>5.976</v>
      </c>
      <c r="Q514" s="29" t="s">
        <v>384</v>
      </c>
    </row>
    <row r="515" spans="1:17" x14ac:dyDescent="0.3">
      <c r="A515" s="29" t="s">
        <v>493</v>
      </c>
      <c r="B515" s="29">
        <v>1</v>
      </c>
      <c r="C515" s="29" t="s">
        <v>387</v>
      </c>
      <c r="D515" s="29" t="s">
        <v>1045</v>
      </c>
      <c r="E515" s="29">
        <v>600</v>
      </c>
      <c r="G515" s="29" t="s">
        <v>292</v>
      </c>
      <c r="H515" s="29">
        <v>1</v>
      </c>
      <c r="I515" s="29">
        <v>9.9600000000000009</v>
      </c>
      <c r="J515" s="29">
        <v>5.976</v>
      </c>
      <c r="K515" s="29">
        <v>5.976</v>
      </c>
      <c r="L515" s="29" t="s">
        <v>383</v>
      </c>
      <c r="M515" s="29">
        <v>1</v>
      </c>
      <c r="N515" s="29">
        <v>0.6</v>
      </c>
      <c r="O515" s="29">
        <v>1</v>
      </c>
      <c r="P515" s="29">
        <v>5.976</v>
      </c>
      <c r="Q515" s="29" t="s">
        <v>384</v>
      </c>
    </row>
    <row r="516" spans="1:17" x14ac:dyDescent="0.3">
      <c r="A516" s="29" t="s">
        <v>494</v>
      </c>
      <c r="B516" s="29">
        <v>1</v>
      </c>
      <c r="C516" s="29" t="s">
        <v>387</v>
      </c>
      <c r="D516" s="29" t="s">
        <v>1045</v>
      </c>
      <c r="E516" s="29">
        <v>700</v>
      </c>
      <c r="G516" s="29" t="s">
        <v>292</v>
      </c>
      <c r="H516" s="29">
        <v>1</v>
      </c>
      <c r="I516" s="29">
        <v>9.9600000000000009</v>
      </c>
      <c r="J516" s="29">
        <v>6.9720000000000004</v>
      </c>
      <c r="K516" s="29">
        <v>6.9720000000000004</v>
      </c>
      <c r="L516" s="29" t="s">
        <v>383</v>
      </c>
      <c r="M516" s="29">
        <v>1</v>
      </c>
      <c r="N516" s="29">
        <v>0.7</v>
      </c>
      <c r="O516" s="29">
        <v>1</v>
      </c>
      <c r="P516" s="29">
        <v>6.9720000000000004</v>
      </c>
      <c r="Q516" s="29" t="s">
        <v>384</v>
      </c>
    </row>
    <row r="517" spans="1:17" x14ac:dyDescent="0.3">
      <c r="A517" s="29" t="s">
        <v>494</v>
      </c>
      <c r="B517" s="29">
        <v>1</v>
      </c>
      <c r="C517" s="29" t="s">
        <v>387</v>
      </c>
      <c r="D517" s="29" t="s">
        <v>1045</v>
      </c>
      <c r="E517" s="29">
        <v>700</v>
      </c>
      <c r="G517" s="29" t="s">
        <v>292</v>
      </c>
      <c r="H517" s="29">
        <v>1</v>
      </c>
      <c r="I517" s="29">
        <v>9.9600000000000009</v>
      </c>
      <c r="J517" s="29">
        <v>6.9720000000000004</v>
      </c>
      <c r="K517" s="29">
        <v>6.9720000000000004</v>
      </c>
      <c r="L517" s="29" t="s">
        <v>383</v>
      </c>
      <c r="M517" s="29">
        <v>1</v>
      </c>
      <c r="N517" s="29">
        <v>0.7</v>
      </c>
      <c r="O517" s="29">
        <v>1</v>
      </c>
      <c r="P517" s="29">
        <v>6.9720000000000004</v>
      </c>
      <c r="Q517" s="29" t="s">
        <v>384</v>
      </c>
    </row>
    <row r="518" spans="1:17" x14ac:dyDescent="0.3">
      <c r="A518" s="29" t="s">
        <v>494</v>
      </c>
      <c r="B518" s="29">
        <v>1</v>
      </c>
      <c r="C518" s="29" t="s">
        <v>387</v>
      </c>
      <c r="D518" s="29" t="s">
        <v>1045</v>
      </c>
      <c r="E518" s="29">
        <v>700</v>
      </c>
      <c r="G518" s="29" t="s">
        <v>292</v>
      </c>
      <c r="H518" s="29">
        <v>1</v>
      </c>
      <c r="I518" s="29">
        <v>9.9600000000000009</v>
      </c>
      <c r="J518" s="29">
        <v>6.9720000000000004</v>
      </c>
      <c r="K518" s="29">
        <v>6.9720000000000004</v>
      </c>
      <c r="L518" s="29" t="s">
        <v>383</v>
      </c>
      <c r="M518" s="29">
        <v>1</v>
      </c>
      <c r="N518" s="29">
        <v>0.7</v>
      </c>
      <c r="O518" s="29">
        <v>1</v>
      </c>
      <c r="P518" s="29">
        <v>6.9720000000000004</v>
      </c>
      <c r="Q518" s="29" t="s">
        <v>384</v>
      </c>
    </row>
    <row r="519" spans="1:17" x14ac:dyDescent="0.3">
      <c r="A519" s="29" t="s">
        <v>495</v>
      </c>
      <c r="B519" s="29">
        <v>1</v>
      </c>
      <c r="C519" s="29" t="s">
        <v>387</v>
      </c>
      <c r="D519" s="29" t="s">
        <v>1045</v>
      </c>
      <c r="E519" s="29">
        <v>800</v>
      </c>
      <c r="G519" s="29" t="s">
        <v>292</v>
      </c>
      <c r="H519" s="29">
        <v>1</v>
      </c>
      <c r="I519" s="29">
        <v>9.9600000000000009</v>
      </c>
      <c r="J519" s="29">
        <v>7.9680000000000009</v>
      </c>
      <c r="K519" s="29">
        <v>7.9680000000000009</v>
      </c>
      <c r="L519" s="29" t="s">
        <v>383</v>
      </c>
      <c r="M519" s="29">
        <v>1</v>
      </c>
      <c r="N519" s="29">
        <v>0.8</v>
      </c>
      <c r="O519" s="29">
        <v>1</v>
      </c>
      <c r="P519" s="29">
        <v>7.9680000000000009</v>
      </c>
      <c r="Q519" s="29" t="s">
        <v>384</v>
      </c>
    </row>
    <row r="520" spans="1:17" x14ac:dyDescent="0.3">
      <c r="A520" s="29" t="s">
        <v>496</v>
      </c>
      <c r="B520" s="29">
        <v>1</v>
      </c>
      <c r="C520" s="29" t="s">
        <v>387</v>
      </c>
      <c r="D520" s="29" t="s">
        <v>1045</v>
      </c>
      <c r="E520" s="29">
        <v>900</v>
      </c>
      <c r="G520" s="29" t="s">
        <v>292</v>
      </c>
      <c r="H520" s="29">
        <v>1</v>
      </c>
      <c r="I520" s="29">
        <v>9.9600000000000009</v>
      </c>
      <c r="J520" s="29">
        <v>8.9640000000000004</v>
      </c>
      <c r="K520" s="29">
        <v>8.9640000000000004</v>
      </c>
      <c r="L520" s="29" t="s">
        <v>383</v>
      </c>
      <c r="M520" s="29">
        <v>1</v>
      </c>
      <c r="N520" s="29">
        <v>0.9</v>
      </c>
      <c r="O520" s="29">
        <v>1</v>
      </c>
      <c r="P520" s="29">
        <v>8.9640000000000004</v>
      </c>
      <c r="Q520" s="29" t="s">
        <v>384</v>
      </c>
    </row>
    <row r="521" spans="1:17" x14ac:dyDescent="0.3">
      <c r="A521" s="29" t="s">
        <v>497</v>
      </c>
      <c r="B521" s="29">
        <v>1</v>
      </c>
      <c r="C521" s="29" t="s">
        <v>387</v>
      </c>
      <c r="D521" s="29" t="s">
        <v>1045</v>
      </c>
      <c r="E521" s="29">
        <v>1000</v>
      </c>
      <c r="G521" s="29" t="s">
        <v>292</v>
      </c>
      <c r="H521" s="29">
        <v>1</v>
      </c>
      <c r="I521" s="29">
        <v>9.9600000000000009</v>
      </c>
      <c r="J521" s="29">
        <v>9.9600000000000009</v>
      </c>
      <c r="K521" s="29">
        <v>9.9600000000000009</v>
      </c>
      <c r="L521" s="29" t="s">
        <v>383</v>
      </c>
      <c r="M521" s="29">
        <v>1</v>
      </c>
      <c r="N521" s="29">
        <v>1</v>
      </c>
      <c r="O521" s="29">
        <v>1</v>
      </c>
      <c r="P521" s="29">
        <v>9.9600000000000009</v>
      </c>
      <c r="Q521" s="29" t="s">
        <v>384</v>
      </c>
    </row>
    <row r="522" spans="1:17" x14ac:dyDescent="0.3">
      <c r="A522" s="29" t="s">
        <v>498</v>
      </c>
      <c r="B522" s="29">
        <v>1</v>
      </c>
      <c r="C522" s="29" t="s">
        <v>387</v>
      </c>
      <c r="D522" s="29" t="s">
        <v>1045</v>
      </c>
      <c r="E522" s="29">
        <v>1100</v>
      </c>
      <c r="G522" s="29" t="s">
        <v>292</v>
      </c>
      <c r="H522" s="29">
        <v>1</v>
      </c>
      <c r="I522" s="29">
        <v>9.9600000000000009</v>
      </c>
      <c r="J522" s="29">
        <v>10.956000000000001</v>
      </c>
      <c r="K522" s="29">
        <v>10.956000000000001</v>
      </c>
      <c r="L522" s="29" t="s">
        <v>383</v>
      </c>
      <c r="M522" s="29">
        <v>1</v>
      </c>
      <c r="N522" s="29">
        <v>1.1000000000000001</v>
      </c>
      <c r="O522" s="29">
        <v>1</v>
      </c>
      <c r="P522" s="29">
        <v>10.956000000000001</v>
      </c>
      <c r="Q522" s="29" t="s">
        <v>384</v>
      </c>
    </row>
    <row r="523" spans="1:17" x14ac:dyDescent="0.3">
      <c r="A523" s="29" t="s">
        <v>499</v>
      </c>
      <c r="B523" s="29">
        <v>1</v>
      </c>
      <c r="C523" s="29" t="s">
        <v>387</v>
      </c>
      <c r="D523" s="29" t="s">
        <v>1045</v>
      </c>
      <c r="E523" s="29">
        <v>1200</v>
      </c>
      <c r="G523" s="29" t="s">
        <v>292</v>
      </c>
      <c r="H523" s="29">
        <v>1</v>
      </c>
      <c r="I523" s="29">
        <v>9.9600000000000009</v>
      </c>
      <c r="J523" s="29">
        <v>11.952</v>
      </c>
      <c r="K523" s="29">
        <v>11.952</v>
      </c>
      <c r="L523" s="29" t="s">
        <v>383</v>
      </c>
      <c r="M523" s="29">
        <v>1</v>
      </c>
      <c r="N523" s="29">
        <v>1.2</v>
      </c>
      <c r="O523" s="29">
        <v>1</v>
      </c>
      <c r="P523" s="29">
        <v>11.952</v>
      </c>
      <c r="Q523" s="29" t="s">
        <v>384</v>
      </c>
    </row>
    <row r="524" spans="1:17" x14ac:dyDescent="0.3">
      <c r="A524" s="29" t="s">
        <v>500</v>
      </c>
      <c r="B524" s="29">
        <v>1</v>
      </c>
      <c r="C524" s="29" t="s">
        <v>387</v>
      </c>
      <c r="D524" s="29" t="s">
        <v>1045</v>
      </c>
      <c r="E524" s="29">
        <v>1400</v>
      </c>
      <c r="G524" s="29" t="s">
        <v>292</v>
      </c>
      <c r="H524" s="29">
        <v>1</v>
      </c>
      <c r="I524" s="29">
        <v>9.9600000000000009</v>
      </c>
      <c r="J524" s="29">
        <v>13.944000000000001</v>
      </c>
      <c r="K524" s="29">
        <v>13.944000000000001</v>
      </c>
      <c r="L524" s="29" t="s">
        <v>383</v>
      </c>
      <c r="M524" s="29">
        <v>1</v>
      </c>
      <c r="N524" s="29">
        <v>1.4</v>
      </c>
      <c r="O524" s="29">
        <v>1</v>
      </c>
      <c r="P524" s="29">
        <v>13.944000000000001</v>
      </c>
      <c r="Q524" s="29" t="s">
        <v>384</v>
      </c>
    </row>
    <row r="525" spans="1:17" x14ac:dyDescent="0.3">
      <c r="A525" s="29" t="s">
        <v>501</v>
      </c>
      <c r="B525" s="29">
        <v>1</v>
      </c>
      <c r="C525" s="29" t="s">
        <v>387</v>
      </c>
      <c r="D525" s="29" t="s">
        <v>1044</v>
      </c>
      <c r="E525" s="29">
        <v>200</v>
      </c>
      <c r="G525" s="29" t="s">
        <v>292</v>
      </c>
      <c r="H525" s="29">
        <v>1</v>
      </c>
      <c r="I525" s="29">
        <v>4.43</v>
      </c>
      <c r="J525" s="29">
        <v>0.88600000000000001</v>
      </c>
      <c r="K525" s="29">
        <v>0.88600000000000001</v>
      </c>
      <c r="L525" s="29" t="s">
        <v>383</v>
      </c>
      <c r="M525" s="29">
        <v>1</v>
      </c>
      <c r="N525" s="29">
        <v>0.2</v>
      </c>
      <c r="O525" s="29">
        <v>1</v>
      </c>
      <c r="P525" s="29">
        <v>0.88600000000000001</v>
      </c>
      <c r="Q525" s="29" t="s">
        <v>384</v>
      </c>
    </row>
    <row r="526" spans="1:17" x14ac:dyDescent="0.3">
      <c r="B526" s="29">
        <v>2</v>
      </c>
      <c r="C526" s="29" t="s">
        <v>387</v>
      </c>
      <c r="D526" s="29" t="s">
        <v>1044</v>
      </c>
      <c r="E526" s="29">
        <v>500</v>
      </c>
      <c r="G526" s="29" t="s">
        <v>292</v>
      </c>
      <c r="H526" s="29">
        <v>1</v>
      </c>
      <c r="I526" s="29">
        <v>4.43</v>
      </c>
      <c r="J526" s="29">
        <v>2.2149999999999999</v>
      </c>
      <c r="K526" s="29">
        <v>2.2149999999999999</v>
      </c>
      <c r="L526" s="29" t="s">
        <v>383</v>
      </c>
      <c r="M526" s="29">
        <v>1</v>
      </c>
      <c r="N526" s="29">
        <v>0.5</v>
      </c>
      <c r="O526" s="29">
        <v>1</v>
      </c>
      <c r="P526" s="29">
        <v>2.2149999999999999</v>
      </c>
      <c r="Q526" s="29" t="s">
        <v>384</v>
      </c>
    </row>
    <row r="527" spans="1:17" x14ac:dyDescent="0.3">
      <c r="A527" s="29" t="s">
        <v>501</v>
      </c>
      <c r="B527" s="29">
        <v>1</v>
      </c>
      <c r="C527" s="29" t="s">
        <v>387</v>
      </c>
      <c r="D527" s="29" t="s">
        <v>1044</v>
      </c>
      <c r="E527" s="29">
        <v>200</v>
      </c>
      <c r="G527" s="29" t="s">
        <v>292</v>
      </c>
      <c r="H527" s="29">
        <v>1</v>
      </c>
      <c r="I527" s="29">
        <v>4.43</v>
      </c>
      <c r="J527" s="29">
        <v>0.88600000000000001</v>
      </c>
      <c r="K527" s="29">
        <v>0.88600000000000001</v>
      </c>
      <c r="L527" s="29" t="s">
        <v>383</v>
      </c>
      <c r="M527" s="29">
        <v>1</v>
      </c>
      <c r="N527" s="29">
        <v>0.2</v>
      </c>
      <c r="O527" s="29">
        <v>1</v>
      </c>
      <c r="P527" s="29">
        <v>0.88600000000000001</v>
      </c>
      <c r="Q527" s="29" t="s">
        <v>384</v>
      </c>
    </row>
    <row r="528" spans="1:17" x14ac:dyDescent="0.3">
      <c r="B528" s="29">
        <v>2</v>
      </c>
      <c r="C528" s="29" t="s">
        <v>387</v>
      </c>
      <c r="D528" s="29" t="s">
        <v>1044</v>
      </c>
      <c r="E528" s="29">
        <v>500</v>
      </c>
      <c r="G528" s="29" t="s">
        <v>292</v>
      </c>
      <c r="H528" s="29">
        <v>1</v>
      </c>
      <c r="I528" s="29">
        <v>4.43</v>
      </c>
      <c r="J528" s="29">
        <v>2.2149999999999999</v>
      </c>
      <c r="K528" s="29">
        <v>2.2149999999999999</v>
      </c>
      <c r="L528" s="29" t="s">
        <v>383</v>
      </c>
      <c r="M528" s="29">
        <v>1</v>
      </c>
      <c r="N528" s="29">
        <v>0.5</v>
      </c>
      <c r="O528" s="29">
        <v>1</v>
      </c>
      <c r="P528" s="29">
        <v>2.2149999999999999</v>
      </c>
      <c r="Q528" s="29" t="s">
        <v>384</v>
      </c>
    </row>
    <row r="529" spans="1:17" x14ac:dyDescent="0.3">
      <c r="A529" s="29" t="s">
        <v>501</v>
      </c>
      <c r="B529" s="29">
        <v>1</v>
      </c>
      <c r="C529" s="29" t="s">
        <v>387</v>
      </c>
      <c r="D529" s="29" t="s">
        <v>1044</v>
      </c>
      <c r="E529" s="29">
        <v>200</v>
      </c>
      <c r="G529" s="29" t="s">
        <v>292</v>
      </c>
      <c r="H529" s="29">
        <v>1</v>
      </c>
      <c r="I529" s="29">
        <v>4.43</v>
      </c>
      <c r="J529" s="29">
        <v>0.88600000000000001</v>
      </c>
      <c r="K529" s="29">
        <v>0.88600000000000001</v>
      </c>
      <c r="L529" s="29" t="s">
        <v>383</v>
      </c>
      <c r="M529" s="29">
        <v>1</v>
      </c>
      <c r="N529" s="29">
        <v>0.2</v>
      </c>
      <c r="O529" s="29">
        <v>1</v>
      </c>
      <c r="P529" s="29">
        <v>0.88600000000000001</v>
      </c>
      <c r="Q529" s="29" t="s">
        <v>384</v>
      </c>
    </row>
    <row r="530" spans="1:17" x14ac:dyDescent="0.3">
      <c r="B530" s="29">
        <v>2</v>
      </c>
      <c r="C530" s="29" t="s">
        <v>387</v>
      </c>
      <c r="D530" s="29" t="s">
        <v>1044</v>
      </c>
      <c r="E530" s="29">
        <v>500</v>
      </c>
      <c r="G530" s="29" t="s">
        <v>292</v>
      </c>
      <c r="H530" s="29">
        <v>1</v>
      </c>
      <c r="I530" s="29">
        <v>4.43</v>
      </c>
      <c r="J530" s="29">
        <v>2.2149999999999999</v>
      </c>
      <c r="K530" s="29">
        <v>2.2149999999999999</v>
      </c>
      <c r="L530" s="29" t="s">
        <v>383</v>
      </c>
      <c r="M530" s="29">
        <v>1</v>
      </c>
      <c r="N530" s="29">
        <v>0.5</v>
      </c>
      <c r="O530" s="29">
        <v>1</v>
      </c>
      <c r="P530" s="29">
        <v>2.2149999999999999</v>
      </c>
      <c r="Q530" s="29" t="s">
        <v>384</v>
      </c>
    </row>
    <row r="531" spans="1:17" x14ac:dyDescent="0.3">
      <c r="A531" s="29" t="s">
        <v>502</v>
      </c>
      <c r="B531" s="29">
        <v>1</v>
      </c>
      <c r="C531" s="29" t="s">
        <v>387</v>
      </c>
      <c r="D531" s="29" t="s">
        <v>1044</v>
      </c>
      <c r="E531" s="29">
        <v>400</v>
      </c>
      <c r="G531" s="29" t="s">
        <v>292</v>
      </c>
      <c r="H531" s="29">
        <v>1</v>
      </c>
      <c r="I531" s="29">
        <v>4.43</v>
      </c>
      <c r="J531" s="29">
        <v>1.772</v>
      </c>
      <c r="K531" s="29">
        <v>1.772</v>
      </c>
      <c r="L531" s="29" t="s">
        <v>383</v>
      </c>
      <c r="M531" s="29">
        <v>1</v>
      </c>
      <c r="N531" s="29">
        <v>0.4</v>
      </c>
      <c r="O531" s="29">
        <v>1</v>
      </c>
      <c r="P531" s="29">
        <v>1.772</v>
      </c>
      <c r="Q531" s="29" t="s">
        <v>384</v>
      </c>
    </row>
    <row r="532" spans="1:17" x14ac:dyDescent="0.3">
      <c r="B532" s="29">
        <v>2</v>
      </c>
      <c r="C532" s="29" t="s">
        <v>387</v>
      </c>
      <c r="D532" s="29" t="s">
        <v>1044</v>
      </c>
      <c r="E532" s="29">
        <v>300</v>
      </c>
      <c r="G532" s="29" t="s">
        <v>292</v>
      </c>
      <c r="H532" s="29">
        <v>1</v>
      </c>
      <c r="I532" s="29">
        <v>4.43</v>
      </c>
      <c r="J532" s="29">
        <v>1.329</v>
      </c>
      <c r="K532" s="29">
        <v>1.329</v>
      </c>
      <c r="L532" s="29" t="s">
        <v>383</v>
      </c>
      <c r="M532" s="29">
        <v>1</v>
      </c>
      <c r="N532" s="29">
        <v>0.3</v>
      </c>
      <c r="O532" s="29">
        <v>1</v>
      </c>
      <c r="P532" s="29">
        <v>1.329</v>
      </c>
      <c r="Q532" s="29" t="s">
        <v>384</v>
      </c>
    </row>
    <row r="533" spans="1:17" x14ac:dyDescent="0.3">
      <c r="A533" s="29" t="s">
        <v>503</v>
      </c>
      <c r="B533" s="29">
        <v>1</v>
      </c>
      <c r="C533" s="29" t="s">
        <v>387</v>
      </c>
      <c r="D533" s="29" t="s">
        <v>1044</v>
      </c>
      <c r="E533" s="29">
        <v>500</v>
      </c>
      <c r="G533" s="29" t="s">
        <v>292</v>
      </c>
      <c r="H533" s="29">
        <v>1</v>
      </c>
      <c r="I533" s="29">
        <v>4.43</v>
      </c>
      <c r="J533" s="29">
        <v>2.2149999999999999</v>
      </c>
      <c r="K533" s="29">
        <v>2.2149999999999999</v>
      </c>
      <c r="L533" s="29" t="s">
        <v>383</v>
      </c>
      <c r="M533" s="29">
        <v>1</v>
      </c>
      <c r="N533" s="29">
        <v>0.5</v>
      </c>
      <c r="O533" s="29">
        <v>1</v>
      </c>
      <c r="P533" s="29">
        <v>2.2149999999999999</v>
      </c>
      <c r="Q533" s="29" t="s">
        <v>384</v>
      </c>
    </row>
    <row r="534" spans="1:17" x14ac:dyDescent="0.3">
      <c r="B534" s="29">
        <v>2</v>
      </c>
      <c r="C534" s="29" t="s">
        <v>387</v>
      </c>
      <c r="D534" s="29" t="s">
        <v>1044</v>
      </c>
      <c r="E534" s="29">
        <v>300</v>
      </c>
      <c r="G534" s="29" t="s">
        <v>292</v>
      </c>
      <c r="H534" s="29">
        <v>1</v>
      </c>
      <c r="I534" s="29">
        <v>4.43</v>
      </c>
      <c r="J534" s="29">
        <v>1.329</v>
      </c>
      <c r="K534" s="29">
        <v>1.329</v>
      </c>
      <c r="L534" s="29" t="s">
        <v>383</v>
      </c>
      <c r="M534" s="29">
        <v>1</v>
      </c>
      <c r="N534" s="29">
        <v>0.3</v>
      </c>
      <c r="O534" s="29">
        <v>1</v>
      </c>
      <c r="P534" s="29">
        <v>1.329</v>
      </c>
      <c r="Q534" s="29" t="s">
        <v>384</v>
      </c>
    </row>
    <row r="535" spans="1:17" x14ac:dyDescent="0.3">
      <c r="A535" s="29" t="s">
        <v>503</v>
      </c>
      <c r="B535" s="29">
        <v>1</v>
      </c>
      <c r="C535" s="29" t="s">
        <v>387</v>
      </c>
      <c r="D535" s="29" t="s">
        <v>1044</v>
      </c>
      <c r="E535" s="29">
        <v>500</v>
      </c>
      <c r="G535" s="29" t="s">
        <v>292</v>
      </c>
      <c r="H535" s="29">
        <v>1</v>
      </c>
      <c r="I535" s="29">
        <v>4.43</v>
      </c>
      <c r="J535" s="29">
        <v>2.2149999999999999</v>
      </c>
      <c r="K535" s="29">
        <v>2.2149999999999999</v>
      </c>
      <c r="L535" s="29" t="s">
        <v>383</v>
      </c>
      <c r="M535" s="29">
        <v>1</v>
      </c>
      <c r="N535" s="29">
        <v>0.5</v>
      </c>
      <c r="O535" s="29">
        <v>1</v>
      </c>
      <c r="P535" s="29">
        <v>2.2149999999999999</v>
      </c>
      <c r="Q535" s="29" t="s">
        <v>384</v>
      </c>
    </row>
    <row r="536" spans="1:17" x14ac:dyDescent="0.3">
      <c r="B536" s="29">
        <v>2</v>
      </c>
      <c r="C536" s="29" t="s">
        <v>387</v>
      </c>
      <c r="D536" s="29" t="s">
        <v>1044</v>
      </c>
      <c r="E536" s="29">
        <v>300</v>
      </c>
      <c r="G536" s="29" t="s">
        <v>292</v>
      </c>
      <c r="H536" s="29">
        <v>1</v>
      </c>
      <c r="I536" s="29">
        <v>4.43</v>
      </c>
      <c r="J536" s="29">
        <v>1.329</v>
      </c>
      <c r="K536" s="29">
        <v>1.329</v>
      </c>
      <c r="L536" s="29" t="s">
        <v>383</v>
      </c>
      <c r="M536" s="29">
        <v>1</v>
      </c>
      <c r="N536" s="29">
        <v>0.3</v>
      </c>
      <c r="O536" s="29">
        <v>1</v>
      </c>
      <c r="P536" s="29">
        <v>1.329</v>
      </c>
      <c r="Q536" s="29" t="s">
        <v>384</v>
      </c>
    </row>
    <row r="537" spans="1:17" x14ac:dyDescent="0.3">
      <c r="A537" s="29" t="s">
        <v>503</v>
      </c>
      <c r="B537" s="29">
        <v>1</v>
      </c>
      <c r="C537" s="29" t="s">
        <v>387</v>
      </c>
      <c r="D537" s="29" t="s">
        <v>1044</v>
      </c>
      <c r="E537" s="29">
        <v>500</v>
      </c>
      <c r="G537" s="29" t="s">
        <v>292</v>
      </c>
      <c r="H537" s="29">
        <v>1</v>
      </c>
      <c r="I537" s="29">
        <v>4.43</v>
      </c>
      <c r="J537" s="29">
        <v>2.2149999999999999</v>
      </c>
      <c r="K537" s="29">
        <v>2.2149999999999999</v>
      </c>
      <c r="L537" s="29" t="s">
        <v>383</v>
      </c>
      <c r="M537" s="29">
        <v>1</v>
      </c>
      <c r="N537" s="29">
        <v>0.5</v>
      </c>
      <c r="O537" s="29">
        <v>1</v>
      </c>
      <c r="P537" s="29">
        <v>2.2149999999999999</v>
      </c>
      <c r="Q537" s="29" t="s">
        <v>384</v>
      </c>
    </row>
    <row r="538" spans="1:17" x14ac:dyDescent="0.3">
      <c r="B538" s="29">
        <v>2</v>
      </c>
      <c r="C538" s="29" t="s">
        <v>387</v>
      </c>
      <c r="D538" s="29" t="s">
        <v>1044</v>
      </c>
      <c r="E538" s="29">
        <v>300</v>
      </c>
      <c r="G538" s="29" t="s">
        <v>292</v>
      </c>
      <c r="H538" s="29">
        <v>1</v>
      </c>
      <c r="I538" s="29">
        <v>4.43</v>
      </c>
      <c r="J538" s="29">
        <v>1.329</v>
      </c>
      <c r="K538" s="29">
        <v>1.329</v>
      </c>
      <c r="L538" s="29" t="s">
        <v>383</v>
      </c>
      <c r="M538" s="29">
        <v>1</v>
      </c>
      <c r="N538" s="29">
        <v>0.3</v>
      </c>
      <c r="O538" s="29">
        <v>1</v>
      </c>
      <c r="P538" s="29">
        <v>1.329</v>
      </c>
      <c r="Q538" s="29" t="s">
        <v>384</v>
      </c>
    </row>
    <row r="539" spans="1:17" x14ac:dyDescent="0.3">
      <c r="A539" s="29" t="s">
        <v>504</v>
      </c>
      <c r="B539" s="29">
        <v>1</v>
      </c>
      <c r="C539" s="29" t="s">
        <v>387</v>
      </c>
      <c r="D539" s="29" t="s">
        <v>1044</v>
      </c>
      <c r="E539" s="29">
        <v>500</v>
      </c>
      <c r="G539" s="29" t="s">
        <v>292</v>
      </c>
      <c r="H539" s="29">
        <v>1</v>
      </c>
      <c r="I539" s="29">
        <v>4.43</v>
      </c>
      <c r="J539" s="29">
        <v>2.2149999999999999</v>
      </c>
      <c r="K539" s="29">
        <v>2.2149999999999999</v>
      </c>
      <c r="L539" s="29" t="s">
        <v>383</v>
      </c>
      <c r="M539" s="29">
        <v>1</v>
      </c>
      <c r="N539" s="29">
        <v>0.5</v>
      </c>
      <c r="O539" s="29">
        <v>1</v>
      </c>
      <c r="P539" s="29">
        <v>2.2149999999999999</v>
      </c>
      <c r="Q539" s="29" t="s">
        <v>384</v>
      </c>
    </row>
    <row r="540" spans="1:17" x14ac:dyDescent="0.3">
      <c r="B540" s="29">
        <v>2</v>
      </c>
      <c r="C540" s="29" t="s">
        <v>387</v>
      </c>
      <c r="D540" s="29" t="s">
        <v>1044</v>
      </c>
      <c r="E540" s="29">
        <v>500</v>
      </c>
      <c r="G540" s="29" t="s">
        <v>292</v>
      </c>
      <c r="H540" s="29">
        <v>1</v>
      </c>
      <c r="I540" s="29">
        <v>4.43</v>
      </c>
      <c r="J540" s="29">
        <v>2.2149999999999999</v>
      </c>
      <c r="K540" s="29">
        <v>2.2149999999999999</v>
      </c>
      <c r="L540" s="29" t="s">
        <v>383</v>
      </c>
      <c r="M540" s="29">
        <v>1</v>
      </c>
      <c r="N540" s="29">
        <v>0.5</v>
      </c>
      <c r="O540" s="29">
        <v>1</v>
      </c>
      <c r="P540" s="29">
        <v>2.2149999999999999</v>
      </c>
      <c r="Q540" s="29" t="s">
        <v>384</v>
      </c>
    </row>
    <row r="541" spans="1:17" x14ac:dyDescent="0.3">
      <c r="A541" s="29" t="s">
        <v>504</v>
      </c>
      <c r="B541" s="29">
        <v>1</v>
      </c>
      <c r="C541" s="29" t="s">
        <v>387</v>
      </c>
      <c r="D541" s="29" t="s">
        <v>1044</v>
      </c>
      <c r="E541" s="29">
        <v>500</v>
      </c>
      <c r="G541" s="29" t="s">
        <v>292</v>
      </c>
      <c r="H541" s="29">
        <v>1</v>
      </c>
      <c r="I541" s="29">
        <v>4.43</v>
      </c>
      <c r="J541" s="29">
        <v>2.2149999999999999</v>
      </c>
      <c r="K541" s="29">
        <v>2.2149999999999999</v>
      </c>
      <c r="L541" s="29" t="s">
        <v>383</v>
      </c>
      <c r="M541" s="29">
        <v>1</v>
      </c>
      <c r="N541" s="29">
        <v>0.5</v>
      </c>
      <c r="O541" s="29">
        <v>1</v>
      </c>
      <c r="P541" s="29">
        <v>2.2149999999999999</v>
      </c>
      <c r="Q541" s="29" t="s">
        <v>384</v>
      </c>
    </row>
    <row r="542" spans="1:17" x14ac:dyDescent="0.3">
      <c r="B542" s="29">
        <v>2</v>
      </c>
      <c r="C542" s="29" t="s">
        <v>387</v>
      </c>
      <c r="D542" s="29" t="s">
        <v>1044</v>
      </c>
      <c r="E542" s="29">
        <v>500</v>
      </c>
      <c r="G542" s="29" t="s">
        <v>292</v>
      </c>
      <c r="H542" s="29">
        <v>1</v>
      </c>
      <c r="I542" s="29">
        <v>4.43</v>
      </c>
      <c r="J542" s="29">
        <v>2.2149999999999999</v>
      </c>
      <c r="K542" s="29">
        <v>2.2149999999999999</v>
      </c>
      <c r="L542" s="29" t="s">
        <v>383</v>
      </c>
      <c r="M542" s="29">
        <v>1</v>
      </c>
      <c r="N542" s="29">
        <v>0.5</v>
      </c>
      <c r="O542" s="29">
        <v>1</v>
      </c>
      <c r="P542" s="29">
        <v>2.2149999999999999</v>
      </c>
      <c r="Q542" s="29" t="s">
        <v>384</v>
      </c>
    </row>
    <row r="543" spans="1:17" x14ac:dyDescent="0.3">
      <c r="A543" s="29" t="s">
        <v>505</v>
      </c>
      <c r="B543" s="29">
        <v>1</v>
      </c>
      <c r="C543" s="29" t="s">
        <v>387</v>
      </c>
      <c r="D543" s="29" t="s">
        <v>1044</v>
      </c>
      <c r="E543" s="29">
        <v>600</v>
      </c>
      <c r="G543" s="29" t="s">
        <v>292</v>
      </c>
      <c r="H543" s="29">
        <v>1</v>
      </c>
      <c r="I543" s="29">
        <v>4.43</v>
      </c>
      <c r="J543" s="29">
        <v>2.6579999999999999</v>
      </c>
      <c r="K543" s="29">
        <v>2.6579999999999999</v>
      </c>
      <c r="L543" s="29" t="s">
        <v>383</v>
      </c>
      <c r="M543" s="29">
        <v>1</v>
      </c>
      <c r="N543" s="29">
        <v>0.6</v>
      </c>
      <c r="O543" s="29">
        <v>1</v>
      </c>
      <c r="P543" s="29">
        <v>2.6579999999999999</v>
      </c>
      <c r="Q543" s="29" t="s">
        <v>384</v>
      </c>
    </row>
    <row r="544" spans="1:17" x14ac:dyDescent="0.3">
      <c r="B544" s="29">
        <v>2</v>
      </c>
      <c r="C544" s="29" t="s">
        <v>387</v>
      </c>
      <c r="D544" s="29" t="s">
        <v>1044</v>
      </c>
      <c r="E544" s="29">
        <v>300</v>
      </c>
      <c r="G544" s="29" t="s">
        <v>292</v>
      </c>
      <c r="H544" s="29">
        <v>1</v>
      </c>
      <c r="I544" s="29">
        <v>4.43</v>
      </c>
      <c r="J544" s="29">
        <v>1.329</v>
      </c>
      <c r="K544" s="29">
        <v>1.329</v>
      </c>
      <c r="L544" s="29" t="s">
        <v>383</v>
      </c>
      <c r="M544" s="29">
        <v>1</v>
      </c>
      <c r="N544" s="29">
        <v>0.3</v>
      </c>
      <c r="O544" s="29">
        <v>1</v>
      </c>
      <c r="P544" s="29">
        <v>1.329</v>
      </c>
      <c r="Q544" s="29" t="s">
        <v>384</v>
      </c>
    </row>
    <row r="545" spans="1:17" x14ac:dyDescent="0.3">
      <c r="A545" s="29" t="s">
        <v>505</v>
      </c>
      <c r="B545" s="29">
        <v>1</v>
      </c>
      <c r="C545" s="29" t="s">
        <v>387</v>
      </c>
      <c r="D545" s="29" t="s">
        <v>1044</v>
      </c>
      <c r="E545" s="29">
        <v>600</v>
      </c>
      <c r="G545" s="29" t="s">
        <v>292</v>
      </c>
      <c r="H545" s="29">
        <v>1</v>
      </c>
      <c r="I545" s="29">
        <v>4.43</v>
      </c>
      <c r="J545" s="29">
        <v>2.6579999999999999</v>
      </c>
      <c r="K545" s="29">
        <v>2.6579999999999999</v>
      </c>
      <c r="L545" s="29" t="s">
        <v>383</v>
      </c>
      <c r="M545" s="29">
        <v>1</v>
      </c>
      <c r="N545" s="29">
        <v>0.6</v>
      </c>
      <c r="O545" s="29">
        <v>1</v>
      </c>
      <c r="P545" s="29">
        <v>2.6579999999999999</v>
      </c>
      <c r="Q545" s="29" t="s">
        <v>384</v>
      </c>
    </row>
    <row r="546" spans="1:17" x14ac:dyDescent="0.3">
      <c r="B546" s="29">
        <v>2</v>
      </c>
      <c r="C546" s="29" t="s">
        <v>387</v>
      </c>
      <c r="D546" s="29" t="s">
        <v>1044</v>
      </c>
      <c r="E546" s="29">
        <v>300</v>
      </c>
      <c r="G546" s="29" t="s">
        <v>292</v>
      </c>
      <c r="H546" s="29">
        <v>1</v>
      </c>
      <c r="I546" s="29">
        <v>4.43</v>
      </c>
      <c r="J546" s="29">
        <v>1.329</v>
      </c>
      <c r="K546" s="29">
        <v>1.329</v>
      </c>
      <c r="L546" s="29" t="s">
        <v>383</v>
      </c>
      <c r="M546" s="29">
        <v>1</v>
      </c>
      <c r="N546" s="29">
        <v>0.3</v>
      </c>
      <c r="O546" s="29">
        <v>1</v>
      </c>
      <c r="P546" s="29">
        <v>1.329</v>
      </c>
      <c r="Q546" s="29" t="s">
        <v>384</v>
      </c>
    </row>
    <row r="547" spans="1:17" x14ac:dyDescent="0.3">
      <c r="A547" s="29" t="s">
        <v>506</v>
      </c>
      <c r="B547" s="29">
        <v>1</v>
      </c>
      <c r="C547" s="29" t="s">
        <v>387</v>
      </c>
      <c r="D547" s="29" t="s">
        <v>1044</v>
      </c>
      <c r="E547" s="29">
        <v>600</v>
      </c>
      <c r="G547" s="29" t="s">
        <v>292</v>
      </c>
      <c r="H547" s="29">
        <v>1</v>
      </c>
      <c r="I547" s="29">
        <v>4.43</v>
      </c>
      <c r="J547" s="29">
        <v>2.6579999999999999</v>
      </c>
      <c r="K547" s="29">
        <v>2.6579999999999999</v>
      </c>
      <c r="L547" s="29" t="s">
        <v>383</v>
      </c>
      <c r="M547" s="29">
        <v>1</v>
      </c>
      <c r="N547" s="29">
        <v>0.6</v>
      </c>
      <c r="O547" s="29">
        <v>1</v>
      </c>
      <c r="P547" s="29">
        <v>2.6579999999999999</v>
      </c>
      <c r="Q547" s="29" t="s">
        <v>384</v>
      </c>
    </row>
    <row r="548" spans="1:17" x14ac:dyDescent="0.3">
      <c r="B548" s="29">
        <v>2</v>
      </c>
      <c r="C548" s="29" t="s">
        <v>387</v>
      </c>
      <c r="D548" s="29" t="s">
        <v>1044</v>
      </c>
      <c r="E548" s="29">
        <v>500</v>
      </c>
      <c r="G548" s="29" t="s">
        <v>292</v>
      </c>
      <c r="H548" s="29">
        <v>1</v>
      </c>
      <c r="I548" s="29">
        <v>4.43</v>
      </c>
      <c r="J548" s="29">
        <v>2.2149999999999999</v>
      </c>
      <c r="K548" s="29">
        <v>2.2149999999999999</v>
      </c>
      <c r="L548" s="29" t="s">
        <v>383</v>
      </c>
      <c r="M548" s="29">
        <v>1</v>
      </c>
      <c r="N548" s="29">
        <v>0.5</v>
      </c>
      <c r="O548" s="29">
        <v>1</v>
      </c>
      <c r="P548" s="29">
        <v>2.2149999999999999</v>
      </c>
      <c r="Q548" s="29" t="s">
        <v>384</v>
      </c>
    </row>
    <row r="549" spans="1:17" x14ac:dyDescent="0.3">
      <c r="A549" s="29" t="s">
        <v>507</v>
      </c>
      <c r="B549" s="29">
        <v>1</v>
      </c>
      <c r="C549" s="29" t="s">
        <v>387</v>
      </c>
      <c r="D549" s="29" t="s">
        <v>1044</v>
      </c>
      <c r="E549" s="29">
        <v>700</v>
      </c>
      <c r="G549" s="29" t="s">
        <v>292</v>
      </c>
      <c r="H549" s="29">
        <v>1</v>
      </c>
      <c r="I549" s="29">
        <v>4.43</v>
      </c>
      <c r="J549" s="29">
        <v>3.1009999999999995</v>
      </c>
      <c r="K549" s="29">
        <v>3.1009999999999995</v>
      </c>
      <c r="L549" s="29" t="s">
        <v>383</v>
      </c>
      <c r="M549" s="29">
        <v>1</v>
      </c>
      <c r="N549" s="29">
        <v>0.7</v>
      </c>
      <c r="O549" s="29">
        <v>1</v>
      </c>
      <c r="P549" s="29">
        <v>3.1009999999999995</v>
      </c>
      <c r="Q549" s="29" t="s">
        <v>384</v>
      </c>
    </row>
    <row r="550" spans="1:17" x14ac:dyDescent="0.3">
      <c r="B550" s="29">
        <v>2</v>
      </c>
      <c r="C550" s="29" t="s">
        <v>387</v>
      </c>
      <c r="D550" s="29" t="s">
        <v>1044</v>
      </c>
      <c r="E550" s="29">
        <v>300</v>
      </c>
      <c r="G550" s="29" t="s">
        <v>292</v>
      </c>
      <c r="H550" s="29">
        <v>1</v>
      </c>
      <c r="I550" s="29">
        <v>4.43</v>
      </c>
      <c r="J550" s="29">
        <v>1.329</v>
      </c>
      <c r="K550" s="29">
        <v>1.329</v>
      </c>
      <c r="L550" s="29" t="s">
        <v>383</v>
      </c>
      <c r="M550" s="29">
        <v>1</v>
      </c>
      <c r="N550" s="29">
        <v>0.3</v>
      </c>
      <c r="O550" s="29">
        <v>1</v>
      </c>
      <c r="P550" s="29">
        <v>1.329</v>
      </c>
      <c r="Q550" s="29" t="s">
        <v>384</v>
      </c>
    </row>
    <row r="551" spans="1:17" x14ac:dyDescent="0.3">
      <c r="A551" s="29" t="s">
        <v>508</v>
      </c>
      <c r="B551" s="29">
        <v>1</v>
      </c>
      <c r="C551" s="29" t="s">
        <v>387</v>
      </c>
      <c r="D551" s="29" t="s">
        <v>1044</v>
      </c>
      <c r="E551" s="29">
        <v>900</v>
      </c>
      <c r="G551" s="29" t="s">
        <v>292</v>
      </c>
      <c r="H551" s="29">
        <v>1</v>
      </c>
      <c r="I551" s="29">
        <v>4.43</v>
      </c>
      <c r="J551" s="29">
        <v>3.9869999999999997</v>
      </c>
      <c r="K551" s="29">
        <v>3.9869999999999997</v>
      </c>
      <c r="L551" s="29" t="s">
        <v>383</v>
      </c>
      <c r="M551" s="29">
        <v>1</v>
      </c>
      <c r="N551" s="29">
        <v>0.9</v>
      </c>
      <c r="O551" s="29">
        <v>1</v>
      </c>
      <c r="P551" s="29">
        <v>3.9869999999999997</v>
      </c>
      <c r="Q551" s="29" t="s">
        <v>384</v>
      </c>
    </row>
    <row r="552" spans="1:17" x14ac:dyDescent="0.3">
      <c r="B552" s="29">
        <v>2</v>
      </c>
      <c r="C552" s="29" t="s">
        <v>387</v>
      </c>
      <c r="D552" s="29" t="s">
        <v>1044</v>
      </c>
      <c r="E552" s="29">
        <v>300</v>
      </c>
      <c r="G552" s="29" t="s">
        <v>292</v>
      </c>
      <c r="H552" s="29">
        <v>1</v>
      </c>
      <c r="I552" s="29">
        <v>4.43</v>
      </c>
      <c r="J552" s="29">
        <v>1.329</v>
      </c>
      <c r="K552" s="29">
        <v>1.329</v>
      </c>
      <c r="L552" s="29" t="s">
        <v>383</v>
      </c>
      <c r="M552" s="29">
        <v>1</v>
      </c>
      <c r="N552" s="29">
        <v>0.3</v>
      </c>
      <c r="O552" s="29">
        <v>1</v>
      </c>
      <c r="P552" s="29">
        <v>1.329</v>
      </c>
      <c r="Q552" s="29" t="s">
        <v>384</v>
      </c>
    </row>
    <row r="553" spans="1:17" x14ac:dyDescent="0.3">
      <c r="A553" s="29" t="s">
        <v>508</v>
      </c>
      <c r="B553" s="29">
        <v>1</v>
      </c>
      <c r="C553" s="29" t="s">
        <v>387</v>
      </c>
      <c r="D553" s="29" t="s">
        <v>1044</v>
      </c>
      <c r="E553" s="29">
        <v>900</v>
      </c>
      <c r="G553" s="29" t="s">
        <v>292</v>
      </c>
      <c r="H553" s="29">
        <v>1</v>
      </c>
      <c r="I553" s="29">
        <v>4.43</v>
      </c>
      <c r="J553" s="29">
        <v>3.9869999999999997</v>
      </c>
      <c r="K553" s="29">
        <v>3.9869999999999997</v>
      </c>
      <c r="L553" s="29" t="s">
        <v>383</v>
      </c>
      <c r="M553" s="29">
        <v>1</v>
      </c>
      <c r="N553" s="29">
        <v>0.9</v>
      </c>
      <c r="O553" s="29">
        <v>1</v>
      </c>
      <c r="P553" s="29">
        <v>3.9869999999999997</v>
      </c>
      <c r="Q553" s="29" t="s">
        <v>384</v>
      </c>
    </row>
    <row r="554" spans="1:17" x14ac:dyDescent="0.3">
      <c r="B554" s="29">
        <v>2</v>
      </c>
      <c r="C554" s="29" t="s">
        <v>387</v>
      </c>
      <c r="D554" s="29" t="s">
        <v>1044</v>
      </c>
      <c r="E554" s="29">
        <v>300</v>
      </c>
      <c r="G554" s="29" t="s">
        <v>292</v>
      </c>
      <c r="H554" s="29">
        <v>1</v>
      </c>
      <c r="I554" s="29">
        <v>4.43</v>
      </c>
      <c r="J554" s="29">
        <v>1.329</v>
      </c>
      <c r="K554" s="29">
        <v>1.329</v>
      </c>
      <c r="L554" s="29" t="s">
        <v>383</v>
      </c>
      <c r="M554" s="29">
        <v>1</v>
      </c>
      <c r="N554" s="29">
        <v>0.3</v>
      </c>
      <c r="O554" s="29">
        <v>1</v>
      </c>
      <c r="P554" s="29">
        <v>1.329</v>
      </c>
      <c r="Q554" s="29" t="s">
        <v>384</v>
      </c>
    </row>
    <row r="555" spans="1:17" x14ac:dyDescent="0.3">
      <c r="A555" s="29" t="s">
        <v>509</v>
      </c>
      <c r="B555" s="29">
        <v>1</v>
      </c>
      <c r="C555" s="29" t="s">
        <v>387</v>
      </c>
      <c r="D555" s="29" t="s">
        <v>1044</v>
      </c>
      <c r="E555" s="29">
        <v>1000</v>
      </c>
      <c r="G555" s="29" t="s">
        <v>292</v>
      </c>
      <c r="H555" s="29">
        <v>1</v>
      </c>
      <c r="I555" s="29">
        <v>4.43</v>
      </c>
      <c r="J555" s="29">
        <v>4.43</v>
      </c>
      <c r="K555" s="29">
        <v>4.43</v>
      </c>
      <c r="L555" s="29" t="s">
        <v>383</v>
      </c>
      <c r="M555" s="29">
        <v>1</v>
      </c>
      <c r="N555" s="29">
        <v>1</v>
      </c>
      <c r="O555" s="29">
        <v>1</v>
      </c>
      <c r="P555" s="29">
        <v>4.43</v>
      </c>
      <c r="Q555" s="29" t="s">
        <v>384</v>
      </c>
    </row>
    <row r="556" spans="1:17" x14ac:dyDescent="0.3">
      <c r="B556" s="29">
        <v>2</v>
      </c>
      <c r="C556" s="29" t="s">
        <v>387</v>
      </c>
      <c r="D556" s="29" t="s">
        <v>1044</v>
      </c>
      <c r="E556" s="29">
        <v>300</v>
      </c>
      <c r="G556" s="29" t="s">
        <v>292</v>
      </c>
      <c r="H556" s="29">
        <v>1</v>
      </c>
      <c r="I556" s="29">
        <v>4.43</v>
      </c>
      <c r="J556" s="29">
        <v>1.329</v>
      </c>
      <c r="K556" s="29">
        <v>1.329</v>
      </c>
      <c r="L556" s="29" t="s">
        <v>383</v>
      </c>
      <c r="M556" s="29">
        <v>1</v>
      </c>
      <c r="N556" s="29">
        <v>0.3</v>
      </c>
      <c r="O556" s="29">
        <v>1</v>
      </c>
      <c r="P556" s="29">
        <v>1.329</v>
      </c>
      <c r="Q556" s="29" t="s">
        <v>384</v>
      </c>
    </row>
    <row r="557" spans="1:17" x14ac:dyDescent="0.3">
      <c r="A557" s="29" t="s">
        <v>510</v>
      </c>
      <c r="B557" s="29">
        <v>1</v>
      </c>
      <c r="C557" s="29" t="s">
        <v>387</v>
      </c>
      <c r="D557" s="29" t="s">
        <v>1045</v>
      </c>
      <c r="E557" s="29">
        <v>300</v>
      </c>
      <c r="G557" s="29" t="s">
        <v>292</v>
      </c>
      <c r="H557" s="29">
        <v>1</v>
      </c>
      <c r="I557" s="29">
        <v>9.9600000000000009</v>
      </c>
      <c r="J557" s="29">
        <v>2.988</v>
      </c>
      <c r="K557" s="29">
        <v>2.988</v>
      </c>
      <c r="L557" s="29" t="s">
        <v>383</v>
      </c>
      <c r="M557" s="29">
        <v>1</v>
      </c>
      <c r="N557" s="29">
        <v>0.3</v>
      </c>
      <c r="O557" s="29">
        <v>1</v>
      </c>
      <c r="P557" s="29">
        <v>2.988</v>
      </c>
      <c r="Q557" s="29" t="s">
        <v>384</v>
      </c>
    </row>
    <row r="558" spans="1:17" x14ac:dyDescent="0.3">
      <c r="B558" s="29">
        <v>2</v>
      </c>
      <c r="C558" s="29" t="s">
        <v>387</v>
      </c>
      <c r="D558" s="29" t="s">
        <v>1045</v>
      </c>
      <c r="E558" s="29">
        <v>300</v>
      </c>
      <c r="G558" s="29" t="s">
        <v>292</v>
      </c>
      <c r="H558" s="29">
        <v>1</v>
      </c>
      <c r="I558" s="29">
        <v>9.9600000000000009</v>
      </c>
      <c r="J558" s="29">
        <v>2.988</v>
      </c>
      <c r="K558" s="29">
        <v>2.988</v>
      </c>
      <c r="L558" s="29" t="s">
        <v>383</v>
      </c>
      <c r="M558" s="29">
        <v>1</v>
      </c>
      <c r="N558" s="29">
        <v>0.3</v>
      </c>
      <c r="O558" s="29">
        <v>1</v>
      </c>
      <c r="P558" s="29">
        <v>2.988</v>
      </c>
      <c r="Q558" s="29" t="s">
        <v>384</v>
      </c>
    </row>
    <row r="559" spans="1:17" x14ac:dyDescent="0.3">
      <c r="A559" s="29" t="s">
        <v>510</v>
      </c>
      <c r="B559" s="29">
        <v>1</v>
      </c>
      <c r="C559" s="29" t="s">
        <v>387</v>
      </c>
      <c r="D559" s="29" t="s">
        <v>1045</v>
      </c>
      <c r="E559" s="29">
        <v>300</v>
      </c>
      <c r="G559" s="29" t="s">
        <v>292</v>
      </c>
      <c r="H559" s="29">
        <v>1</v>
      </c>
      <c r="I559" s="29">
        <v>9.9600000000000009</v>
      </c>
      <c r="J559" s="29">
        <v>2.988</v>
      </c>
      <c r="K559" s="29">
        <v>2.988</v>
      </c>
      <c r="L559" s="29" t="s">
        <v>383</v>
      </c>
      <c r="M559" s="29">
        <v>1</v>
      </c>
      <c r="N559" s="29">
        <v>0.3</v>
      </c>
      <c r="O559" s="29">
        <v>1</v>
      </c>
      <c r="P559" s="29">
        <v>2.988</v>
      </c>
      <c r="Q559" s="29" t="s">
        <v>384</v>
      </c>
    </row>
    <row r="560" spans="1:17" x14ac:dyDescent="0.3">
      <c r="B560" s="29">
        <v>2</v>
      </c>
      <c r="C560" s="29" t="s">
        <v>387</v>
      </c>
      <c r="D560" s="29" t="s">
        <v>1045</v>
      </c>
      <c r="E560" s="29">
        <v>300</v>
      </c>
      <c r="G560" s="29" t="s">
        <v>292</v>
      </c>
      <c r="H560" s="29">
        <v>1</v>
      </c>
      <c r="I560" s="29">
        <v>9.9600000000000009</v>
      </c>
      <c r="J560" s="29">
        <v>2.988</v>
      </c>
      <c r="K560" s="29">
        <v>2.988</v>
      </c>
      <c r="L560" s="29" t="s">
        <v>383</v>
      </c>
      <c r="M560" s="29">
        <v>1</v>
      </c>
      <c r="N560" s="29">
        <v>0.3</v>
      </c>
      <c r="O560" s="29">
        <v>1</v>
      </c>
      <c r="P560" s="29">
        <v>2.988</v>
      </c>
      <c r="Q560" s="29" t="s">
        <v>384</v>
      </c>
    </row>
    <row r="561" spans="1:17" x14ac:dyDescent="0.3">
      <c r="A561" s="29" t="s">
        <v>511</v>
      </c>
      <c r="B561" s="29">
        <v>1</v>
      </c>
      <c r="C561" s="29" t="s">
        <v>387</v>
      </c>
      <c r="D561" s="29" t="s">
        <v>1045</v>
      </c>
      <c r="E561" s="29">
        <v>300</v>
      </c>
      <c r="G561" s="29" t="s">
        <v>292</v>
      </c>
      <c r="H561" s="29">
        <v>1</v>
      </c>
      <c r="I561" s="29">
        <v>9.9600000000000009</v>
      </c>
      <c r="J561" s="29">
        <v>2.988</v>
      </c>
      <c r="K561" s="29">
        <v>2.988</v>
      </c>
      <c r="L561" s="29" t="s">
        <v>383</v>
      </c>
      <c r="M561" s="29">
        <v>1</v>
      </c>
      <c r="N561" s="29">
        <v>0.3</v>
      </c>
      <c r="O561" s="29">
        <v>1</v>
      </c>
      <c r="P561" s="29">
        <v>2.988</v>
      </c>
      <c r="Q561" s="29" t="s">
        <v>384</v>
      </c>
    </row>
    <row r="562" spans="1:17" x14ac:dyDescent="0.3">
      <c r="B562" s="29">
        <v>2</v>
      </c>
      <c r="C562" s="29" t="s">
        <v>387</v>
      </c>
      <c r="D562" s="29" t="s">
        <v>1045</v>
      </c>
      <c r="E562" s="29">
        <v>500</v>
      </c>
      <c r="G562" s="29" t="s">
        <v>292</v>
      </c>
      <c r="H562" s="29">
        <v>1</v>
      </c>
      <c r="I562" s="29">
        <v>9.9600000000000009</v>
      </c>
      <c r="J562" s="29">
        <v>4.9800000000000004</v>
      </c>
      <c r="K562" s="29">
        <v>4.9800000000000004</v>
      </c>
      <c r="L562" s="29" t="s">
        <v>383</v>
      </c>
      <c r="M562" s="29">
        <v>1</v>
      </c>
      <c r="N562" s="29">
        <v>0.5</v>
      </c>
      <c r="O562" s="29">
        <v>1</v>
      </c>
      <c r="P562" s="29">
        <v>4.9800000000000004</v>
      </c>
      <c r="Q562" s="29" t="s">
        <v>384</v>
      </c>
    </row>
    <row r="563" spans="1:17" x14ac:dyDescent="0.3">
      <c r="A563" s="29" t="s">
        <v>512</v>
      </c>
      <c r="B563" s="29">
        <v>1</v>
      </c>
      <c r="C563" s="29" t="s">
        <v>387</v>
      </c>
      <c r="D563" s="29" t="s">
        <v>1045</v>
      </c>
      <c r="E563" s="29">
        <v>300</v>
      </c>
      <c r="G563" s="29" t="s">
        <v>292</v>
      </c>
      <c r="H563" s="29">
        <v>1</v>
      </c>
      <c r="I563" s="29">
        <v>9.9600000000000009</v>
      </c>
      <c r="J563" s="29">
        <v>2.988</v>
      </c>
      <c r="K563" s="29">
        <v>2.988</v>
      </c>
      <c r="L563" s="29" t="s">
        <v>383</v>
      </c>
      <c r="M563" s="29">
        <v>1</v>
      </c>
      <c r="N563" s="29">
        <v>0.3</v>
      </c>
      <c r="O563" s="29">
        <v>1</v>
      </c>
      <c r="P563" s="29">
        <v>2.988</v>
      </c>
      <c r="Q563" s="29" t="s">
        <v>384</v>
      </c>
    </row>
    <row r="564" spans="1:17" x14ac:dyDescent="0.3">
      <c r="B564" s="29">
        <v>2</v>
      </c>
      <c r="C564" s="29" t="s">
        <v>387</v>
      </c>
      <c r="D564" s="29" t="s">
        <v>1045</v>
      </c>
      <c r="E564" s="29">
        <v>700</v>
      </c>
      <c r="G564" s="29" t="s">
        <v>292</v>
      </c>
      <c r="H564" s="29">
        <v>1</v>
      </c>
      <c r="I564" s="29">
        <v>9.9600000000000009</v>
      </c>
      <c r="J564" s="29">
        <v>6.9720000000000004</v>
      </c>
      <c r="K564" s="29">
        <v>6.9720000000000004</v>
      </c>
      <c r="L564" s="29" t="s">
        <v>383</v>
      </c>
      <c r="M564" s="29">
        <v>1</v>
      </c>
      <c r="N564" s="29">
        <v>0.7</v>
      </c>
      <c r="O564" s="29">
        <v>1</v>
      </c>
      <c r="P564" s="29">
        <v>6.9720000000000004</v>
      </c>
      <c r="Q564" s="29" t="s">
        <v>384</v>
      </c>
    </row>
    <row r="565" spans="1:17" x14ac:dyDescent="0.3">
      <c r="A565" s="29" t="s">
        <v>513</v>
      </c>
      <c r="B565" s="29">
        <v>1</v>
      </c>
      <c r="C565" s="29" t="s">
        <v>387</v>
      </c>
      <c r="D565" s="29" t="s">
        <v>1045</v>
      </c>
      <c r="E565" s="29">
        <v>400</v>
      </c>
      <c r="G565" s="29" t="s">
        <v>292</v>
      </c>
      <c r="H565" s="29">
        <v>1</v>
      </c>
      <c r="I565" s="29">
        <v>9.9600000000000009</v>
      </c>
      <c r="J565" s="29">
        <v>3.9840000000000004</v>
      </c>
      <c r="K565" s="29">
        <v>3.9840000000000004</v>
      </c>
      <c r="L565" s="29" t="s">
        <v>383</v>
      </c>
      <c r="M565" s="29">
        <v>1</v>
      </c>
      <c r="N565" s="29">
        <v>0.4</v>
      </c>
      <c r="O565" s="29">
        <v>1</v>
      </c>
      <c r="P565" s="29">
        <v>3.9840000000000004</v>
      </c>
      <c r="Q565" s="29" t="s">
        <v>384</v>
      </c>
    </row>
    <row r="566" spans="1:17" x14ac:dyDescent="0.3">
      <c r="B566" s="29">
        <v>2</v>
      </c>
      <c r="C566" s="29" t="s">
        <v>387</v>
      </c>
      <c r="D566" s="29" t="s">
        <v>1045</v>
      </c>
      <c r="E566" s="29">
        <v>300</v>
      </c>
      <c r="G566" s="29" t="s">
        <v>292</v>
      </c>
      <c r="H566" s="29">
        <v>1</v>
      </c>
      <c r="I566" s="29">
        <v>9.9600000000000009</v>
      </c>
      <c r="J566" s="29">
        <v>2.988</v>
      </c>
      <c r="K566" s="29">
        <v>2.988</v>
      </c>
      <c r="L566" s="29" t="s">
        <v>383</v>
      </c>
      <c r="M566" s="29">
        <v>1</v>
      </c>
      <c r="N566" s="29">
        <v>0.3</v>
      </c>
      <c r="O566" s="29">
        <v>1</v>
      </c>
      <c r="P566" s="29">
        <v>2.988</v>
      </c>
      <c r="Q566" s="29" t="s">
        <v>384</v>
      </c>
    </row>
    <row r="567" spans="1:17" x14ac:dyDescent="0.3">
      <c r="A567" s="29" t="s">
        <v>514</v>
      </c>
      <c r="B567" s="29">
        <v>1</v>
      </c>
      <c r="C567" s="29" t="s">
        <v>387</v>
      </c>
      <c r="D567" s="29" t="s">
        <v>1045</v>
      </c>
      <c r="E567" s="29">
        <v>400</v>
      </c>
      <c r="G567" s="29" t="s">
        <v>292</v>
      </c>
      <c r="H567" s="29">
        <v>1</v>
      </c>
      <c r="I567" s="29">
        <v>9.9600000000000009</v>
      </c>
      <c r="J567" s="29">
        <v>3.9840000000000004</v>
      </c>
      <c r="K567" s="29">
        <v>3.9840000000000004</v>
      </c>
      <c r="L567" s="29" t="s">
        <v>383</v>
      </c>
      <c r="M567" s="29">
        <v>1</v>
      </c>
      <c r="N567" s="29">
        <v>0.4</v>
      </c>
      <c r="O567" s="29">
        <v>1</v>
      </c>
      <c r="P567" s="29">
        <v>3.9840000000000004</v>
      </c>
      <c r="Q567" s="29" t="s">
        <v>384</v>
      </c>
    </row>
    <row r="568" spans="1:17" x14ac:dyDescent="0.3">
      <c r="B568" s="29">
        <v>2</v>
      </c>
      <c r="C568" s="29" t="s">
        <v>387</v>
      </c>
      <c r="D568" s="29" t="s">
        <v>1045</v>
      </c>
      <c r="E568" s="29">
        <v>600</v>
      </c>
      <c r="G568" s="29" t="s">
        <v>292</v>
      </c>
      <c r="H568" s="29">
        <v>1</v>
      </c>
      <c r="I568" s="29">
        <v>9.9600000000000009</v>
      </c>
      <c r="J568" s="29">
        <v>5.976</v>
      </c>
      <c r="K568" s="29">
        <v>5.976</v>
      </c>
      <c r="L568" s="29" t="s">
        <v>383</v>
      </c>
      <c r="M568" s="29">
        <v>1</v>
      </c>
      <c r="N568" s="29">
        <v>0.6</v>
      </c>
      <c r="O568" s="29">
        <v>1</v>
      </c>
      <c r="P568" s="29">
        <v>5.976</v>
      </c>
      <c r="Q568" s="29" t="s">
        <v>384</v>
      </c>
    </row>
    <row r="569" spans="1:17" x14ac:dyDescent="0.3">
      <c r="A569" s="29" t="s">
        <v>515</v>
      </c>
      <c r="B569" s="29">
        <v>1</v>
      </c>
      <c r="C569" s="29" t="s">
        <v>387</v>
      </c>
      <c r="D569" s="29" t="s">
        <v>1045</v>
      </c>
      <c r="E569" s="29">
        <v>400</v>
      </c>
      <c r="G569" s="29" t="s">
        <v>292</v>
      </c>
      <c r="H569" s="29">
        <v>1</v>
      </c>
      <c r="I569" s="29">
        <v>9.9600000000000009</v>
      </c>
      <c r="J569" s="29">
        <v>3.9840000000000004</v>
      </c>
      <c r="K569" s="29">
        <v>3.9840000000000004</v>
      </c>
      <c r="L569" s="29" t="s">
        <v>383</v>
      </c>
      <c r="M569" s="29">
        <v>1</v>
      </c>
      <c r="N569" s="29">
        <v>0.4</v>
      </c>
      <c r="O569" s="29">
        <v>1</v>
      </c>
      <c r="P569" s="29">
        <v>3.9840000000000004</v>
      </c>
      <c r="Q569" s="29" t="s">
        <v>384</v>
      </c>
    </row>
    <row r="570" spans="1:17" x14ac:dyDescent="0.3">
      <c r="B570" s="29">
        <v>2</v>
      </c>
      <c r="C570" s="29" t="s">
        <v>387</v>
      </c>
      <c r="D570" s="29" t="s">
        <v>1045</v>
      </c>
      <c r="E570" s="29">
        <v>700</v>
      </c>
      <c r="G570" s="29" t="s">
        <v>292</v>
      </c>
      <c r="H570" s="29">
        <v>1</v>
      </c>
      <c r="I570" s="29">
        <v>9.9600000000000009</v>
      </c>
      <c r="J570" s="29">
        <v>6.9720000000000004</v>
      </c>
      <c r="K570" s="29">
        <v>6.9720000000000004</v>
      </c>
      <c r="L570" s="29" t="s">
        <v>383</v>
      </c>
      <c r="M570" s="29">
        <v>1</v>
      </c>
      <c r="N570" s="29">
        <v>0.7</v>
      </c>
      <c r="O570" s="29">
        <v>1</v>
      </c>
      <c r="P570" s="29">
        <v>6.9720000000000004</v>
      </c>
      <c r="Q570" s="29" t="s">
        <v>384</v>
      </c>
    </row>
    <row r="571" spans="1:17" x14ac:dyDescent="0.3">
      <c r="A571" s="29" t="s">
        <v>515</v>
      </c>
      <c r="B571" s="29">
        <v>1</v>
      </c>
      <c r="C571" s="29" t="s">
        <v>387</v>
      </c>
      <c r="D571" s="29" t="s">
        <v>1045</v>
      </c>
      <c r="E571" s="29">
        <v>400</v>
      </c>
      <c r="G571" s="29" t="s">
        <v>292</v>
      </c>
      <c r="H571" s="29">
        <v>1</v>
      </c>
      <c r="I571" s="29">
        <v>9.9600000000000009</v>
      </c>
      <c r="J571" s="29">
        <v>3.9840000000000004</v>
      </c>
      <c r="K571" s="29">
        <v>3.9840000000000004</v>
      </c>
      <c r="L571" s="29" t="s">
        <v>383</v>
      </c>
      <c r="M571" s="29">
        <v>1</v>
      </c>
      <c r="N571" s="29">
        <v>0.4</v>
      </c>
      <c r="O571" s="29">
        <v>1</v>
      </c>
      <c r="P571" s="29">
        <v>3.9840000000000004</v>
      </c>
      <c r="Q571" s="29" t="s">
        <v>384</v>
      </c>
    </row>
    <row r="572" spans="1:17" x14ac:dyDescent="0.3">
      <c r="B572" s="29">
        <v>2</v>
      </c>
      <c r="C572" s="29" t="s">
        <v>387</v>
      </c>
      <c r="D572" s="29" t="s">
        <v>1045</v>
      </c>
      <c r="E572" s="29">
        <v>700</v>
      </c>
      <c r="G572" s="29" t="s">
        <v>292</v>
      </c>
      <c r="H572" s="29">
        <v>1</v>
      </c>
      <c r="I572" s="29">
        <v>9.9600000000000009</v>
      </c>
      <c r="J572" s="29">
        <v>6.9720000000000004</v>
      </c>
      <c r="K572" s="29">
        <v>6.9720000000000004</v>
      </c>
      <c r="L572" s="29" t="s">
        <v>383</v>
      </c>
      <c r="M572" s="29">
        <v>1</v>
      </c>
      <c r="N572" s="29">
        <v>0.7</v>
      </c>
      <c r="O572" s="29">
        <v>1</v>
      </c>
      <c r="P572" s="29">
        <v>6.9720000000000004</v>
      </c>
      <c r="Q572" s="29" t="s">
        <v>384</v>
      </c>
    </row>
    <row r="573" spans="1:17" x14ac:dyDescent="0.3">
      <c r="A573" s="29" t="s">
        <v>516</v>
      </c>
      <c r="B573" s="29">
        <v>1</v>
      </c>
      <c r="C573" s="29" t="s">
        <v>387</v>
      </c>
      <c r="D573" s="29" t="s">
        <v>1045</v>
      </c>
      <c r="E573" s="29">
        <v>400</v>
      </c>
      <c r="G573" s="29" t="s">
        <v>292</v>
      </c>
      <c r="H573" s="29">
        <v>1</v>
      </c>
      <c r="I573" s="29">
        <v>9.9600000000000009</v>
      </c>
      <c r="J573" s="29">
        <v>3.9840000000000004</v>
      </c>
      <c r="K573" s="29">
        <v>3.9840000000000004</v>
      </c>
      <c r="L573" s="29" t="s">
        <v>383</v>
      </c>
      <c r="M573" s="29">
        <v>1</v>
      </c>
      <c r="N573" s="29">
        <v>0.4</v>
      </c>
      <c r="O573" s="29">
        <v>1</v>
      </c>
      <c r="P573" s="29">
        <v>3.9840000000000004</v>
      </c>
      <c r="Q573" s="29" t="s">
        <v>384</v>
      </c>
    </row>
    <row r="574" spans="1:17" x14ac:dyDescent="0.3">
      <c r="B574" s="29">
        <v>2</v>
      </c>
      <c r="C574" s="29" t="s">
        <v>387</v>
      </c>
      <c r="D574" s="29" t="s">
        <v>1045</v>
      </c>
      <c r="E574" s="29">
        <v>800</v>
      </c>
      <c r="G574" s="29" t="s">
        <v>292</v>
      </c>
      <c r="H574" s="29">
        <v>1</v>
      </c>
      <c r="I574" s="29">
        <v>9.9600000000000009</v>
      </c>
      <c r="J574" s="29">
        <v>7.9680000000000009</v>
      </c>
      <c r="K574" s="29">
        <v>7.9680000000000009</v>
      </c>
      <c r="L574" s="29" t="s">
        <v>383</v>
      </c>
      <c r="M574" s="29">
        <v>1</v>
      </c>
      <c r="N574" s="29">
        <v>0.8</v>
      </c>
      <c r="O574" s="29">
        <v>1</v>
      </c>
      <c r="P574" s="29">
        <v>7.9680000000000009</v>
      </c>
      <c r="Q574" s="29" t="s">
        <v>384</v>
      </c>
    </row>
    <row r="575" spans="1:17" x14ac:dyDescent="0.3">
      <c r="A575" s="29" t="s">
        <v>517</v>
      </c>
      <c r="B575" s="29">
        <v>1</v>
      </c>
      <c r="C575" s="29" t="s">
        <v>387</v>
      </c>
      <c r="D575" s="29" t="s">
        <v>1045</v>
      </c>
      <c r="E575" s="29">
        <v>500</v>
      </c>
      <c r="G575" s="29" t="s">
        <v>292</v>
      </c>
      <c r="H575" s="29">
        <v>1</v>
      </c>
      <c r="I575" s="29">
        <v>9.9600000000000009</v>
      </c>
      <c r="J575" s="29">
        <v>4.9800000000000004</v>
      </c>
      <c r="K575" s="29">
        <v>4.9800000000000004</v>
      </c>
      <c r="L575" s="29" t="s">
        <v>383</v>
      </c>
      <c r="M575" s="29">
        <v>1</v>
      </c>
      <c r="N575" s="29">
        <v>0.5</v>
      </c>
      <c r="O575" s="29">
        <v>1</v>
      </c>
      <c r="P575" s="29">
        <v>4.9800000000000004</v>
      </c>
      <c r="Q575" s="29" t="s">
        <v>384</v>
      </c>
    </row>
    <row r="576" spans="1:17" x14ac:dyDescent="0.3">
      <c r="B576" s="29">
        <v>2</v>
      </c>
      <c r="C576" s="29" t="s">
        <v>387</v>
      </c>
      <c r="D576" s="29" t="s">
        <v>1045</v>
      </c>
      <c r="E576" s="29">
        <v>300</v>
      </c>
      <c r="G576" s="29" t="s">
        <v>292</v>
      </c>
      <c r="H576" s="29">
        <v>1</v>
      </c>
      <c r="I576" s="29">
        <v>9.9600000000000009</v>
      </c>
      <c r="J576" s="29">
        <v>2.988</v>
      </c>
      <c r="K576" s="29">
        <v>2.988</v>
      </c>
      <c r="L576" s="29" t="s">
        <v>383</v>
      </c>
      <c r="M576" s="29">
        <v>1</v>
      </c>
      <c r="N576" s="29">
        <v>0.3</v>
      </c>
      <c r="O576" s="29">
        <v>1</v>
      </c>
      <c r="P576" s="29">
        <v>2.988</v>
      </c>
      <c r="Q576" s="29" t="s">
        <v>384</v>
      </c>
    </row>
    <row r="577" spans="1:17" x14ac:dyDescent="0.3">
      <c r="A577" s="29" t="s">
        <v>517</v>
      </c>
      <c r="B577" s="29">
        <v>1</v>
      </c>
      <c r="C577" s="29" t="s">
        <v>387</v>
      </c>
      <c r="D577" s="29" t="s">
        <v>1045</v>
      </c>
      <c r="E577" s="29">
        <v>500</v>
      </c>
      <c r="G577" s="29" t="s">
        <v>292</v>
      </c>
      <c r="H577" s="29">
        <v>1</v>
      </c>
      <c r="I577" s="29">
        <v>9.9600000000000009</v>
      </c>
      <c r="J577" s="29">
        <v>4.9800000000000004</v>
      </c>
      <c r="K577" s="29">
        <v>4.9800000000000004</v>
      </c>
      <c r="L577" s="29" t="s">
        <v>383</v>
      </c>
      <c r="M577" s="29">
        <v>1</v>
      </c>
      <c r="N577" s="29">
        <v>0.5</v>
      </c>
      <c r="O577" s="29">
        <v>1</v>
      </c>
      <c r="P577" s="29">
        <v>4.9800000000000004</v>
      </c>
      <c r="Q577" s="29" t="s">
        <v>384</v>
      </c>
    </row>
    <row r="578" spans="1:17" x14ac:dyDescent="0.3">
      <c r="B578" s="29">
        <v>2</v>
      </c>
      <c r="C578" s="29" t="s">
        <v>387</v>
      </c>
      <c r="D578" s="29" t="s">
        <v>1045</v>
      </c>
      <c r="E578" s="29">
        <v>300</v>
      </c>
      <c r="G578" s="29" t="s">
        <v>292</v>
      </c>
      <c r="H578" s="29">
        <v>1</v>
      </c>
      <c r="I578" s="29">
        <v>9.9600000000000009</v>
      </c>
      <c r="J578" s="29">
        <v>2.988</v>
      </c>
      <c r="K578" s="29">
        <v>2.988</v>
      </c>
      <c r="L578" s="29" t="s">
        <v>383</v>
      </c>
      <c r="M578" s="29">
        <v>1</v>
      </c>
      <c r="N578" s="29">
        <v>0.3</v>
      </c>
      <c r="O578" s="29">
        <v>1</v>
      </c>
      <c r="P578" s="29">
        <v>2.988</v>
      </c>
      <c r="Q578" s="29" t="s">
        <v>384</v>
      </c>
    </row>
    <row r="579" spans="1:17" x14ac:dyDescent="0.3">
      <c r="A579" s="29" t="s">
        <v>517</v>
      </c>
      <c r="B579" s="29">
        <v>1</v>
      </c>
      <c r="C579" s="29" t="s">
        <v>387</v>
      </c>
      <c r="D579" s="29" t="s">
        <v>1045</v>
      </c>
      <c r="E579" s="29">
        <v>500</v>
      </c>
      <c r="G579" s="29" t="s">
        <v>292</v>
      </c>
      <c r="H579" s="29">
        <v>1</v>
      </c>
      <c r="I579" s="29">
        <v>9.9600000000000009</v>
      </c>
      <c r="J579" s="29">
        <v>4.9800000000000004</v>
      </c>
      <c r="K579" s="29">
        <v>4.9800000000000004</v>
      </c>
      <c r="L579" s="29" t="s">
        <v>383</v>
      </c>
      <c r="M579" s="29">
        <v>1</v>
      </c>
      <c r="N579" s="29">
        <v>0.5</v>
      </c>
      <c r="O579" s="29">
        <v>1</v>
      </c>
      <c r="P579" s="29">
        <v>4.9800000000000004</v>
      </c>
      <c r="Q579" s="29" t="s">
        <v>384</v>
      </c>
    </row>
    <row r="580" spans="1:17" x14ac:dyDescent="0.3">
      <c r="B580" s="29">
        <v>2</v>
      </c>
      <c r="C580" s="29" t="s">
        <v>387</v>
      </c>
      <c r="D580" s="29" t="s">
        <v>1045</v>
      </c>
      <c r="E580" s="29">
        <v>300</v>
      </c>
      <c r="G580" s="29" t="s">
        <v>292</v>
      </c>
      <c r="H580" s="29">
        <v>1</v>
      </c>
      <c r="I580" s="29">
        <v>9.9600000000000009</v>
      </c>
      <c r="J580" s="29">
        <v>2.988</v>
      </c>
      <c r="K580" s="29">
        <v>2.988</v>
      </c>
      <c r="L580" s="29" t="s">
        <v>383</v>
      </c>
      <c r="M580" s="29">
        <v>1</v>
      </c>
      <c r="N580" s="29">
        <v>0.3</v>
      </c>
      <c r="O580" s="29">
        <v>1</v>
      </c>
      <c r="P580" s="29">
        <v>2.988</v>
      </c>
      <c r="Q580" s="29" t="s">
        <v>384</v>
      </c>
    </row>
    <row r="581" spans="1:17" x14ac:dyDescent="0.3">
      <c r="A581" s="29" t="s">
        <v>518</v>
      </c>
      <c r="B581" s="29">
        <v>1</v>
      </c>
      <c r="C581" s="29" t="s">
        <v>387</v>
      </c>
      <c r="D581" s="29" t="s">
        <v>1045</v>
      </c>
      <c r="E581" s="29">
        <v>500</v>
      </c>
      <c r="G581" s="29" t="s">
        <v>292</v>
      </c>
      <c r="H581" s="29">
        <v>1</v>
      </c>
      <c r="I581" s="29">
        <v>9.9600000000000009</v>
      </c>
      <c r="J581" s="29">
        <v>4.9800000000000004</v>
      </c>
      <c r="K581" s="29">
        <v>4.9800000000000004</v>
      </c>
      <c r="L581" s="29" t="s">
        <v>383</v>
      </c>
      <c r="M581" s="29">
        <v>1</v>
      </c>
      <c r="N581" s="29">
        <v>0.5</v>
      </c>
      <c r="O581" s="29">
        <v>1</v>
      </c>
      <c r="P581" s="29">
        <v>4.9800000000000004</v>
      </c>
      <c r="Q581" s="29" t="s">
        <v>384</v>
      </c>
    </row>
    <row r="582" spans="1:17" x14ac:dyDescent="0.3">
      <c r="B582" s="29">
        <v>2</v>
      </c>
      <c r="C582" s="29" t="s">
        <v>387</v>
      </c>
      <c r="D582" s="29" t="s">
        <v>1045</v>
      </c>
      <c r="E582" s="29">
        <v>500</v>
      </c>
      <c r="G582" s="29" t="s">
        <v>292</v>
      </c>
      <c r="H582" s="29">
        <v>1</v>
      </c>
      <c r="I582" s="29">
        <v>9.9600000000000009</v>
      </c>
      <c r="J582" s="29">
        <v>4.9800000000000004</v>
      </c>
      <c r="K582" s="29">
        <v>4.9800000000000004</v>
      </c>
      <c r="L582" s="29" t="s">
        <v>383</v>
      </c>
      <c r="M582" s="29">
        <v>1</v>
      </c>
      <c r="N582" s="29">
        <v>0.5</v>
      </c>
      <c r="O582" s="29">
        <v>1</v>
      </c>
      <c r="P582" s="29">
        <v>4.9800000000000004</v>
      </c>
      <c r="Q582" s="29" t="s">
        <v>384</v>
      </c>
    </row>
    <row r="583" spans="1:17" x14ac:dyDescent="0.3">
      <c r="A583" s="29" t="s">
        <v>518</v>
      </c>
      <c r="B583" s="29">
        <v>1</v>
      </c>
      <c r="C583" s="29" t="s">
        <v>387</v>
      </c>
      <c r="D583" s="29" t="s">
        <v>1045</v>
      </c>
      <c r="E583" s="29">
        <v>500</v>
      </c>
      <c r="G583" s="29" t="s">
        <v>292</v>
      </c>
      <c r="H583" s="29">
        <v>1</v>
      </c>
      <c r="I583" s="29">
        <v>9.9600000000000009</v>
      </c>
      <c r="J583" s="29">
        <v>4.9800000000000004</v>
      </c>
      <c r="K583" s="29">
        <v>4.9800000000000004</v>
      </c>
      <c r="L583" s="29" t="s">
        <v>383</v>
      </c>
      <c r="M583" s="29">
        <v>1</v>
      </c>
      <c r="N583" s="29">
        <v>0.5</v>
      </c>
      <c r="O583" s="29">
        <v>1</v>
      </c>
      <c r="P583" s="29">
        <v>4.9800000000000004</v>
      </c>
      <c r="Q583" s="29" t="s">
        <v>384</v>
      </c>
    </row>
    <row r="584" spans="1:17" x14ac:dyDescent="0.3">
      <c r="B584" s="29">
        <v>2</v>
      </c>
      <c r="C584" s="29" t="s">
        <v>387</v>
      </c>
      <c r="D584" s="29" t="s">
        <v>1045</v>
      </c>
      <c r="E584" s="29">
        <v>500</v>
      </c>
      <c r="G584" s="29" t="s">
        <v>292</v>
      </c>
      <c r="H584" s="29">
        <v>1</v>
      </c>
      <c r="I584" s="29">
        <v>9.9600000000000009</v>
      </c>
      <c r="J584" s="29">
        <v>4.9800000000000004</v>
      </c>
      <c r="K584" s="29">
        <v>4.9800000000000004</v>
      </c>
      <c r="L584" s="29" t="s">
        <v>383</v>
      </c>
      <c r="M584" s="29">
        <v>1</v>
      </c>
      <c r="N584" s="29">
        <v>0.5</v>
      </c>
      <c r="O584" s="29">
        <v>1</v>
      </c>
      <c r="P584" s="29">
        <v>4.9800000000000004</v>
      </c>
      <c r="Q584" s="29" t="s">
        <v>384</v>
      </c>
    </row>
    <row r="585" spans="1:17" x14ac:dyDescent="0.3">
      <c r="A585" s="29" t="s">
        <v>519</v>
      </c>
      <c r="B585" s="29">
        <v>1</v>
      </c>
      <c r="C585" s="29" t="s">
        <v>387</v>
      </c>
      <c r="D585" s="29" t="s">
        <v>1045</v>
      </c>
      <c r="E585" s="29">
        <v>500</v>
      </c>
      <c r="G585" s="29" t="s">
        <v>292</v>
      </c>
      <c r="H585" s="29">
        <v>1</v>
      </c>
      <c r="I585" s="29">
        <v>9.9600000000000009</v>
      </c>
      <c r="J585" s="29">
        <v>4.9800000000000004</v>
      </c>
      <c r="K585" s="29">
        <v>4.9800000000000004</v>
      </c>
      <c r="L585" s="29" t="s">
        <v>383</v>
      </c>
      <c r="M585" s="29">
        <v>1</v>
      </c>
      <c r="N585" s="29">
        <v>0.5</v>
      </c>
      <c r="O585" s="29">
        <v>1</v>
      </c>
      <c r="P585" s="29">
        <v>4.9800000000000004</v>
      </c>
      <c r="Q585" s="29" t="s">
        <v>384</v>
      </c>
    </row>
    <row r="586" spans="1:17" x14ac:dyDescent="0.3">
      <c r="B586" s="29">
        <v>2</v>
      </c>
      <c r="C586" s="29" t="s">
        <v>387</v>
      </c>
      <c r="D586" s="29" t="s">
        <v>1045</v>
      </c>
      <c r="E586" s="29">
        <v>800</v>
      </c>
      <c r="G586" s="29" t="s">
        <v>292</v>
      </c>
      <c r="H586" s="29">
        <v>1</v>
      </c>
      <c r="I586" s="29">
        <v>9.9600000000000009</v>
      </c>
      <c r="J586" s="29">
        <v>7.9680000000000009</v>
      </c>
      <c r="K586" s="29">
        <v>7.9680000000000009</v>
      </c>
      <c r="L586" s="29" t="s">
        <v>383</v>
      </c>
      <c r="M586" s="29">
        <v>1</v>
      </c>
      <c r="N586" s="29">
        <v>0.8</v>
      </c>
      <c r="O586" s="29">
        <v>1</v>
      </c>
      <c r="P586" s="29">
        <v>7.9680000000000009</v>
      </c>
      <c r="Q586" s="29" t="s">
        <v>384</v>
      </c>
    </row>
    <row r="587" spans="1:17" x14ac:dyDescent="0.3">
      <c r="A587" s="29" t="s">
        <v>520</v>
      </c>
      <c r="B587" s="29">
        <v>1</v>
      </c>
      <c r="C587" s="29" t="s">
        <v>387</v>
      </c>
      <c r="D587" s="29" t="s">
        <v>1045</v>
      </c>
      <c r="E587" s="29">
        <v>600</v>
      </c>
      <c r="G587" s="29" t="s">
        <v>292</v>
      </c>
      <c r="H587" s="29">
        <v>1</v>
      </c>
      <c r="I587" s="29">
        <v>9.9600000000000009</v>
      </c>
      <c r="J587" s="29">
        <v>5.976</v>
      </c>
      <c r="K587" s="29">
        <v>5.976</v>
      </c>
      <c r="L587" s="29" t="s">
        <v>383</v>
      </c>
      <c r="M587" s="29">
        <v>1</v>
      </c>
      <c r="N587" s="29">
        <v>0.6</v>
      </c>
      <c r="O587" s="29">
        <v>1</v>
      </c>
      <c r="P587" s="29">
        <v>5.976</v>
      </c>
      <c r="Q587" s="29" t="s">
        <v>384</v>
      </c>
    </row>
    <row r="588" spans="1:17" x14ac:dyDescent="0.3">
      <c r="B588" s="29">
        <v>2</v>
      </c>
      <c r="C588" s="29" t="s">
        <v>387</v>
      </c>
      <c r="D588" s="29" t="s">
        <v>1045</v>
      </c>
      <c r="E588" s="29">
        <v>300</v>
      </c>
      <c r="G588" s="29" t="s">
        <v>292</v>
      </c>
      <c r="H588" s="29">
        <v>1</v>
      </c>
      <c r="I588" s="29">
        <v>9.9600000000000009</v>
      </c>
      <c r="J588" s="29">
        <v>2.988</v>
      </c>
      <c r="K588" s="29">
        <v>2.988</v>
      </c>
      <c r="L588" s="29" t="s">
        <v>383</v>
      </c>
      <c r="M588" s="29">
        <v>1</v>
      </c>
      <c r="N588" s="29">
        <v>0.3</v>
      </c>
      <c r="O588" s="29">
        <v>1</v>
      </c>
      <c r="P588" s="29">
        <v>2.988</v>
      </c>
      <c r="Q588" s="29" t="s">
        <v>384</v>
      </c>
    </row>
    <row r="589" spans="1:17" x14ac:dyDescent="0.3">
      <c r="A589" s="29" t="s">
        <v>521</v>
      </c>
      <c r="B589" s="29">
        <v>1</v>
      </c>
      <c r="C589" s="29" t="s">
        <v>387</v>
      </c>
      <c r="D589" s="29" t="s">
        <v>1045</v>
      </c>
      <c r="E589" s="29">
        <v>600</v>
      </c>
      <c r="G589" s="29" t="s">
        <v>292</v>
      </c>
      <c r="H589" s="29">
        <v>1</v>
      </c>
      <c r="I589" s="29">
        <v>9.9600000000000009</v>
      </c>
      <c r="J589" s="29">
        <v>5.976</v>
      </c>
      <c r="K589" s="29">
        <v>5.976</v>
      </c>
      <c r="L589" s="29" t="s">
        <v>383</v>
      </c>
      <c r="M589" s="29">
        <v>1</v>
      </c>
      <c r="N589" s="29">
        <v>0.6</v>
      </c>
      <c r="O589" s="29">
        <v>1</v>
      </c>
      <c r="P589" s="29">
        <v>5.976</v>
      </c>
      <c r="Q589" s="29" t="s">
        <v>384</v>
      </c>
    </row>
    <row r="590" spans="1:17" x14ac:dyDescent="0.3">
      <c r="B590" s="29">
        <v>2</v>
      </c>
      <c r="C590" s="29" t="s">
        <v>387</v>
      </c>
      <c r="D590" s="29" t="s">
        <v>1045</v>
      </c>
      <c r="E590" s="29">
        <v>500</v>
      </c>
      <c r="G590" s="29" t="s">
        <v>292</v>
      </c>
      <c r="H590" s="29">
        <v>1</v>
      </c>
      <c r="I590" s="29">
        <v>9.9600000000000009</v>
      </c>
      <c r="J590" s="29">
        <v>4.9800000000000004</v>
      </c>
      <c r="K590" s="29">
        <v>4.9800000000000004</v>
      </c>
      <c r="L590" s="29" t="s">
        <v>383</v>
      </c>
      <c r="M590" s="29">
        <v>1</v>
      </c>
      <c r="N590" s="29">
        <v>0.5</v>
      </c>
      <c r="O590" s="29">
        <v>1</v>
      </c>
      <c r="P590" s="29">
        <v>4.9800000000000004</v>
      </c>
      <c r="Q590" s="29" t="s">
        <v>384</v>
      </c>
    </row>
    <row r="591" spans="1:17" x14ac:dyDescent="0.3">
      <c r="A591" s="29" t="s">
        <v>522</v>
      </c>
      <c r="B591" s="29">
        <v>1</v>
      </c>
      <c r="C591" s="29" t="s">
        <v>387</v>
      </c>
      <c r="D591" s="29" t="s">
        <v>1045</v>
      </c>
      <c r="E591" s="29">
        <v>700</v>
      </c>
      <c r="G591" s="29" t="s">
        <v>292</v>
      </c>
      <c r="H591" s="29">
        <v>1</v>
      </c>
      <c r="I591" s="29">
        <v>9.9600000000000009</v>
      </c>
      <c r="J591" s="29">
        <v>6.9720000000000004</v>
      </c>
      <c r="K591" s="29">
        <v>6.9720000000000004</v>
      </c>
      <c r="L591" s="29" t="s">
        <v>383</v>
      </c>
      <c r="M591" s="29">
        <v>1</v>
      </c>
      <c r="N591" s="29">
        <v>0.7</v>
      </c>
      <c r="O591" s="29">
        <v>1</v>
      </c>
      <c r="P591" s="29">
        <v>6.9720000000000004</v>
      </c>
      <c r="Q591" s="29" t="s">
        <v>384</v>
      </c>
    </row>
    <row r="592" spans="1:17" x14ac:dyDescent="0.3">
      <c r="B592" s="29">
        <v>2</v>
      </c>
      <c r="C592" s="29" t="s">
        <v>387</v>
      </c>
      <c r="D592" s="29" t="s">
        <v>1045</v>
      </c>
      <c r="E592" s="29">
        <v>300</v>
      </c>
      <c r="G592" s="29" t="s">
        <v>292</v>
      </c>
      <c r="H592" s="29">
        <v>1</v>
      </c>
      <c r="I592" s="29">
        <v>9.9600000000000009</v>
      </c>
      <c r="J592" s="29">
        <v>2.988</v>
      </c>
      <c r="K592" s="29">
        <v>2.988</v>
      </c>
      <c r="L592" s="29" t="s">
        <v>383</v>
      </c>
      <c r="M592" s="29">
        <v>1</v>
      </c>
      <c r="N592" s="29">
        <v>0.3</v>
      </c>
      <c r="O592" s="29">
        <v>1</v>
      </c>
      <c r="P592" s="29">
        <v>2.988</v>
      </c>
      <c r="Q592" s="29" t="s">
        <v>384</v>
      </c>
    </row>
    <row r="593" spans="1:17" x14ac:dyDescent="0.3">
      <c r="A593" s="29" t="s">
        <v>523</v>
      </c>
      <c r="B593" s="29">
        <v>1</v>
      </c>
      <c r="C593" s="29" t="s">
        <v>387</v>
      </c>
      <c r="D593" s="29" t="s">
        <v>1045</v>
      </c>
      <c r="E593" s="29">
        <v>700</v>
      </c>
      <c r="G593" s="29" t="s">
        <v>292</v>
      </c>
      <c r="H593" s="29">
        <v>1</v>
      </c>
      <c r="I593" s="29">
        <v>9.9600000000000009</v>
      </c>
      <c r="J593" s="29">
        <v>6.9720000000000004</v>
      </c>
      <c r="K593" s="29">
        <v>6.9720000000000004</v>
      </c>
      <c r="L593" s="29" t="s">
        <v>383</v>
      </c>
      <c r="M593" s="29">
        <v>1</v>
      </c>
      <c r="N593" s="29">
        <v>0.7</v>
      </c>
      <c r="O593" s="29">
        <v>1</v>
      </c>
      <c r="P593" s="29">
        <v>6.9720000000000004</v>
      </c>
      <c r="Q593" s="29" t="s">
        <v>384</v>
      </c>
    </row>
    <row r="594" spans="1:17" x14ac:dyDescent="0.3">
      <c r="B594" s="29">
        <v>2</v>
      </c>
      <c r="C594" s="29" t="s">
        <v>387</v>
      </c>
      <c r="D594" s="29" t="s">
        <v>1045</v>
      </c>
      <c r="E594" s="29">
        <v>500</v>
      </c>
      <c r="G594" s="29" t="s">
        <v>292</v>
      </c>
      <c r="H594" s="29">
        <v>1</v>
      </c>
      <c r="I594" s="29">
        <v>9.9600000000000009</v>
      </c>
      <c r="J594" s="29">
        <v>4.9800000000000004</v>
      </c>
      <c r="K594" s="29">
        <v>4.9800000000000004</v>
      </c>
      <c r="L594" s="29" t="s">
        <v>383</v>
      </c>
      <c r="M594" s="29">
        <v>1</v>
      </c>
      <c r="N594" s="29">
        <v>0.5</v>
      </c>
      <c r="O594" s="29">
        <v>1</v>
      </c>
      <c r="P594" s="29">
        <v>4.9800000000000004</v>
      </c>
      <c r="Q594" s="29" t="s">
        <v>384</v>
      </c>
    </row>
    <row r="595" spans="1:17" x14ac:dyDescent="0.3">
      <c r="A595" s="29" t="s">
        <v>523</v>
      </c>
      <c r="B595" s="29">
        <v>1</v>
      </c>
      <c r="C595" s="29" t="s">
        <v>387</v>
      </c>
      <c r="D595" s="29" t="s">
        <v>1045</v>
      </c>
      <c r="E595" s="29">
        <v>700</v>
      </c>
      <c r="G595" s="29" t="s">
        <v>292</v>
      </c>
      <c r="H595" s="29">
        <v>1</v>
      </c>
      <c r="I595" s="29">
        <v>9.9600000000000009</v>
      </c>
      <c r="J595" s="29">
        <v>6.9720000000000004</v>
      </c>
      <c r="K595" s="29">
        <v>6.9720000000000004</v>
      </c>
      <c r="L595" s="29" t="s">
        <v>383</v>
      </c>
      <c r="M595" s="29">
        <v>1</v>
      </c>
      <c r="N595" s="29">
        <v>0.7</v>
      </c>
      <c r="O595" s="29">
        <v>1</v>
      </c>
      <c r="P595" s="29">
        <v>6.9720000000000004</v>
      </c>
      <c r="Q595" s="29" t="s">
        <v>384</v>
      </c>
    </row>
    <row r="596" spans="1:17" x14ac:dyDescent="0.3">
      <c r="B596" s="29">
        <v>2</v>
      </c>
      <c r="C596" s="29" t="s">
        <v>387</v>
      </c>
      <c r="D596" s="29" t="s">
        <v>1045</v>
      </c>
      <c r="E596" s="29">
        <v>500</v>
      </c>
      <c r="G596" s="29" t="s">
        <v>292</v>
      </c>
      <c r="H596" s="29">
        <v>1</v>
      </c>
      <c r="I596" s="29">
        <v>9.9600000000000009</v>
      </c>
      <c r="J596" s="29">
        <v>4.9800000000000004</v>
      </c>
      <c r="K596" s="29">
        <v>4.9800000000000004</v>
      </c>
      <c r="L596" s="29" t="s">
        <v>383</v>
      </c>
      <c r="M596" s="29">
        <v>1</v>
      </c>
      <c r="N596" s="29">
        <v>0.5</v>
      </c>
      <c r="O596" s="29">
        <v>1</v>
      </c>
      <c r="P596" s="29">
        <v>4.9800000000000004</v>
      </c>
      <c r="Q596" s="29" t="s">
        <v>384</v>
      </c>
    </row>
    <row r="597" spans="1:17" x14ac:dyDescent="0.3">
      <c r="A597" s="29" t="s">
        <v>523</v>
      </c>
      <c r="B597" s="29">
        <v>1</v>
      </c>
      <c r="C597" s="29" t="s">
        <v>387</v>
      </c>
      <c r="D597" s="29" t="s">
        <v>1045</v>
      </c>
      <c r="E597" s="29">
        <v>700</v>
      </c>
      <c r="G597" s="29" t="s">
        <v>292</v>
      </c>
      <c r="H597" s="29">
        <v>1</v>
      </c>
      <c r="I597" s="29">
        <v>9.9600000000000009</v>
      </c>
      <c r="J597" s="29">
        <v>6.9720000000000004</v>
      </c>
      <c r="K597" s="29">
        <v>6.9720000000000004</v>
      </c>
      <c r="L597" s="29" t="s">
        <v>383</v>
      </c>
      <c r="M597" s="29">
        <v>1</v>
      </c>
      <c r="N597" s="29">
        <v>0.7</v>
      </c>
      <c r="O597" s="29">
        <v>1</v>
      </c>
      <c r="P597" s="29">
        <v>6.9720000000000004</v>
      </c>
      <c r="Q597" s="29" t="s">
        <v>384</v>
      </c>
    </row>
    <row r="598" spans="1:17" x14ac:dyDescent="0.3">
      <c r="B598" s="29">
        <v>2</v>
      </c>
      <c r="C598" s="29" t="s">
        <v>387</v>
      </c>
      <c r="D598" s="29" t="s">
        <v>1045</v>
      </c>
      <c r="E598" s="29">
        <v>500</v>
      </c>
      <c r="G598" s="29" t="s">
        <v>292</v>
      </c>
      <c r="H598" s="29">
        <v>1</v>
      </c>
      <c r="I598" s="29">
        <v>9.9600000000000009</v>
      </c>
      <c r="J598" s="29">
        <v>4.9800000000000004</v>
      </c>
      <c r="K598" s="29">
        <v>4.9800000000000004</v>
      </c>
      <c r="L598" s="29" t="s">
        <v>383</v>
      </c>
      <c r="M598" s="29">
        <v>1</v>
      </c>
      <c r="N598" s="29">
        <v>0.5</v>
      </c>
      <c r="O598" s="29">
        <v>1</v>
      </c>
      <c r="P598" s="29">
        <v>4.9800000000000004</v>
      </c>
      <c r="Q598" s="29" t="s">
        <v>384</v>
      </c>
    </row>
    <row r="599" spans="1:17" x14ac:dyDescent="0.3">
      <c r="A599" s="29" t="s">
        <v>524</v>
      </c>
      <c r="B599" s="29">
        <v>1</v>
      </c>
      <c r="C599" s="29" t="s">
        <v>387</v>
      </c>
      <c r="D599" s="29" t="s">
        <v>1045</v>
      </c>
      <c r="E599" s="29">
        <v>700</v>
      </c>
      <c r="G599" s="29" t="s">
        <v>292</v>
      </c>
      <c r="H599" s="29">
        <v>1</v>
      </c>
      <c r="I599" s="29">
        <v>9.9600000000000009</v>
      </c>
      <c r="J599" s="29">
        <v>6.9720000000000004</v>
      </c>
      <c r="K599" s="29">
        <v>6.9720000000000004</v>
      </c>
      <c r="L599" s="29" t="s">
        <v>383</v>
      </c>
      <c r="M599" s="29">
        <v>1</v>
      </c>
      <c r="N599" s="29">
        <v>0.7</v>
      </c>
      <c r="O599" s="29">
        <v>1</v>
      </c>
      <c r="P599" s="29">
        <v>6.9720000000000004</v>
      </c>
      <c r="Q599" s="29" t="s">
        <v>384</v>
      </c>
    </row>
    <row r="600" spans="1:17" x14ac:dyDescent="0.3">
      <c r="B600" s="29">
        <v>2</v>
      </c>
      <c r="C600" s="29" t="s">
        <v>387</v>
      </c>
      <c r="D600" s="29" t="s">
        <v>1045</v>
      </c>
      <c r="E600" s="29">
        <v>700</v>
      </c>
      <c r="G600" s="29" t="s">
        <v>292</v>
      </c>
      <c r="H600" s="29">
        <v>1</v>
      </c>
      <c r="I600" s="29">
        <v>9.9600000000000009</v>
      </c>
      <c r="J600" s="29">
        <v>6.9720000000000004</v>
      </c>
      <c r="K600" s="29">
        <v>6.9720000000000004</v>
      </c>
      <c r="L600" s="29" t="s">
        <v>383</v>
      </c>
      <c r="M600" s="29">
        <v>1</v>
      </c>
      <c r="N600" s="29">
        <v>0.7</v>
      </c>
      <c r="O600" s="29">
        <v>1</v>
      </c>
      <c r="P600" s="29">
        <v>6.9720000000000004</v>
      </c>
      <c r="Q600" s="29" t="s">
        <v>384</v>
      </c>
    </row>
    <row r="601" spans="1:17" x14ac:dyDescent="0.3">
      <c r="A601" s="29" t="s">
        <v>524</v>
      </c>
      <c r="B601" s="29">
        <v>1</v>
      </c>
      <c r="C601" s="29" t="s">
        <v>387</v>
      </c>
      <c r="D601" s="29" t="s">
        <v>1045</v>
      </c>
      <c r="E601" s="29">
        <v>700</v>
      </c>
      <c r="G601" s="29" t="s">
        <v>292</v>
      </c>
      <c r="H601" s="29">
        <v>1</v>
      </c>
      <c r="I601" s="29">
        <v>9.9600000000000009</v>
      </c>
      <c r="J601" s="29">
        <v>6.9720000000000004</v>
      </c>
      <c r="K601" s="29">
        <v>6.9720000000000004</v>
      </c>
      <c r="L601" s="29" t="s">
        <v>383</v>
      </c>
      <c r="M601" s="29">
        <v>1</v>
      </c>
      <c r="N601" s="29">
        <v>0.7</v>
      </c>
      <c r="O601" s="29">
        <v>1</v>
      </c>
      <c r="P601" s="29">
        <v>6.9720000000000004</v>
      </c>
      <c r="Q601" s="29" t="s">
        <v>384</v>
      </c>
    </row>
    <row r="602" spans="1:17" x14ac:dyDescent="0.3">
      <c r="B602" s="29">
        <v>2</v>
      </c>
      <c r="C602" s="29" t="s">
        <v>387</v>
      </c>
      <c r="D602" s="29" t="s">
        <v>1045</v>
      </c>
      <c r="E602" s="29">
        <v>700</v>
      </c>
      <c r="G602" s="29" t="s">
        <v>292</v>
      </c>
      <c r="H602" s="29">
        <v>1</v>
      </c>
      <c r="I602" s="29">
        <v>9.9600000000000009</v>
      </c>
      <c r="J602" s="29">
        <v>6.9720000000000004</v>
      </c>
      <c r="K602" s="29">
        <v>6.9720000000000004</v>
      </c>
      <c r="L602" s="29" t="s">
        <v>383</v>
      </c>
      <c r="M602" s="29">
        <v>1</v>
      </c>
      <c r="N602" s="29">
        <v>0.7</v>
      </c>
      <c r="O602" s="29">
        <v>1</v>
      </c>
      <c r="P602" s="29">
        <v>6.9720000000000004</v>
      </c>
      <c r="Q602" s="29" t="s">
        <v>384</v>
      </c>
    </row>
    <row r="603" spans="1:17" x14ac:dyDescent="0.3">
      <c r="A603" s="29" t="s">
        <v>525</v>
      </c>
      <c r="B603" s="29">
        <v>1</v>
      </c>
      <c r="C603" s="29" t="s">
        <v>387</v>
      </c>
      <c r="D603" s="29" t="s">
        <v>1045</v>
      </c>
      <c r="E603" s="29">
        <v>800</v>
      </c>
      <c r="G603" s="29" t="s">
        <v>292</v>
      </c>
      <c r="H603" s="29">
        <v>1</v>
      </c>
      <c r="I603" s="29">
        <v>9.9600000000000009</v>
      </c>
      <c r="J603" s="29">
        <v>7.9680000000000009</v>
      </c>
      <c r="K603" s="29">
        <v>7.9680000000000009</v>
      </c>
      <c r="L603" s="29" t="s">
        <v>383</v>
      </c>
      <c r="M603" s="29">
        <v>1</v>
      </c>
      <c r="N603" s="29">
        <v>0.8</v>
      </c>
      <c r="O603" s="29">
        <v>1</v>
      </c>
      <c r="P603" s="29">
        <v>7.9680000000000009</v>
      </c>
      <c r="Q603" s="29" t="s">
        <v>384</v>
      </c>
    </row>
    <row r="604" spans="1:17" x14ac:dyDescent="0.3">
      <c r="B604" s="29">
        <v>2</v>
      </c>
      <c r="C604" s="29" t="s">
        <v>387</v>
      </c>
      <c r="D604" s="29" t="s">
        <v>1045</v>
      </c>
      <c r="E604" s="29">
        <v>300</v>
      </c>
      <c r="G604" s="29" t="s">
        <v>292</v>
      </c>
      <c r="H604" s="29">
        <v>1</v>
      </c>
      <c r="I604" s="29">
        <v>9.9600000000000009</v>
      </c>
      <c r="J604" s="29">
        <v>2.988</v>
      </c>
      <c r="K604" s="29">
        <v>2.988</v>
      </c>
      <c r="L604" s="29" t="s">
        <v>383</v>
      </c>
      <c r="M604" s="29">
        <v>1</v>
      </c>
      <c r="N604" s="29">
        <v>0.3</v>
      </c>
      <c r="O604" s="29">
        <v>1</v>
      </c>
      <c r="P604" s="29">
        <v>2.988</v>
      </c>
      <c r="Q604" s="29" t="s">
        <v>384</v>
      </c>
    </row>
    <row r="605" spans="1:17" x14ac:dyDescent="0.3">
      <c r="A605" s="29" t="s">
        <v>525</v>
      </c>
      <c r="B605" s="29">
        <v>1</v>
      </c>
      <c r="C605" s="29" t="s">
        <v>387</v>
      </c>
      <c r="D605" s="29" t="s">
        <v>1045</v>
      </c>
      <c r="E605" s="29">
        <v>800</v>
      </c>
      <c r="G605" s="29" t="s">
        <v>292</v>
      </c>
      <c r="H605" s="29">
        <v>1</v>
      </c>
      <c r="I605" s="29">
        <v>9.9600000000000009</v>
      </c>
      <c r="J605" s="29">
        <v>7.9680000000000009</v>
      </c>
      <c r="K605" s="29">
        <v>7.9680000000000009</v>
      </c>
      <c r="L605" s="29" t="s">
        <v>383</v>
      </c>
      <c r="M605" s="29">
        <v>1</v>
      </c>
      <c r="N605" s="29">
        <v>0.8</v>
      </c>
      <c r="O605" s="29">
        <v>1</v>
      </c>
      <c r="P605" s="29">
        <v>7.9680000000000009</v>
      </c>
      <c r="Q605" s="29" t="s">
        <v>384</v>
      </c>
    </row>
    <row r="606" spans="1:17" x14ac:dyDescent="0.3">
      <c r="B606" s="29">
        <v>2</v>
      </c>
      <c r="C606" s="29" t="s">
        <v>387</v>
      </c>
      <c r="D606" s="29" t="s">
        <v>1045</v>
      </c>
      <c r="E606" s="29">
        <v>300</v>
      </c>
      <c r="G606" s="29" t="s">
        <v>292</v>
      </c>
      <c r="H606" s="29">
        <v>1</v>
      </c>
      <c r="I606" s="29">
        <v>9.9600000000000009</v>
      </c>
      <c r="J606" s="29">
        <v>2.988</v>
      </c>
      <c r="K606" s="29">
        <v>2.988</v>
      </c>
      <c r="L606" s="29" t="s">
        <v>383</v>
      </c>
      <c r="M606" s="29">
        <v>1</v>
      </c>
      <c r="N606" s="29">
        <v>0.3</v>
      </c>
      <c r="O606" s="29">
        <v>1</v>
      </c>
      <c r="P606" s="29">
        <v>2.988</v>
      </c>
      <c r="Q606" s="29" t="s">
        <v>384</v>
      </c>
    </row>
    <row r="607" spans="1:17" x14ac:dyDescent="0.3">
      <c r="A607" s="29" t="s">
        <v>526</v>
      </c>
      <c r="B607" s="29">
        <v>1</v>
      </c>
      <c r="C607" s="29" t="s">
        <v>387</v>
      </c>
      <c r="D607" s="29" t="s">
        <v>1045</v>
      </c>
      <c r="E607" s="29">
        <v>800</v>
      </c>
      <c r="G607" s="29" t="s">
        <v>292</v>
      </c>
      <c r="H607" s="29">
        <v>1</v>
      </c>
      <c r="I607" s="29">
        <v>9.9600000000000009</v>
      </c>
      <c r="J607" s="29">
        <v>7.9680000000000009</v>
      </c>
      <c r="K607" s="29">
        <v>7.9680000000000009</v>
      </c>
      <c r="L607" s="29" t="s">
        <v>383</v>
      </c>
      <c r="M607" s="29">
        <v>1</v>
      </c>
      <c r="N607" s="29">
        <v>0.8</v>
      </c>
      <c r="O607" s="29">
        <v>1</v>
      </c>
      <c r="P607" s="29">
        <v>7.9680000000000009</v>
      </c>
      <c r="Q607" s="29" t="s">
        <v>384</v>
      </c>
    </row>
    <row r="608" spans="1:17" x14ac:dyDescent="0.3">
      <c r="B608" s="29">
        <v>2</v>
      </c>
      <c r="C608" s="29" t="s">
        <v>387</v>
      </c>
      <c r="D608" s="29" t="s">
        <v>1045</v>
      </c>
      <c r="E608" s="29">
        <v>500</v>
      </c>
      <c r="G608" s="29" t="s">
        <v>292</v>
      </c>
      <c r="H608" s="29">
        <v>1</v>
      </c>
      <c r="I608" s="29">
        <v>9.9600000000000009</v>
      </c>
      <c r="J608" s="29">
        <v>4.9800000000000004</v>
      </c>
      <c r="K608" s="29">
        <v>4.9800000000000004</v>
      </c>
      <c r="L608" s="29" t="s">
        <v>383</v>
      </c>
      <c r="M608" s="29">
        <v>1</v>
      </c>
      <c r="N608" s="29">
        <v>0.5</v>
      </c>
      <c r="O608" s="29">
        <v>1</v>
      </c>
      <c r="P608" s="29">
        <v>4.9800000000000004</v>
      </c>
      <c r="Q608" s="29" t="s">
        <v>384</v>
      </c>
    </row>
    <row r="609" spans="1:17" x14ac:dyDescent="0.3">
      <c r="A609" s="29" t="s">
        <v>526</v>
      </c>
      <c r="B609" s="29">
        <v>1</v>
      </c>
      <c r="C609" s="29" t="s">
        <v>387</v>
      </c>
      <c r="D609" s="29" t="s">
        <v>1045</v>
      </c>
      <c r="E609" s="29">
        <v>800</v>
      </c>
      <c r="G609" s="29" t="s">
        <v>292</v>
      </c>
      <c r="H609" s="29">
        <v>1</v>
      </c>
      <c r="I609" s="29">
        <v>9.9600000000000009</v>
      </c>
      <c r="J609" s="29">
        <v>7.9680000000000009</v>
      </c>
      <c r="K609" s="29">
        <v>7.9680000000000009</v>
      </c>
      <c r="L609" s="29" t="s">
        <v>383</v>
      </c>
      <c r="M609" s="29">
        <v>1</v>
      </c>
      <c r="N609" s="29">
        <v>0.8</v>
      </c>
      <c r="O609" s="29">
        <v>1</v>
      </c>
      <c r="P609" s="29">
        <v>7.9680000000000009</v>
      </c>
      <c r="Q609" s="29" t="s">
        <v>384</v>
      </c>
    </row>
    <row r="610" spans="1:17" x14ac:dyDescent="0.3">
      <c r="B610" s="29">
        <v>2</v>
      </c>
      <c r="C610" s="29" t="s">
        <v>387</v>
      </c>
      <c r="D610" s="29" t="s">
        <v>1045</v>
      </c>
      <c r="E610" s="29">
        <v>500</v>
      </c>
      <c r="G610" s="29" t="s">
        <v>292</v>
      </c>
      <c r="H610" s="29">
        <v>1</v>
      </c>
      <c r="I610" s="29">
        <v>9.9600000000000009</v>
      </c>
      <c r="J610" s="29">
        <v>4.9800000000000004</v>
      </c>
      <c r="K610" s="29">
        <v>4.9800000000000004</v>
      </c>
      <c r="L610" s="29" t="s">
        <v>383</v>
      </c>
      <c r="M610" s="29">
        <v>1</v>
      </c>
      <c r="N610" s="29">
        <v>0.5</v>
      </c>
      <c r="O610" s="29">
        <v>1</v>
      </c>
      <c r="P610" s="29">
        <v>4.9800000000000004</v>
      </c>
      <c r="Q610" s="29" t="s">
        <v>384</v>
      </c>
    </row>
    <row r="611" spans="1:17" x14ac:dyDescent="0.3">
      <c r="A611" s="29" t="s">
        <v>526</v>
      </c>
      <c r="B611" s="29">
        <v>1</v>
      </c>
      <c r="C611" s="29" t="s">
        <v>387</v>
      </c>
      <c r="D611" s="29" t="s">
        <v>1045</v>
      </c>
      <c r="E611" s="29">
        <v>800</v>
      </c>
      <c r="G611" s="29" t="s">
        <v>292</v>
      </c>
      <c r="H611" s="29">
        <v>1</v>
      </c>
      <c r="I611" s="29">
        <v>9.9600000000000009</v>
      </c>
      <c r="J611" s="29">
        <v>7.9680000000000009</v>
      </c>
      <c r="K611" s="29">
        <v>7.9680000000000009</v>
      </c>
      <c r="L611" s="29" t="s">
        <v>383</v>
      </c>
      <c r="M611" s="29">
        <v>1</v>
      </c>
      <c r="N611" s="29">
        <v>0.8</v>
      </c>
      <c r="O611" s="29">
        <v>1</v>
      </c>
      <c r="P611" s="29">
        <v>7.9680000000000009</v>
      </c>
      <c r="Q611" s="29" t="s">
        <v>384</v>
      </c>
    </row>
    <row r="612" spans="1:17" x14ac:dyDescent="0.3">
      <c r="B612" s="29">
        <v>2</v>
      </c>
      <c r="C612" s="29" t="s">
        <v>387</v>
      </c>
      <c r="D612" s="29" t="s">
        <v>1045</v>
      </c>
      <c r="E612" s="29">
        <v>500</v>
      </c>
      <c r="G612" s="29" t="s">
        <v>292</v>
      </c>
      <c r="H612" s="29">
        <v>1</v>
      </c>
      <c r="I612" s="29">
        <v>9.9600000000000009</v>
      </c>
      <c r="J612" s="29">
        <v>4.9800000000000004</v>
      </c>
      <c r="K612" s="29">
        <v>4.9800000000000004</v>
      </c>
      <c r="L612" s="29" t="s">
        <v>383</v>
      </c>
      <c r="M612" s="29">
        <v>1</v>
      </c>
      <c r="N612" s="29">
        <v>0.5</v>
      </c>
      <c r="O612" s="29">
        <v>1</v>
      </c>
      <c r="P612" s="29">
        <v>4.9800000000000004</v>
      </c>
      <c r="Q612" s="29" t="s">
        <v>384</v>
      </c>
    </row>
    <row r="613" spans="1:17" x14ac:dyDescent="0.3">
      <c r="A613" s="29" t="s">
        <v>527</v>
      </c>
      <c r="B613" s="29">
        <v>1</v>
      </c>
      <c r="C613" s="29" t="s">
        <v>387</v>
      </c>
      <c r="D613" s="29" t="s">
        <v>1045</v>
      </c>
      <c r="E613" s="29">
        <v>800</v>
      </c>
      <c r="G613" s="29" t="s">
        <v>292</v>
      </c>
      <c r="H613" s="29">
        <v>1</v>
      </c>
      <c r="I613" s="29">
        <v>9.9600000000000009</v>
      </c>
      <c r="J613" s="29">
        <v>7.9680000000000009</v>
      </c>
      <c r="K613" s="29">
        <v>7.9680000000000009</v>
      </c>
      <c r="L613" s="29" t="s">
        <v>383</v>
      </c>
      <c r="M613" s="29">
        <v>1</v>
      </c>
      <c r="N613" s="29">
        <v>0.8</v>
      </c>
      <c r="O613" s="29">
        <v>1</v>
      </c>
      <c r="P613" s="29">
        <v>7.9680000000000009</v>
      </c>
      <c r="Q613" s="29" t="s">
        <v>384</v>
      </c>
    </row>
    <row r="614" spans="1:17" x14ac:dyDescent="0.3">
      <c r="B614" s="29">
        <v>2</v>
      </c>
      <c r="C614" s="29" t="s">
        <v>387</v>
      </c>
      <c r="D614" s="29" t="s">
        <v>1045</v>
      </c>
      <c r="E614" s="29">
        <v>800</v>
      </c>
      <c r="G614" s="29" t="s">
        <v>292</v>
      </c>
      <c r="H614" s="29">
        <v>1</v>
      </c>
      <c r="I614" s="29">
        <v>9.9600000000000009</v>
      </c>
      <c r="J614" s="29">
        <v>7.9680000000000009</v>
      </c>
      <c r="K614" s="29">
        <v>7.9680000000000009</v>
      </c>
      <c r="L614" s="29" t="s">
        <v>383</v>
      </c>
      <c r="M614" s="29">
        <v>1</v>
      </c>
      <c r="N614" s="29">
        <v>0.8</v>
      </c>
      <c r="O614" s="29">
        <v>1</v>
      </c>
      <c r="P614" s="29">
        <v>7.9680000000000009</v>
      </c>
      <c r="Q614" s="29" t="s">
        <v>384</v>
      </c>
    </row>
    <row r="615" spans="1:17" x14ac:dyDescent="0.3">
      <c r="A615" s="29" t="s">
        <v>528</v>
      </c>
      <c r="B615" s="29">
        <v>1</v>
      </c>
      <c r="C615" s="29" t="s">
        <v>387</v>
      </c>
      <c r="D615" s="29" t="s">
        <v>1045</v>
      </c>
      <c r="E615" s="29">
        <v>900</v>
      </c>
      <c r="G615" s="29" t="s">
        <v>292</v>
      </c>
      <c r="H615" s="29">
        <v>1</v>
      </c>
      <c r="I615" s="29">
        <v>9.9600000000000009</v>
      </c>
      <c r="J615" s="29">
        <v>8.9640000000000004</v>
      </c>
      <c r="K615" s="29">
        <v>8.9640000000000004</v>
      </c>
      <c r="L615" s="29" t="s">
        <v>383</v>
      </c>
      <c r="M615" s="29">
        <v>1</v>
      </c>
      <c r="N615" s="29">
        <v>0.9</v>
      </c>
      <c r="O615" s="29">
        <v>1</v>
      </c>
      <c r="P615" s="29">
        <v>8.9640000000000004</v>
      </c>
      <c r="Q615" s="29" t="s">
        <v>384</v>
      </c>
    </row>
    <row r="616" spans="1:17" x14ac:dyDescent="0.3">
      <c r="B616" s="29">
        <v>2</v>
      </c>
      <c r="C616" s="29" t="s">
        <v>387</v>
      </c>
      <c r="D616" s="29" t="s">
        <v>1045</v>
      </c>
      <c r="E616" s="29">
        <v>300</v>
      </c>
      <c r="G616" s="29" t="s">
        <v>292</v>
      </c>
      <c r="H616" s="29">
        <v>1</v>
      </c>
      <c r="I616" s="29">
        <v>9.9600000000000009</v>
      </c>
      <c r="J616" s="29">
        <v>2.988</v>
      </c>
      <c r="K616" s="29">
        <v>2.988</v>
      </c>
      <c r="L616" s="29" t="s">
        <v>383</v>
      </c>
      <c r="M616" s="29">
        <v>1</v>
      </c>
      <c r="N616" s="29">
        <v>0.3</v>
      </c>
      <c r="O616" s="29">
        <v>1</v>
      </c>
      <c r="P616" s="29">
        <v>2.988</v>
      </c>
      <c r="Q616" s="29" t="s">
        <v>384</v>
      </c>
    </row>
    <row r="617" spans="1:17" x14ac:dyDescent="0.3">
      <c r="A617" s="29" t="s">
        <v>529</v>
      </c>
      <c r="B617" s="29">
        <v>1</v>
      </c>
      <c r="C617" s="29" t="s">
        <v>387</v>
      </c>
      <c r="D617" s="29" t="s">
        <v>1045</v>
      </c>
      <c r="E617" s="29">
        <v>1000</v>
      </c>
      <c r="G617" s="29" t="s">
        <v>292</v>
      </c>
      <c r="H617" s="29">
        <v>1</v>
      </c>
      <c r="I617" s="29">
        <v>9.9600000000000009</v>
      </c>
      <c r="J617" s="29">
        <v>9.9600000000000009</v>
      </c>
      <c r="K617" s="29">
        <v>9.9600000000000009</v>
      </c>
      <c r="L617" s="29" t="s">
        <v>383</v>
      </c>
      <c r="M617" s="29">
        <v>1</v>
      </c>
      <c r="N617" s="29">
        <v>1</v>
      </c>
      <c r="O617" s="29">
        <v>1</v>
      </c>
      <c r="P617" s="29">
        <v>9.9600000000000009</v>
      </c>
      <c r="Q617" s="29" t="s">
        <v>384</v>
      </c>
    </row>
    <row r="618" spans="1:17" x14ac:dyDescent="0.3">
      <c r="B618" s="29">
        <v>2</v>
      </c>
      <c r="C618" s="29" t="s">
        <v>387</v>
      </c>
      <c r="D618" s="29" t="s">
        <v>1045</v>
      </c>
      <c r="E618" s="29">
        <v>300</v>
      </c>
      <c r="G618" s="29" t="s">
        <v>292</v>
      </c>
      <c r="H618" s="29">
        <v>1</v>
      </c>
      <c r="I618" s="29">
        <v>9.9600000000000009</v>
      </c>
      <c r="J618" s="29">
        <v>2.988</v>
      </c>
      <c r="K618" s="29">
        <v>2.988</v>
      </c>
      <c r="L618" s="29" t="s">
        <v>383</v>
      </c>
      <c r="M618" s="29">
        <v>1</v>
      </c>
      <c r="N618" s="29">
        <v>0.3</v>
      </c>
      <c r="O618" s="29">
        <v>1</v>
      </c>
      <c r="P618" s="29">
        <v>2.988</v>
      </c>
      <c r="Q618" s="29" t="s">
        <v>384</v>
      </c>
    </row>
    <row r="619" spans="1:17" x14ac:dyDescent="0.3">
      <c r="A619" s="29" t="s">
        <v>529</v>
      </c>
      <c r="B619" s="29">
        <v>1</v>
      </c>
      <c r="C619" s="29" t="s">
        <v>387</v>
      </c>
      <c r="D619" s="29" t="s">
        <v>1045</v>
      </c>
      <c r="E619" s="29">
        <v>1000</v>
      </c>
      <c r="G619" s="29" t="s">
        <v>292</v>
      </c>
      <c r="H619" s="29">
        <v>1</v>
      </c>
      <c r="I619" s="29">
        <v>9.9600000000000009</v>
      </c>
      <c r="J619" s="29">
        <v>9.9600000000000009</v>
      </c>
      <c r="K619" s="29">
        <v>9.9600000000000009</v>
      </c>
      <c r="L619" s="29" t="s">
        <v>383</v>
      </c>
      <c r="M619" s="29">
        <v>1</v>
      </c>
      <c r="N619" s="29">
        <v>1</v>
      </c>
      <c r="O619" s="29">
        <v>1</v>
      </c>
      <c r="P619" s="29">
        <v>9.9600000000000009</v>
      </c>
      <c r="Q619" s="29" t="s">
        <v>384</v>
      </c>
    </row>
    <row r="620" spans="1:17" x14ac:dyDescent="0.3">
      <c r="B620" s="29">
        <v>2</v>
      </c>
      <c r="C620" s="29" t="s">
        <v>387</v>
      </c>
      <c r="D620" s="29" t="s">
        <v>1045</v>
      </c>
      <c r="E620" s="29">
        <v>300</v>
      </c>
      <c r="G620" s="29" t="s">
        <v>292</v>
      </c>
      <c r="H620" s="29">
        <v>1</v>
      </c>
      <c r="I620" s="29">
        <v>9.9600000000000009</v>
      </c>
      <c r="J620" s="29">
        <v>2.988</v>
      </c>
      <c r="K620" s="29">
        <v>2.988</v>
      </c>
      <c r="L620" s="29" t="s">
        <v>383</v>
      </c>
      <c r="M620" s="29">
        <v>1</v>
      </c>
      <c r="N620" s="29">
        <v>0.3</v>
      </c>
      <c r="O620" s="29">
        <v>1</v>
      </c>
      <c r="P620" s="29">
        <v>2.988</v>
      </c>
      <c r="Q620" s="29" t="s">
        <v>384</v>
      </c>
    </row>
    <row r="621" spans="1:17" x14ac:dyDescent="0.3">
      <c r="A621" s="29" t="s">
        <v>530</v>
      </c>
      <c r="B621" s="29">
        <v>1</v>
      </c>
      <c r="C621" s="29" t="s">
        <v>387</v>
      </c>
      <c r="D621" s="29" t="s">
        <v>1045</v>
      </c>
      <c r="E621" s="29">
        <v>1000</v>
      </c>
      <c r="G621" s="29" t="s">
        <v>292</v>
      </c>
      <c r="H621" s="29">
        <v>1</v>
      </c>
      <c r="I621" s="29">
        <v>9.9600000000000009</v>
      </c>
      <c r="J621" s="29">
        <v>9.9600000000000009</v>
      </c>
      <c r="K621" s="29">
        <v>9.9600000000000009</v>
      </c>
      <c r="L621" s="29" t="s">
        <v>383</v>
      </c>
      <c r="M621" s="29">
        <v>1</v>
      </c>
      <c r="N621" s="29">
        <v>1</v>
      </c>
      <c r="O621" s="29">
        <v>1</v>
      </c>
      <c r="P621" s="29">
        <v>9.9600000000000009</v>
      </c>
      <c r="Q621" s="29" t="s">
        <v>384</v>
      </c>
    </row>
    <row r="622" spans="1:17" x14ac:dyDescent="0.3">
      <c r="B622" s="29">
        <v>2</v>
      </c>
      <c r="C622" s="29" t="s">
        <v>387</v>
      </c>
      <c r="D622" s="29" t="s">
        <v>1045</v>
      </c>
      <c r="E622" s="29">
        <v>500</v>
      </c>
      <c r="G622" s="29" t="s">
        <v>292</v>
      </c>
      <c r="H622" s="29">
        <v>1</v>
      </c>
      <c r="I622" s="29">
        <v>9.9600000000000009</v>
      </c>
      <c r="J622" s="29">
        <v>4.9800000000000004</v>
      </c>
      <c r="K622" s="29">
        <v>4.9800000000000004</v>
      </c>
      <c r="L622" s="29" t="s">
        <v>383</v>
      </c>
      <c r="M622" s="29">
        <v>1</v>
      </c>
      <c r="N622" s="29">
        <v>0.5</v>
      </c>
      <c r="O622" s="29">
        <v>1</v>
      </c>
      <c r="P622" s="29">
        <v>4.9800000000000004</v>
      </c>
      <c r="Q622" s="29" t="s">
        <v>384</v>
      </c>
    </row>
    <row r="623" spans="1:17" x14ac:dyDescent="0.3">
      <c r="A623" s="29" t="s">
        <v>530</v>
      </c>
      <c r="B623" s="29">
        <v>1</v>
      </c>
      <c r="C623" s="29" t="s">
        <v>387</v>
      </c>
      <c r="D623" s="29" t="s">
        <v>1045</v>
      </c>
      <c r="E623" s="29">
        <v>1000</v>
      </c>
      <c r="G623" s="29" t="s">
        <v>292</v>
      </c>
      <c r="H623" s="29">
        <v>1</v>
      </c>
      <c r="I623" s="29">
        <v>9.9600000000000009</v>
      </c>
      <c r="J623" s="29">
        <v>9.9600000000000009</v>
      </c>
      <c r="K623" s="29">
        <v>9.9600000000000009</v>
      </c>
      <c r="L623" s="29" t="s">
        <v>383</v>
      </c>
      <c r="M623" s="29">
        <v>1</v>
      </c>
      <c r="N623" s="29">
        <v>1</v>
      </c>
      <c r="O623" s="29">
        <v>1</v>
      </c>
      <c r="P623" s="29">
        <v>9.9600000000000009</v>
      </c>
      <c r="Q623" s="29" t="s">
        <v>384</v>
      </c>
    </row>
    <row r="624" spans="1:17" x14ac:dyDescent="0.3">
      <c r="B624" s="29">
        <v>2</v>
      </c>
      <c r="C624" s="29" t="s">
        <v>387</v>
      </c>
      <c r="D624" s="29" t="s">
        <v>1045</v>
      </c>
      <c r="E624" s="29">
        <v>500</v>
      </c>
      <c r="G624" s="29" t="s">
        <v>292</v>
      </c>
      <c r="H624" s="29">
        <v>1</v>
      </c>
      <c r="I624" s="29">
        <v>9.9600000000000009</v>
      </c>
      <c r="J624" s="29">
        <v>4.9800000000000004</v>
      </c>
      <c r="K624" s="29">
        <v>4.9800000000000004</v>
      </c>
      <c r="L624" s="29" t="s">
        <v>383</v>
      </c>
      <c r="M624" s="29">
        <v>1</v>
      </c>
      <c r="N624" s="29">
        <v>0.5</v>
      </c>
      <c r="O624" s="29">
        <v>1</v>
      </c>
      <c r="P624" s="29">
        <v>4.9800000000000004</v>
      </c>
      <c r="Q624" s="29" t="s">
        <v>384</v>
      </c>
    </row>
    <row r="625" spans="1:17" x14ac:dyDescent="0.3">
      <c r="A625" s="29" t="s">
        <v>531</v>
      </c>
      <c r="B625" s="29">
        <v>1</v>
      </c>
      <c r="C625" s="29" t="s">
        <v>387</v>
      </c>
      <c r="D625" s="29" t="s">
        <v>1045</v>
      </c>
      <c r="E625" s="29">
        <v>1100</v>
      </c>
      <c r="G625" s="29" t="s">
        <v>292</v>
      </c>
      <c r="H625" s="29">
        <v>1</v>
      </c>
      <c r="I625" s="29">
        <v>9.9600000000000009</v>
      </c>
      <c r="J625" s="29">
        <v>10.956000000000001</v>
      </c>
      <c r="K625" s="29">
        <v>10.956000000000001</v>
      </c>
      <c r="L625" s="29" t="s">
        <v>383</v>
      </c>
      <c r="M625" s="29">
        <v>1</v>
      </c>
      <c r="N625" s="29">
        <v>1.1000000000000001</v>
      </c>
      <c r="O625" s="29">
        <v>1</v>
      </c>
      <c r="P625" s="29">
        <v>10.956000000000001</v>
      </c>
      <c r="Q625" s="29" t="s">
        <v>384</v>
      </c>
    </row>
    <row r="626" spans="1:17" x14ac:dyDescent="0.3">
      <c r="B626" s="29">
        <v>2</v>
      </c>
      <c r="C626" s="29" t="s">
        <v>387</v>
      </c>
      <c r="D626" s="29" t="s">
        <v>1045</v>
      </c>
      <c r="E626" s="29">
        <v>300</v>
      </c>
      <c r="G626" s="29" t="s">
        <v>292</v>
      </c>
      <c r="H626" s="29">
        <v>1</v>
      </c>
      <c r="I626" s="29">
        <v>9.9600000000000009</v>
      </c>
      <c r="J626" s="29">
        <v>2.988</v>
      </c>
      <c r="K626" s="29">
        <v>2.988</v>
      </c>
      <c r="L626" s="29" t="s">
        <v>383</v>
      </c>
      <c r="M626" s="29">
        <v>1</v>
      </c>
      <c r="N626" s="29">
        <v>0.3</v>
      </c>
      <c r="O626" s="29">
        <v>1</v>
      </c>
      <c r="P626" s="29">
        <v>2.988</v>
      </c>
      <c r="Q626" s="29" t="s">
        <v>384</v>
      </c>
    </row>
    <row r="627" spans="1:17" x14ac:dyDescent="0.3">
      <c r="A627" s="29" t="s">
        <v>532</v>
      </c>
      <c r="B627" s="29">
        <v>1</v>
      </c>
      <c r="C627" s="29" t="s">
        <v>387</v>
      </c>
      <c r="D627" s="29" t="s">
        <v>1045</v>
      </c>
      <c r="E627" s="29">
        <v>1200</v>
      </c>
      <c r="G627" s="29" t="s">
        <v>292</v>
      </c>
      <c r="H627" s="29">
        <v>1</v>
      </c>
      <c r="I627" s="29">
        <v>9.9600000000000009</v>
      </c>
      <c r="J627" s="29">
        <v>11.952</v>
      </c>
      <c r="K627" s="29">
        <v>11.952</v>
      </c>
      <c r="L627" s="29" t="s">
        <v>383</v>
      </c>
      <c r="M627" s="29">
        <v>1</v>
      </c>
      <c r="N627" s="29">
        <v>1.2</v>
      </c>
      <c r="O627" s="29">
        <v>1</v>
      </c>
      <c r="P627" s="29">
        <v>11.952</v>
      </c>
      <c r="Q627" s="29" t="s">
        <v>384</v>
      </c>
    </row>
    <row r="628" spans="1:17" x14ac:dyDescent="0.3">
      <c r="B628" s="29">
        <v>2</v>
      </c>
      <c r="C628" s="29" t="s">
        <v>387</v>
      </c>
      <c r="D628" s="29" t="s">
        <v>1045</v>
      </c>
      <c r="E628" s="29">
        <v>500</v>
      </c>
      <c r="G628" s="29" t="s">
        <v>292</v>
      </c>
      <c r="H628" s="29">
        <v>1</v>
      </c>
      <c r="I628" s="29">
        <v>9.9600000000000009</v>
      </c>
      <c r="J628" s="29">
        <v>4.9800000000000004</v>
      </c>
      <c r="K628" s="29">
        <v>4.9800000000000004</v>
      </c>
      <c r="L628" s="29" t="s">
        <v>383</v>
      </c>
      <c r="M628" s="29">
        <v>1</v>
      </c>
      <c r="N628" s="29">
        <v>0.5</v>
      </c>
      <c r="O628" s="29">
        <v>1</v>
      </c>
      <c r="P628" s="29">
        <v>4.9800000000000004</v>
      </c>
      <c r="Q628" s="29" t="s">
        <v>384</v>
      </c>
    </row>
    <row r="629" spans="1:17" x14ac:dyDescent="0.3">
      <c r="A629" s="29" t="s">
        <v>532</v>
      </c>
      <c r="B629" s="29">
        <v>1</v>
      </c>
      <c r="C629" s="29" t="s">
        <v>387</v>
      </c>
      <c r="D629" s="29" t="s">
        <v>1045</v>
      </c>
      <c r="E629" s="29">
        <v>1200</v>
      </c>
      <c r="G629" s="29" t="s">
        <v>292</v>
      </c>
      <c r="H629" s="29">
        <v>1</v>
      </c>
      <c r="I629" s="29">
        <v>9.9600000000000009</v>
      </c>
      <c r="J629" s="29">
        <v>11.952</v>
      </c>
      <c r="K629" s="29">
        <v>11.952</v>
      </c>
      <c r="L629" s="29" t="s">
        <v>383</v>
      </c>
      <c r="M629" s="29">
        <v>1</v>
      </c>
      <c r="N629" s="29">
        <v>1.2</v>
      </c>
      <c r="O629" s="29">
        <v>1</v>
      </c>
      <c r="P629" s="29">
        <v>11.952</v>
      </c>
      <c r="Q629" s="29" t="s">
        <v>384</v>
      </c>
    </row>
    <row r="630" spans="1:17" x14ac:dyDescent="0.3">
      <c r="B630" s="29">
        <v>2</v>
      </c>
      <c r="C630" s="29" t="s">
        <v>387</v>
      </c>
      <c r="D630" s="29" t="s">
        <v>1045</v>
      </c>
      <c r="E630" s="29">
        <v>500</v>
      </c>
      <c r="G630" s="29" t="s">
        <v>292</v>
      </c>
      <c r="H630" s="29">
        <v>1</v>
      </c>
      <c r="I630" s="29">
        <v>9.9600000000000009</v>
      </c>
      <c r="J630" s="29">
        <v>4.9800000000000004</v>
      </c>
      <c r="K630" s="29">
        <v>4.9800000000000004</v>
      </c>
      <c r="L630" s="29" t="s">
        <v>383</v>
      </c>
      <c r="M630" s="29">
        <v>1</v>
      </c>
      <c r="N630" s="29">
        <v>0.5</v>
      </c>
      <c r="O630" s="29">
        <v>1</v>
      </c>
      <c r="P630" s="29">
        <v>4.9800000000000004</v>
      </c>
      <c r="Q630" s="29" t="s">
        <v>384</v>
      </c>
    </row>
    <row r="631" spans="1:17" x14ac:dyDescent="0.3">
      <c r="A631" s="29" t="s">
        <v>533</v>
      </c>
      <c r="B631" s="29">
        <v>1</v>
      </c>
      <c r="C631" s="29" t="s">
        <v>387</v>
      </c>
      <c r="D631" s="29" t="s">
        <v>1045</v>
      </c>
      <c r="E631" s="29">
        <v>1400</v>
      </c>
      <c r="G631" s="29" t="s">
        <v>292</v>
      </c>
      <c r="H631" s="29">
        <v>1</v>
      </c>
      <c r="I631" s="29">
        <v>9.9600000000000009</v>
      </c>
      <c r="J631" s="29">
        <v>13.944000000000001</v>
      </c>
      <c r="K631" s="29">
        <v>13.944000000000001</v>
      </c>
      <c r="L631" s="29" t="s">
        <v>383</v>
      </c>
      <c r="M631" s="29">
        <v>1</v>
      </c>
      <c r="N631" s="29">
        <v>1.4</v>
      </c>
      <c r="O631" s="29">
        <v>1</v>
      </c>
      <c r="P631" s="29">
        <v>13.944000000000001</v>
      </c>
      <c r="Q631" s="29" t="s">
        <v>384</v>
      </c>
    </row>
    <row r="632" spans="1:17" x14ac:dyDescent="0.3">
      <c r="B632" s="29">
        <v>2</v>
      </c>
      <c r="C632" s="29" t="s">
        <v>387</v>
      </c>
      <c r="D632" s="29" t="s">
        <v>1045</v>
      </c>
      <c r="E632" s="29">
        <v>300</v>
      </c>
      <c r="G632" s="29" t="s">
        <v>292</v>
      </c>
      <c r="H632" s="29">
        <v>1</v>
      </c>
      <c r="I632" s="29">
        <v>9.9600000000000009</v>
      </c>
      <c r="J632" s="29">
        <v>2.988</v>
      </c>
      <c r="K632" s="29">
        <v>2.988</v>
      </c>
      <c r="L632" s="29" t="s">
        <v>383</v>
      </c>
      <c r="M632" s="29">
        <v>1</v>
      </c>
      <c r="N632" s="29">
        <v>0.3</v>
      </c>
      <c r="O632" s="29">
        <v>1</v>
      </c>
      <c r="P632" s="29">
        <v>2.988</v>
      </c>
      <c r="Q632" s="29" t="s">
        <v>384</v>
      </c>
    </row>
    <row r="633" spans="1:17" x14ac:dyDescent="0.3">
      <c r="A633" s="29" t="s">
        <v>534</v>
      </c>
      <c r="B633" s="29">
        <v>1</v>
      </c>
      <c r="C633" s="29" t="s">
        <v>387</v>
      </c>
      <c r="D633" s="29" t="s">
        <v>1045</v>
      </c>
      <c r="E633" s="29">
        <v>1400</v>
      </c>
      <c r="G633" s="29" t="s">
        <v>292</v>
      </c>
      <c r="H633" s="29">
        <v>1</v>
      </c>
      <c r="I633" s="29">
        <v>9.9600000000000009</v>
      </c>
      <c r="J633" s="29">
        <v>13.944000000000001</v>
      </c>
      <c r="K633" s="29">
        <v>13.944000000000001</v>
      </c>
      <c r="L633" s="29" t="s">
        <v>383</v>
      </c>
      <c r="M633" s="29">
        <v>1</v>
      </c>
      <c r="N633" s="29">
        <v>1.4</v>
      </c>
      <c r="O633" s="29">
        <v>1</v>
      </c>
      <c r="P633" s="29">
        <v>13.944000000000001</v>
      </c>
      <c r="Q633" s="29" t="s">
        <v>384</v>
      </c>
    </row>
    <row r="634" spans="1:17" x14ac:dyDescent="0.3">
      <c r="B634" s="29">
        <v>2</v>
      </c>
      <c r="C634" s="29" t="s">
        <v>387</v>
      </c>
      <c r="D634" s="29" t="s">
        <v>1045</v>
      </c>
      <c r="E634" s="29">
        <v>500</v>
      </c>
      <c r="G634" s="29" t="s">
        <v>292</v>
      </c>
      <c r="H634" s="29">
        <v>1</v>
      </c>
      <c r="I634" s="29">
        <v>9.9600000000000009</v>
      </c>
      <c r="J634" s="29">
        <v>4.9800000000000004</v>
      </c>
      <c r="K634" s="29">
        <v>4.9800000000000004</v>
      </c>
      <c r="L634" s="29" t="s">
        <v>383</v>
      </c>
      <c r="M634" s="29">
        <v>1</v>
      </c>
      <c r="N634" s="29">
        <v>0.5</v>
      </c>
      <c r="O634" s="29">
        <v>1</v>
      </c>
      <c r="P634" s="29">
        <v>4.9800000000000004</v>
      </c>
      <c r="Q634" s="29" t="s">
        <v>384</v>
      </c>
    </row>
    <row r="635" spans="1:17" x14ac:dyDescent="0.3">
      <c r="A635" s="29" t="s">
        <v>535</v>
      </c>
      <c r="B635" s="29">
        <v>1</v>
      </c>
      <c r="C635" s="29" t="s">
        <v>387</v>
      </c>
      <c r="D635" s="29" t="s">
        <v>1045</v>
      </c>
      <c r="E635" s="29">
        <v>1500</v>
      </c>
      <c r="G635" s="29" t="s">
        <v>292</v>
      </c>
      <c r="H635" s="29">
        <v>1</v>
      </c>
      <c r="I635" s="29">
        <v>9.9600000000000009</v>
      </c>
      <c r="J635" s="29">
        <v>14.940000000000001</v>
      </c>
      <c r="K635" s="29">
        <v>14.940000000000001</v>
      </c>
      <c r="L635" s="29" t="s">
        <v>383</v>
      </c>
      <c r="M635" s="29">
        <v>1</v>
      </c>
      <c r="N635" s="29">
        <v>1.5</v>
      </c>
      <c r="O635" s="29">
        <v>1</v>
      </c>
      <c r="P635" s="29">
        <v>14.940000000000001</v>
      </c>
      <c r="Q635" s="29" t="s">
        <v>384</v>
      </c>
    </row>
    <row r="636" spans="1:17" x14ac:dyDescent="0.3">
      <c r="B636" s="29">
        <v>2</v>
      </c>
      <c r="C636" s="29" t="s">
        <v>387</v>
      </c>
      <c r="D636" s="29" t="s">
        <v>1045</v>
      </c>
      <c r="E636" s="29">
        <v>300</v>
      </c>
      <c r="G636" s="29" t="s">
        <v>292</v>
      </c>
      <c r="H636" s="29">
        <v>1</v>
      </c>
      <c r="I636" s="29">
        <v>9.9600000000000009</v>
      </c>
      <c r="J636" s="29">
        <v>2.988</v>
      </c>
      <c r="K636" s="29">
        <v>2.988</v>
      </c>
      <c r="L636" s="29" t="s">
        <v>383</v>
      </c>
      <c r="M636" s="29">
        <v>1</v>
      </c>
      <c r="N636" s="29">
        <v>0.3</v>
      </c>
      <c r="O636" s="29">
        <v>1</v>
      </c>
      <c r="P636" s="29">
        <v>2.988</v>
      </c>
      <c r="Q636" s="29" t="s">
        <v>384</v>
      </c>
    </row>
    <row r="637" spans="1:17" x14ac:dyDescent="0.3">
      <c r="A637" s="29" t="s">
        <v>535</v>
      </c>
      <c r="B637" s="29">
        <v>1</v>
      </c>
      <c r="C637" s="29" t="s">
        <v>387</v>
      </c>
      <c r="D637" s="29" t="s">
        <v>1045</v>
      </c>
      <c r="E637" s="29">
        <v>1500</v>
      </c>
      <c r="G637" s="29" t="s">
        <v>292</v>
      </c>
      <c r="H637" s="29">
        <v>1</v>
      </c>
      <c r="I637" s="29">
        <v>9.9600000000000009</v>
      </c>
      <c r="J637" s="29">
        <v>14.940000000000001</v>
      </c>
      <c r="K637" s="29">
        <v>14.940000000000001</v>
      </c>
      <c r="L637" s="29" t="s">
        <v>383</v>
      </c>
      <c r="M637" s="29">
        <v>1</v>
      </c>
      <c r="N637" s="29">
        <v>1.5</v>
      </c>
      <c r="O637" s="29">
        <v>1</v>
      </c>
      <c r="P637" s="29">
        <v>14.940000000000001</v>
      </c>
      <c r="Q637" s="29" t="s">
        <v>384</v>
      </c>
    </row>
    <row r="638" spans="1:17" x14ac:dyDescent="0.3">
      <c r="B638" s="29">
        <v>2</v>
      </c>
      <c r="C638" s="29" t="s">
        <v>387</v>
      </c>
      <c r="D638" s="29" t="s">
        <v>1045</v>
      </c>
      <c r="E638" s="29">
        <v>300</v>
      </c>
      <c r="G638" s="29" t="s">
        <v>292</v>
      </c>
      <c r="H638" s="29">
        <v>1</v>
      </c>
      <c r="I638" s="29">
        <v>9.9600000000000009</v>
      </c>
      <c r="J638" s="29">
        <v>2.988</v>
      </c>
      <c r="K638" s="29">
        <v>2.988</v>
      </c>
      <c r="L638" s="29" t="s">
        <v>383</v>
      </c>
      <c r="M638" s="29">
        <v>1</v>
      </c>
      <c r="N638" s="29">
        <v>0.3</v>
      </c>
      <c r="O638" s="29">
        <v>1</v>
      </c>
      <c r="P638" s="29">
        <v>2.988</v>
      </c>
      <c r="Q638" s="29" t="s">
        <v>384</v>
      </c>
    </row>
    <row r="639" spans="1:17" x14ac:dyDescent="0.3">
      <c r="A639" s="29" t="s">
        <v>536</v>
      </c>
      <c r="B639" s="29">
        <v>1</v>
      </c>
      <c r="C639" s="29" t="s">
        <v>387</v>
      </c>
      <c r="D639" s="29" t="s">
        <v>1045</v>
      </c>
      <c r="E639" s="29">
        <v>1600</v>
      </c>
      <c r="G639" s="29" t="s">
        <v>292</v>
      </c>
      <c r="H639" s="29">
        <v>1</v>
      </c>
      <c r="I639" s="29">
        <v>9.9600000000000009</v>
      </c>
      <c r="J639" s="29">
        <v>15.936000000000002</v>
      </c>
      <c r="K639" s="29">
        <v>15.936000000000002</v>
      </c>
      <c r="L639" s="29" t="s">
        <v>383</v>
      </c>
      <c r="M639" s="29">
        <v>1</v>
      </c>
      <c r="N639" s="29">
        <v>1.6</v>
      </c>
      <c r="O639" s="29">
        <v>1</v>
      </c>
      <c r="P639" s="29">
        <v>15.936000000000002</v>
      </c>
      <c r="Q639" s="29" t="s">
        <v>384</v>
      </c>
    </row>
    <row r="640" spans="1:17" x14ac:dyDescent="0.3">
      <c r="B640" s="29">
        <v>2</v>
      </c>
      <c r="C640" s="29" t="s">
        <v>387</v>
      </c>
      <c r="D640" s="29" t="s">
        <v>1045</v>
      </c>
      <c r="E640" s="29">
        <v>300</v>
      </c>
      <c r="G640" s="29" t="s">
        <v>292</v>
      </c>
      <c r="H640" s="29">
        <v>1</v>
      </c>
      <c r="I640" s="29">
        <v>9.9600000000000009</v>
      </c>
      <c r="J640" s="29">
        <v>2.988</v>
      </c>
      <c r="K640" s="29">
        <v>2.988</v>
      </c>
      <c r="L640" s="29" t="s">
        <v>383</v>
      </c>
      <c r="M640" s="29">
        <v>1</v>
      </c>
      <c r="N640" s="29">
        <v>0.3</v>
      </c>
      <c r="O640" s="29">
        <v>1</v>
      </c>
      <c r="P640" s="29">
        <v>2.988</v>
      </c>
      <c r="Q640" s="29" t="s">
        <v>384</v>
      </c>
    </row>
    <row r="641" spans="1:17" x14ac:dyDescent="0.3">
      <c r="A641" s="29" t="s">
        <v>537</v>
      </c>
      <c r="B641" s="29">
        <v>1</v>
      </c>
      <c r="C641" s="29" t="s">
        <v>387</v>
      </c>
      <c r="D641" s="29" t="s">
        <v>1045</v>
      </c>
      <c r="E641" s="29">
        <v>1600</v>
      </c>
      <c r="G641" s="29" t="s">
        <v>292</v>
      </c>
      <c r="H641" s="29">
        <v>1</v>
      </c>
      <c r="I641" s="29">
        <v>9.9600000000000009</v>
      </c>
      <c r="J641" s="29">
        <v>15.936000000000002</v>
      </c>
      <c r="K641" s="29">
        <v>15.936000000000002</v>
      </c>
      <c r="L641" s="29" t="s">
        <v>383</v>
      </c>
      <c r="M641" s="29">
        <v>1</v>
      </c>
      <c r="N641" s="29">
        <v>1.6</v>
      </c>
      <c r="O641" s="29">
        <v>1</v>
      </c>
      <c r="P641" s="29">
        <v>15.936000000000002</v>
      </c>
      <c r="Q641" s="29" t="s">
        <v>384</v>
      </c>
    </row>
    <row r="642" spans="1:17" x14ac:dyDescent="0.3">
      <c r="B642" s="29">
        <v>2</v>
      </c>
      <c r="C642" s="29" t="s">
        <v>387</v>
      </c>
      <c r="D642" s="29" t="s">
        <v>1045</v>
      </c>
      <c r="E642" s="29">
        <v>500</v>
      </c>
      <c r="G642" s="29" t="s">
        <v>292</v>
      </c>
      <c r="H642" s="29">
        <v>1</v>
      </c>
      <c r="I642" s="29">
        <v>9.9600000000000009</v>
      </c>
      <c r="J642" s="29">
        <v>4.9800000000000004</v>
      </c>
      <c r="K642" s="29">
        <v>4.9800000000000004</v>
      </c>
      <c r="L642" s="29" t="s">
        <v>383</v>
      </c>
      <c r="M642" s="29">
        <v>1</v>
      </c>
      <c r="N642" s="29">
        <v>0.5</v>
      </c>
      <c r="O642" s="29">
        <v>1</v>
      </c>
      <c r="P642" s="29">
        <v>4.9800000000000004</v>
      </c>
      <c r="Q642" s="29" t="s">
        <v>384</v>
      </c>
    </row>
    <row r="643" spans="1:17" x14ac:dyDescent="0.3">
      <c r="A643" s="29" t="s">
        <v>538</v>
      </c>
      <c r="B643" s="29" t="s">
        <v>1046</v>
      </c>
    </row>
    <row r="644" spans="1:17" x14ac:dyDescent="0.3">
      <c r="A644" s="29" t="s">
        <v>539</v>
      </c>
      <c r="B644" s="29" t="s">
        <v>1046</v>
      </c>
    </row>
    <row r="645" spans="1:17" x14ac:dyDescent="0.3">
      <c r="A645" s="29" t="s">
        <v>539</v>
      </c>
      <c r="B645" s="29" t="s">
        <v>1046</v>
      </c>
    </row>
    <row r="646" spans="1:17" x14ac:dyDescent="0.3">
      <c r="A646" s="29" t="s">
        <v>539</v>
      </c>
      <c r="B646" s="29" t="s">
        <v>1046</v>
      </c>
    </row>
    <row r="647" spans="1:17" x14ac:dyDescent="0.3">
      <c r="A647" s="29" t="s">
        <v>539</v>
      </c>
      <c r="B647" s="29" t="s">
        <v>1046</v>
      </c>
    </row>
    <row r="648" spans="1:17" x14ac:dyDescent="0.3">
      <c r="A648" s="29" t="s">
        <v>540</v>
      </c>
      <c r="B648" s="29" t="s">
        <v>1046</v>
      </c>
    </row>
    <row r="649" spans="1:17" x14ac:dyDescent="0.3">
      <c r="A649" s="29" t="s">
        <v>540</v>
      </c>
      <c r="B649" s="29" t="s">
        <v>1046</v>
      </c>
    </row>
    <row r="650" spans="1:17" x14ac:dyDescent="0.3">
      <c r="A650" s="29" t="s">
        <v>540</v>
      </c>
      <c r="B650" s="29" t="s">
        <v>1046</v>
      </c>
    </row>
    <row r="651" spans="1:17" x14ac:dyDescent="0.3">
      <c r="A651" s="29" t="s">
        <v>540</v>
      </c>
      <c r="B651" s="29" t="s">
        <v>1046</v>
      </c>
    </row>
    <row r="652" spans="1:17" x14ac:dyDescent="0.3">
      <c r="A652" s="29" t="s">
        <v>541</v>
      </c>
      <c r="B652" s="29" t="s">
        <v>1046</v>
      </c>
    </row>
    <row r="653" spans="1:17" x14ac:dyDescent="0.3">
      <c r="A653" s="29" t="s">
        <v>541</v>
      </c>
      <c r="B653" s="29" t="s">
        <v>1046</v>
      </c>
    </row>
    <row r="654" spans="1:17" x14ac:dyDescent="0.3">
      <c r="A654" s="29" t="s">
        <v>542</v>
      </c>
      <c r="B654" s="29" t="s">
        <v>1046</v>
      </c>
    </row>
    <row r="655" spans="1:17" x14ac:dyDescent="0.3">
      <c r="A655" s="29" t="s">
        <v>542</v>
      </c>
      <c r="B655" s="29" t="s">
        <v>1046</v>
      </c>
    </row>
    <row r="656" spans="1:17" x14ac:dyDescent="0.3">
      <c r="A656" s="29" t="s">
        <v>542</v>
      </c>
      <c r="B656" s="29" t="s">
        <v>1046</v>
      </c>
    </row>
    <row r="657" spans="1:2" x14ac:dyDescent="0.3">
      <c r="A657" s="29" t="s">
        <v>543</v>
      </c>
      <c r="B657" s="29" t="s">
        <v>1046</v>
      </c>
    </row>
    <row r="658" spans="1:2" x14ac:dyDescent="0.3">
      <c r="A658" s="29" t="s">
        <v>543</v>
      </c>
      <c r="B658" s="29" t="s">
        <v>1046</v>
      </c>
    </row>
    <row r="659" spans="1:2" x14ac:dyDescent="0.3">
      <c r="A659" s="29" t="s">
        <v>544</v>
      </c>
      <c r="B659" s="29" t="s">
        <v>1046</v>
      </c>
    </row>
    <row r="660" spans="1:2" x14ac:dyDescent="0.3">
      <c r="A660" s="29" t="s">
        <v>545</v>
      </c>
      <c r="B660" s="29" t="s">
        <v>1046</v>
      </c>
    </row>
    <row r="661" spans="1:2" x14ac:dyDescent="0.3">
      <c r="A661" s="29" t="s">
        <v>546</v>
      </c>
      <c r="B661" s="29" t="s">
        <v>1046</v>
      </c>
    </row>
    <row r="662" spans="1:2" x14ac:dyDescent="0.3">
      <c r="A662" s="29" t="s">
        <v>546</v>
      </c>
      <c r="B662" s="29" t="s">
        <v>1046</v>
      </c>
    </row>
    <row r="663" spans="1:2" x14ac:dyDescent="0.3">
      <c r="A663" s="29" t="s">
        <v>546</v>
      </c>
      <c r="B663" s="29" t="s">
        <v>1046</v>
      </c>
    </row>
    <row r="664" spans="1:2" x14ac:dyDescent="0.3">
      <c r="A664" s="29" t="s">
        <v>547</v>
      </c>
      <c r="B664" s="29" t="s">
        <v>1046</v>
      </c>
    </row>
    <row r="665" spans="1:2" x14ac:dyDescent="0.3">
      <c r="A665" s="29" t="s">
        <v>548</v>
      </c>
      <c r="B665" s="29" t="s">
        <v>1046</v>
      </c>
    </row>
    <row r="666" spans="1:2" x14ac:dyDescent="0.3">
      <c r="A666" s="29" t="s">
        <v>548</v>
      </c>
      <c r="B666" s="29" t="s">
        <v>1046</v>
      </c>
    </row>
    <row r="667" spans="1:2" x14ac:dyDescent="0.3">
      <c r="A667" s="29" t="s">
        <v>549</v>
      </c>
      <c r="B667" s="29" t="s">
        <v>1046</v>
      </c>
    </row>
    <row r="668" spans="1:2" x14ac:dyDescent="0.3">
      <c r="A668" s="29" t="s">
        <v>550</v>
      </c>
      <c r="B668" s="29" t="s">
        <v>1046</v>
      </c>
    </row>
    <row r="669" spans="1:2" x14ac:dyDescent="0.3">
      <c r="A669" s="29" t="s">
        <v>550</v>
      </c>
      <c r="B669" s="29" t="s">
        <v>1046</v>
      </c>
    </row>
    <row r="670" spans="1:2" x14ac:dyDescent="0.3">
      <c r="A670" s="29" t="s">
        <v>551</v>
      </c>
      <c r="B670" s="29" t="s">
        <v>1046</v>
      </c>
    </row>
    <row r="671" spans="1:2" x14ac:dyDescent="0.3">
      <c r="A671" s="29" t="s">
        <v>551</v>
      </c>
      <c r="B671" s="29" t="s">
        <v>1046</v>
      </c>
    </row>
    <row r="672" spans="1:2" x14ac:dyDescent="0.3">
      <c r="A672" s="29" t="s">
        <v>552</v>
      </c>
      <c r="B672" s="29" t="s">
        <v>1046</v>
      </c>
    </row>
    <row r="673" spans="1:17" x14ac:dyDescent="0.3">
      <c r="A673" s="29" t="s">
        <v>553</v>
      </c>
      <c r="B673" s="29" t="s">
        <v>1046</v>
      </c>
    </row>
    <row r="674" spans="1:17" x14ac:dyDescent="0.3">
      <c r="A674" s="29" t="s">
        <v>554</v>
      </c>
      <c r="B674" s="29" t="s">
        <v>1046</v>
      </c>
    </row>
    <row r="675" spans="1:17" x14ac:dyDescent="0.3">
      <c r="A675" s="29" t="s">
        <v>554</v>
      </c>
      <c r="B675" s="29" t="s">
        <v>1046</v>
      </c>
    </row>
    <row r="676" spans="1:17" x14ac:dyDescent="0.3">
      <c r="A676" s="29" t="s">
        <v>555</v>
      </c>
      <c r="B676" s="29" t="s">
        <v>1046</v>
      </c>
    </row>
    <row r="677" spans="1:17" x14ac:dyDescent="0.3">
      <c r="A677" s="29" t="s">
        <v>556</v>
      </c>
      <c r="B677" s="29" t="s">
        <v>1046</v>
      </c>
    </row>
    <row r="678" spans="1:17" x14ac:dyDescent="0.3">
      <c r="A678" s="29" t="s">
        <v>556</v>
      </c>
      <c r="B678" s="29" t="s">
        <v>1046</v>
      </c>
    </row>
    <row r="679" spans="1:17" x14ac:dyDescent="0.3">
      <c r="A679" s="29" t="s">
        <v>557</v>
      </c>
      <c r="B679" s="29">
        <v>1</v>
      </c>
      <c r="C679" s="29" t="s">
        <v>387</v>
      </c>
      <c r="D679" s="29" t="s">
        <v>1044</v>
      </c>
      <c r="E679" s="29">
        <v>250</v>
      </c>
      <c r="G679" s="29" t="s">
        <v>292</v>
      </c>
      <c r="H679" s="29">
        <v>1</v>
      </c>
      <c r="I679" s="29">
        <v>4.43</v>
      </c>
      <c r="J679" s="29">
        <v>1.1074999999999999</v>
      </c>
      <c r="K679" s="29">
        <v>1.1074999999999999</v>
      </c>
      <c r="L679" s="29" t="s">
        <v>383</v>
      </c>
      <c r="M679" s="29">
        <v>1</v>
      </c>
      <c r="N679" s="29">
        <v>0.25</v>
      </c>
      <c r="O679" s="29">
        <v>1</v>
      </c>
      <c r="P679" s="29">
        <v>1.1074999999999999</v>
      </c>
      <c r="Q679" s="29" t="s">
        <v>384</v>
      </c>
    </row>
    <row r="680" spans="1:17" x14ac:dyDescent="0.3">
      <c r="B680" s="29">
        <v>2</v>
      </c>
      <c r="C680" s="29" t="s">
        <v>387</v>
      </c>
      <c r="D680" s="29" t="s">
        <v>1044</v>
      </c>
      <c r="E680" s="29">
        <v>300</v>
      </c>
      <c r="G680" s="29" t="s">
        <v>292</v>
      </c>
      <c r="H680" s="29">
        <v>1</v>
      </c>
      <c r="I680" s="29">
        <v>4.43</v>
      </c>
      <c r="J680" s="29">
        <v>1.329</v>
      </c>
      <c r="K680" s="29">
        <v>1.329</v>
      </c>
      <c r="L680" s="29" t="s">
        <v>383</v>
      </c>
      <c r="M680" s="29">
        <v>1</v>
      </c>
      <c r="N680" s="29">
        <v>0.3</v>
      </c>
      <c r="O680" s="29">
        <v>1</v>
      </c>
      <c r="P680" s="29">
        <v>1.329</v>
      </c>
      <c r="Q680" s="29" t="s">
        <v>384</v>
      </c>
    </row>
    <row r="681" spans="1:17" x14ac:dyDescent="0.3">
      <c r="A681" s="29" t="s">
        <v>558</v>
      </c>
      <c r="B681" s="29">
        <v>1</v>
      </c>
      <c r="C681" s="29" t="s">
        <v>387</v>
      </c>
      <c r="D681" s="29" t="s">
        <v>1044</v>
      </c>
      <c r="E681" s="29">
        <v>350</v>
      </c>
      <c r="G681" s="29" t="s">
        <v>292</v>
      </c>
      <c r="H681" s="29">
        <v>1</v>
      </c>
      <c r="I681" s="29">
        <v>4.43</v>
      </c>
      <c r="J681" s="29">
        <v>1.5504999999999998</v>
      </c>
      <c r="K681" s="29">
        <v>1.5504999999999998</v>
      </c>
      <c r="L681" s="29" t="s">
        <v>383</v>
      </c>
      <c r="M681" s="29">
        <v>1</v>
      </c>
      <c r="N681" s="29">
        <v>0.35</v>
      </c>
      <c r="O681" s="29">
        <v>1</v>
      </c>
      <c r="P681" s="29">
        <v>1.5504999999999998</v>
      </c>
      <c r="Q681" s="29" t="s">
        <v>384</v>
      </c>
    </row>
    <row r="682" spans="1:17" x14ac:dyDescent="0.3">
      <c r="B682" s="29">
        <v>2</v>
      </c>
      <c r="C682" s="29" t="s">
        <v>387</v>
      </c>
      <c r="D682" s="29" t="s">
        <v>1044</v>
      </c>
      <c r="E682" s="29">
        <v>300</v>
      </c>
      <c r="G682" s="29" t="s">
        <v>292</v>
      </c>
      <c r="H682" s="29">
        <v>1</v>
      </c>
      <c r="I682" s="29">
        <v>4.43</v>
      </c>
      <c r="J682" s="29">
        <v>1.329</v>
      </c>
      <c r="K682" s="29">
        <v>1.329</v>
      </c>
      <c r="L682" s="29" t="s">
        <v>383</v>
      </c>
      <c r="M682" s="29">
        <v>1</v>
      </c>
      <c r="N682" s="29">
        <v>0.3</v>
      </c>
      <c r="O682" s="29">
        <v>1</v>
      </c>
      <c r="P682" s="29">
        <v>1.329</v>
      </c>
      <c r="Q682" s="29" t="s">
        <v>384</v>
      </c>
    </row>
    <row r="683" spans="1:17" x14ac:dyDescent="0.3">
      <c r="A683" s="29" t="s">
        <v>558</v>
      </c>
      <c r="B683" s="29">
        <v>1</v>
      </c>
      <c r="C683" s="29" t="s">
        <v>387</v>
      </c>
      <c r="D683" s="29" t="s">
        <v>1044</v>
      </c>
      <c r="E683" s="29">
        <v>350</v>
      </c>
      <c r="G683" s="29" t="s">
        <v>292</v>
      </c>
      <c r="H683" s="29">
        <v>1</v>
      </c>
      <c r="I683" s="29">
        <v>4.43</v>
      </c>
      <c r="J683" s="29">
        <v>1.5504999999999998</v>
      </c>
      <c r="K683" s="29">
        <v>1.5504999999999998</v>
      </c>
      <c r="L683" s="29" t="s">
        <v>383</v>
      </c>
      <c r="M683" s="29">
        <v>1</v>
      </c>
      <c r="N683" s="29">
        <v>0.35</v>
      </c>
      <c r="O683" s="29">
        <v>1</v>
      </c>
      <c r="P683" s="29">
        <v>1.5504999999999998</v>
      </c>
      <c r="Q683" s="29" t="s">
        <v>384</v>
      </c>
    </row>
    <row r="684" spans="1:17" x14ac:dyDescent="0.3">
      <c r="B684" s="29">
        <v>2</v>
      </c>
      <c r="C684" s="29" t="s">
        <v>387</v>
      </c>
      <c r="D684" s="29" t="s">
        <v>1044</v>
      </c>
      <c r="E684" s="29">
        <v>300</v>
      </c>
      <c r="G684" s="29" t="s">
        <v>292</v>
      </c>
      <c r="H684" s="29">
        <v>1</v>
      </c>
      <c r="I684" s="29">
        <v>4.43</v>
      </c>
      <c r="J684" s="29">
        <v>1.329</v>
      </c>
      <c r="K684" s="29">
        <v>1.329</v>
      </c>
      <c r="L684" s="29" t="s">
        <v>383</v>
      </c>
      <c r="M684" s="29">
        <v>1</v>
      </c>
      <c r="N684" s="29">
        <v>0.3</v>
      </c>
      <c r="O684" s="29">
        <v>1</v>
      </c>
      <c r="P684" s="29">
        <v>1.329</v>
      </c>
      <c r="Q684" s="29" t="s">
        <v>384</v>
      </c>
    </row>
    <row r="685" spans="1:17" x14ac:dyDescent="0.3">
      <c r="A685" s="29" t="s">
        <v>559</v>
      </c>
      <c r="B685" s="29">
        <v>1</v>
      </c>
      <c r="C685" s="29" t="s">
        <v>387</v>
      </c>
      <c r="D685" s="29" t="s">
        <v>1044</v>
      </c>
      <c r="E685" s="29">
        <v>350</v>
      </c>
      <c r="G685" s="29" t="s">
        <v>292</v>
      </c>
      <c r="H685" s="29">
        <v>1</v>
      </c>
      <c r="I685" s="29">
        <v>4.43</v>
      </c>
      <c r="J685" s="29">
        <v>1.5504999999999998</v>
      </c>
      <c r="K685" s="29">
        <v>1.5504999999999998</v>
      </c>
      <c r="L685" s="29" t="s">
        <v>383</v>
      </c>
      <c r="M685" s="29">
        <v>1</v>
      </c>
      <c r="N685" s="29">
        <v>0.35</v>
      </c>
      <c r="O685" s="29">
        <v>1</v>
      </c>
      <c r="P685" s="29">
        <v>1.5504999999999998</v>
      </c>
      <c r="Q685" s="29" t="s">
        <v>384</v>
      </c>
    </row>
    <row r="686" spans="1:17" x14ac:dyDescent="0.3">
      <c r="B686" s="29">
        <v>2</v>
      </c>
      <c r="C686" s="29" t="s">
        <v>387</v>
      </c>
      <c r="D686" s="29" t="s">
        <v>1044</v>
      </c>
      <c r="E686" s="29">
        <v>500</v>
      </c>
      <c r="G686" s="29" t="s">
        <v>292</v>
      </c>
      <c r="H686" s="29">
        <v>1</v>
      </c>
      <c r="I686" s="29">
        <v>4.43</v>
      </c>
      <c r="J686" s="29">
        <v>2.2149999999999999</v>
      </c>
      <c r="K686" s="29">
        <v>2.2149999999999999</v>
      </c>
      <c r="L686" s="29" t="s">
        <v>383</v>
      </c>
      <c r="M686" s="29">
        <v>1</v>
      </c>
      <c r="N686" s="29">
        <v>0.5</v>
      </c>
      <c r="O686" s="29">
        <v>1</v>
      </c>
      <c r="P686" s="29">
        <v>2.2149999999999999</v>
      </c>
      <c r="Q686" s="29" t="s">
        <v>384</v>
      </c>
    </row>
    <row r="687" spans="1:17" x14ac:dyDescent="0.3">
      <c r="A687" s="29" t="s">
        <v>559</v>
      </c>
      <c r="B687" s="29">
        <v>1</v>
      </c>
      <c r="C687" s="29" t="s">
        <v>387</v>
      </c>
      <c r="D687" s="29" t="s">
        <v>1044</v>
      </c>
      <c r="E687" s="29">
        <v>350</v>
      </c>
      <c r="G687" s="29" t="s">
        <v>292</v>
      </c>
      <c r="H687" s="29">
        <v>1</v>
      </c>
      <c r="I687" s="29">
        <v>4.43</v>
      </c>
      <c r="J687" s="29">
        <v>1.5504999999999998</v>
      </c>
      <c r="K687" s="29">
        <v>1.5504999999999998</v>
      </c>
      <c r="L687" s="29" t="s">
        <v>383</v>
      </c>
      <c r="M687" s="29">
        <v>1</v>
      </c>
      <c r="N687" s="29">
        <v>0.35</v>
      </c>
      <c r="O687" s="29">
        <v>1</v>
      </c>
      <c r="P687" s="29">
        <v>1.5504999999999998</v>
      </c>
      <c r="Q687" s="29" t="s">
        <v>384</v>
      </c>
    </row>
    <row r="688" spans="1:17" x14ac:dyDescent="0.3">
      <c r="B688" s="29">
        <v>2</v>
      </c>
      <c r="C688" s="29" t="s">
        <v>387</v>
      </c>
      <c r="D688" s="29" t="s">
        <v>1044</v>
      </c>
      <c r="E688" s="29">
        <v>500</v>
      </c>
      <c r="G688" s="29" t="s">
        <v>292</v>
      </c>
      <c r="H688" s="29">
        <v>1</v>
      </c>
      <c r="I688" s="29">
        <v>4.43</v>
      </c>
      <c r="J688" s="29">
        <v>2.2149999999999999</v>
      </c>
      <c r="K688" s="29">
        <v>2.2149999999999999</v>
      </c>
      <c r="L688" s="29" t="s">
        <v>383</v>
      </c>
      <c r="M688" s="29">
        <v>1</v>
      </c>
      <c r="N688" s="29">
        <v>0.5</v>
      </c>
      <c r="O688" s="29">
        <v>1</v>
      </c>
      <c r="P688" s="29">
        <v>2.2149999999999999</v>
      </c>
      <c r="Q688" s="29" t="s">
        <v>384</v>
      </c>
    </row>
    <row r="689" spans="1:17" x14ac:dyDescent="0.3">
      <c r="A689" s="29" t="s">
        <v>560</v>
      </c>
      <c r="B689" s="29">
        <v>1</v>
      </c>
      <c r="C689" s="29" t="s">
        <v>387</v>
      </c>
      <c r="D689" s="29" t="s">
        <v>1044</v>
      </c>
      <c r="E689" s="29">
        <v>450</v>
      </c>
      <c r="G689" s="29" t="s">
        <v>292</v>
      </c>
      <c r="H689" s="29">
        <v>1</v>
      </c>
      <c r="I689" s="29">
        <v>4.43</v>
      </c>
      <c r="J689" s="29">
        <v>1.9934999999999998</v>
      </c>
      <c r="K689" s="29">
        <v>1.9934999999999998</v>
      </c>
      <c r="L689" s="29" t="s">
        <v>383</v>
      </c>
      <c r="M689" s="29">
        <v>1</v>
      </c>
      <c r="N689" s="29">
        <v>0.45</v>
      </c>
      <c r="O689" s="29">
        <v>1</v>
      </c>
      <c r="P689" s="29">
        <v>1.9934999999999998</v>
      </c>
      <c r="Q689" s="29" t="s">
        <v>384</v>
      </c>
    </row>
    <row r="690" spans="1:17" x14ac:dyDescent="0.3">
      <c r="B690" s="29">
        <v>2</v>
      </c>
      <c r="C690" s="29" t="s">
        <v>387</v>
      </c>
      <c r="D690" s="29" t="s">
        <v>1044</v>
      </c>
      <c r="E690" s="29">
        <v>300</v>
      </c>
      <c r="G690" s="29" t="s">
        <v>292</v>
      </c>
      <c r="H690" s="29">
        <v>1</v>
      </c>
      <c r="I690" s="29">
        <v>4.43</v>
      </c>
      <c r="J690" s="29">
        <v>1.329</v>
      </c>
      <c r="K690" s="29">
        <v>1.329</v>
      </c>
      <c r="L690" s="29" t="s">
        <v>383</v>
      </c>
      <c r="M690" s="29">
        <v>1</v>
      </c>
      <c r="N690" s="29">
        <v>0.3</v>
      </c>
      <c r="O690" s="29">
        <v>1</v>
      </c>
      <c r="P690" s="29">
        <v>1.329</v>
      </c>
      <c r="Q690" s="29" t="s">
        <v>384</v>
      </c>
    </row>
    <row r="691" spans="1:17" x14ac:dyDescent="0.3">
      <c r="A691" s="29" t="s">
        <v>560</v>
      </c>
      <c r="B691" s="29">
        <v>1</v>
      </c>
      <c r="C691" s="29" t="s">
        <v>387</v>
      </c>
      <c r="D691" s="29" t="s">
        <v>1044</v>
      </c>
      <c r="E691" s="29">
        <v>450</v>
      </c>
      <c r="G691" s="29" t="s">
        <v>292</v>
      </c>
      <c r="H691" s="29">
        <v>1</v>
      </c>
      <c r="I691" s="29">
        <v>4.43</v>
      </c>
      <c r="J691" s="29">
        <v>1.9934999999999998</v>
      </c>
      <c r="K691" s="29">
        <v>1.9934999999999998</v>
      </c>
      <c r="L691" s="29" t="s">
        <v>383</v>
      </c>
      <c r="M691" s="29">
        <v>1</v>
      </c>
      <c r="N691" s="29">
        <v>0.45</v>
      </c>
      <c r="O691" s="29">
        <v>1</v>
      </c>
      <c r="P691" s="29">
        <v>1.9934999999999998</v>
      </c>
      <c r="Q691" s="29" t="s">
        <v>384</v>
      </c>
    </row>
    <row r="692" spans="1:17" x14ac:dyDescent="0.3">
      <c r="B692" s="29">
        <v>2</v>
      </c>
      <c r="C692" s="29" t="s">
        <v>387</v>
      </c>
      <c r="D692" s="29" t="s">
        <v>1044</v>
      </c>
      <c r="E692" s="29">
        <v>300</v>
      </c>
      <c r="G692" s="29" t="s">
        <v>292</v>
      </c>
      <c r="H692" s="29">
        <v>1</v>
      </c>
      <c r="I692" s="29">
        <v>4.43</v>
      </c>
      <c r="J692" s="29">
        <v>1.329</v>
      </c>
      <c r="K692" s="29">
        <v>1.329</v>
      </c>
      <c r="L692" s="29" t="s">
        <v>383</v>
      </c>
      <c r="M692" s="29">
        <v>1</v>
      </c>
      <c r="N692" s="29">
        <v>0.3</v>
      </c>
      <c r="O692" s="29">
        <v>1</v>
      </c>
      <c r="P692" s="29">
        <v>1.329</v>
      </c>
      <c r="Q692" s="29" t="s">
        <v>384</v>
      </c>
    </row>
    <row r="693" spans="1:17" x14ac:dyDescent="0.3">
      <c r="A693" s="29" t="s">
        <v>560</v>
      </c>
      <c r="B693" s="29">
        <v>1</v>
      </c>
      <c r="C693" s="29" t="s">
        <v>387</v>
      </c>
      <c r="D693" s="29" t="s">
        <v>1044</v>
      </c>
      <c r="E693" s="29">
        <v>450</v>
      </c>
      <c r="G693" s="29" t="s">
        <v>292</v>
      </c>
      <c r="H693" s="29">
        <v>1</v>
      </c>
      <c r="I693" s="29">
        <v>4.43</v>
      </c>
      <c r="J693" s="29">
        <v>1.9934999999999998</v>
      </c>
      <c r="K693" s="29">
        <v>1.9934999999999998</v>
      </c>
      <c r="L693" s="29" t="s">
        <v>383</v>
      </c>
      <c r="M693" s="29">
        <v>1</v>
      </c>
      <c r="N693" s="29">
        <v>0.45</v>
      </c>
      <c r="O693" s="29">
        <v>1</v>
      </c>
      <c r="P693" s="29">
        <v>1.9934999999999998</v>
      </c>
      <c r="Q693" s="29" t="s">
        <v>384</v>
      </c>
    </row>
    <row r="694" spans="1:17" x14ac:dyDescent="0.3">
      <c r="B694" s="29">
        <v>2</v>
      </c>
      <c r="C694" s="29" t="s">
        <v>387</v>
      </c>
      <c r="D694" s="29" t="s">
        <v>1044</v>
      </c>
      <c r="E694" s="29">
        <v>300</v>
      </c>
      <c r="G694" s="29" t="s">
        <v>292</v>
      </c>
      <c r="H694" s="29">
        <v>1</v>
      </c>
      <c r="I694" s="29">
        <v>4.43</v>
      </c>
      <c r="J694" s="29">
        <v>1.329</v>
      </c>
      <c r="K694" s="29">
        <v>1.329</v>
      </c>
      <c r="L694" s="29" t="s">
        <v>383</v>
      </c>
      <c r="M694" s="29">
        <v>1</v>
      </c>
      <c r="N694" s="29">
        <v>0.3</v>
      </c>
      <c r="O694" s="29">
        <v>1</v>
      </c>
      <c r="P694" s="29">
        <v>1.329</v>
      </c>
      <c r="Q694" s="29" t="s">
        <v>384</v>
      </c>
    </row>
    <row r="695" spans="1:17" x14ac:dyDescent="0.3">
      <c r="A695" s="29" t="s">
        <v>560</v>
      </c>
      <c r="B695" s="29">
        <v>1</v>
      </c>
      <c r="C695" s="29" t="s">
        <v>387</v>
      </c>
      <c r="D695" s="29" t="s">
        <v>1044</v>
      </c>
      <c r="E695" s="29">
        <v>450</v>
      </c>
      <c r="G695" s="29" t="s">
        <v>292</v>
      </c>
      <c r="H695" s="29">
        <v>1</v>
      </c>
      <c r="I695" s="29">
        <v>4.43</v>
      </c>
      <c r="J695" s="29">
        <v>1.9934999999999998</v>
      </c>
      <c r="K695" s="29">
        <v>1.9934999999999998</v>
      </c>
      <c r="L695" s="29" t="s">
        <v>383</v>
      </c>
      <c r="M695" s="29">
        <v>1</v>
      </c>
      <c r="N695" s="29">
        <v>0.45</v>
      </c>
      <c r="O695" s="29">
        <v>1</v>
      </c>
      <c r="P695" s="29">
        <v>1.9934999999999998</v>
      </c>
      <c r="Q695" s="29" t="s">
        <v>384</v>
      </c>
    </row>
    <row r="696" spans="1:17" x14ac:dyDescent="0.3">
      <c r="B696" s="29">
        <v>2</v>
      </c>
      <c r="C696" s="29" t="s">
        <v>387</v>
      </c>
      <c r="D696" s="29" t="s">
        <v>1044</v>
      </c>
      <c r="E696" s="29">
        <v>300</v>
      </c>
      <c r="G696" s="29" t="s">
        <v>292</v>
      </c>
      <c r="H696" s="29">
        <v>1</v>
      </c>
      <c r="I696" s="29">
        <v>4.43</v>
      </c>
      <c r="J696" s="29">
        <v>1.329</v>
      </c>
      <c r="K696" s="29">
        <v>1.329</v>
      </c>
      <c r="L696" s="29" t="s">
        <v>383</v>
      </c>
      <c r="M696" s="29">
        <v>1</v>
      </c>
      <c r="N696" s="29">
        <v>0.3</v>
      </c>
      <c r="O696" s="29">
        <v>1</v>
      </c>
      <c r="P696" s="29">
        <v>1.329</v>
      </c>
      <c r="Q696" s="29" t="s">
        <v>384</v>
      </c>
    </row>
    <row r="697" spans="1:17" x14ac:dyDescent="0.3">
      <c r="A697" s="29" t="s">
        <v>560</v>
      </c>
      <c r="B697" s="29">
        <v>1</v>
      </c>
      <c r="C697" s="29" t="s">
        <v>387</v>
      </c>
      <c r="D697" s="29" t="s">
        <v>1044</v>
      </c>
      <c r="E697" s="29">
        <v>450</v>
      </c>
      <c r="G697" s="29" t="s">
        <v>292</v>
      </c>
      <c r="H697" s="29">
        <v>1</v>
      </c>
      <c r="I697" s="29">
        <v>4.43</v>
      </c>
      <c r="J697" s="29">
        <v>1.9934999999999998</v>
      </c>
      <c r="K697" s="29">
        <v>1.9934999999999998</v>
      </c>
      <c r="L697" s="29" t="s">
        <v>383</v>
      </c>
      <c r="M697" s="29">
        <v>1</v>
      </c>
      <c r="N697" s="29">
        <v>0.45</v>
      </c>
      <c r="O697" s="29">
        <v>1</v>
      </c>
      <c r="P697" s="29">
        <v>1.9934999999999998</v>
      </c>
      <c r="Q697" s="29" t="s">
        <v>384</v>
      </c>
    </row>
    <row r="698" spans="1:17" x14ac:dyDescent="0.3">
      <c r="B698" s="29">
        <v>2</v>
      </c>
      <c r="C698" s="29" t="s">
        <v>387</v>
      </c>
      <c r="D698" s="29" t="s">
        <v>1044</v>
      </c>
      <c r="E698" s="29">
        <v>300</v>
      </c>
      <c r="G698" s="29" t="s">
        <v>292</v>
      </c>
      <c r="H698" s="29">
        <v>1</v>
      </c>
      <c r="I698" s="29">
        <v>4.43</v>
      </c>
      <c r="J698" s="29">
        <v>1.329</v>
      </c>
      <c r="K698" s="29">
        <v>1.329</v>
      </c>
      <c r="L698" s="29" t="s">
        <v>383</v>
      </c>
      <c r="M698" s="29">
        <v>1</v>
      </c>
      <c r="N698" s="29">
        <v>0.3</v>
      </c>
      <c r="O698" s="29">
        <v>1</v>
      </c>
      <c r="P698" s="29">
        <v>1.329</v>
      </c>
      <c r="Q698" s="29" t="s">
        <v>384</v>
      </c>
    </row>
    <row r="699" spans="1:17" x14ac:dyDescent="0.3">
      <c r="A699" s="29" t="s">
        <v>561</v>
      </c>
      <c r="B699" s="29">
        <v>1</v>
      </c>
      <c r="C699" s="29" t="s">
        <v>387</v>
      </c>
      <c r="D699" s="29" t="s">
        <v>1044</v>
      </c>
      <c r="E699" s="29">
        <v>450</v>
      </c>
      <c r="G699" s="29" t="s">
        <v>292</v>
      </c>
      <c r="H699" s="29">
        <v>1</v>
      </c>
      <c r="I699" s="29">
        <v>4.43</v>
      </c>
      <c r="J699" s="29">
        <v>1.9934999999999998</v>
      </c>
      <c r="K699" s="29">
        <v>1.9934999999999998</v>
      </c>
      <c r="L699" s="29" t="s">
        <v>383</v>
      </c>
      <c r="M699" s="29">
        <v>1</v>
      </c>
      <c r="N699" s="29">
        <v>0.45</v>
      </c>
      <c r="O699" s="29">
        <v>1</v>
      </c>
      <c r="P699" s="29">
        <v>1.9934999999999998</v>
      </c>
      <c r="Q699" s="29" t="s">
        <v>384</v>
      </c>
    </row>
    <row r="700" spans="1:17" x14ac:dyDescent="0.3">
      <c r="B700" s="29">
        <v>2</v>
      </c>
      <c r="C700" s="29" t="s">
        <v>387</v>
      </c>
      <c r="D700" s="29" t="s">
        <v>1044</v>
      </c>
      <c r="E700" s="29">
        <v>500</v>
      </c>
      <c r="G700" s="29" t="s">
        <v>292</v>
      </c>
      <c r="H700" s="29">
        <v>1</v>
      </c>
      <c r="I700" s="29">
        <v>4.43</v>
      </c>
      <c r="J700" s="29">
        <v>2.2149999999999999</v>
      </c>
      <c r="K700" s="29">
        <v>2.2149999999999999</v>
      </c>
      <c r="L700" s="29" t="s">
        <v>383</v>
      </c>
      <c r="M700" s="29">
        <v>1</v>
      </c>
      <c r="N700" s="29">
        <v>0.5</v>
      </c>
      <c r="O700" s="29">
        <v>1</v>
      </c>
      <c r="P700" s="29">
        <v>2.2149999999999999</v>
      </c>
      <c r="Q700" s="29" t="s">
        <v>384</v>
      </c>
    </row>
    <row r="701" spans="1:17" x14ac:dyDescent="0.3">
      <c r="A701" s="29" t="s">
        <v>561</v>
      </c>
      <c r="B701" s="29">
        <v>1</v>
      </c>
      <c r="C701" s="29" t="s">
        <v>387</v>
      </c>
      <c r="D701" s="29" t="s">
        <v>1044</v>
      </c>
      <c r="E701" s="29">
        <v>450</v>
      </c>
      <c r="G701" s="29" t="s">
        <v>292</v>
      </c>
      <c r="H701" s="29">
        <v>1</v>
      </c>
      <c r="I701" s="29">
        <v>4.43</v>
      </c>
      <c r="J701" s="29">
        <v>1.9934999999999998</v>
      </c>
      <c r="K701" s="29">
        <v>1.9934999999999998</v>
      </c>
      <c r="L701" s="29" t="s">
        <v>383</v>
      </c>
      <c r="M701" s="29">
        <v>1</v>
      </c>
      <c r="N701" s="29">
        <v>0.45</v>
      </c>
      <c r="O701" s="29">
        <v>1</v>
      </c>
      <c r="P701" s="29">
        <v>1.9934999999999998</v>
      </c>
      <c r="Q701" s="29" t="s">
        <v>384</v>
      </c>
    </row>
    <row r="702" spans="1:17" x14ac:dyDescent="0.3">
      <c r="B702" s="29">
        <v>2</v>
      </c>
      <c r="C702" s="29" t="s">
        <v>387</v>
      </c>
      <c r="D702" s="29" t="s">
        <v>1044</v>
      </c>
      <c r="E702" s="29">
        <v>500</v>
      </c>
      <c r="G702" s="29" t="s">
        <v>292</v>
      </c>
      <c r="H702" s="29">
        <v>1</v>
      </c>
      <c r="I702" s="29">
        <v>4.43</v>
      </c>
      <c r="J702" s="29">
        <v>2.2149999999999999</v>
      </c>
      <c r="K702" s="29">
        <v>2.2149999999999999</v>
      </c>
      <c r="L702" s="29" t="s">
        <v>383</v>
      </c>
      <c r="M702" s="29">
        <v>1</v>
      </c>
      <c r="N702" s="29">
        <v>0.5</v>
      </c>
      <c r="O702" s="29">
        <v>1</v>
      </c>
      <c r="P702" s="29">
        <v>2.2149999999999999</v>
      </c>
      <c r="Q702" s="29" t="s">
        <v>384</v>
      </c>
    </row>
    <row r="703" spans="1:17" x14ac:dyDescent="0.3">
      <c r="A703" s="29" t="s">
        <v>562</v>
      </c>
      <c r="B703" s="29">
        <v>1</v>
      </c>
      <c r="C703" s="29" t="s">
        <v>387</v>
      </c>
      <c r="D703" s="29" t="s">
        <v>1044</v>
      </c>
      <c r="E703" s="29">
        <v>550</v>
      </c>
      <c r="G703" s="29" t="s">
        <v>292</v>
      </c>
      <c r="H703" s="29">
        <v>1</v>
      </c>
      <c r="I703" s="29">
        <v>4.43</v>
      </c>
      <c r="J703" s="29">
        <v>2.4365000000000001</v>
      </c>
      <c r="K703" s="29">
        <v>2.4365000000000001</v>
      </c>
      <c r="L703" s="29" t="s">
        <v>383</v>
      </c>
      <c r="M703" s="29">
        <v>1</v>
      </c>
      <c r="N703" s="29">
        <v>0.55000000000000004</v>
      </c>
      <c r="O703" s="29">
        <v>1</v>
      </c>
      <c r="P703" s="29">
        <v>2.4365000000000001</v>
      </c>
      <c r="Q703" s="29" t="s">
        <v>384</v>
      </c>
    </row>
    <row r="704" spans="1:17" x14ac:dyDescent="0.3">
      <c r="B704" s="29">
        <v>2</v>
      </c>
      <c r="C704" s="29" t="s">
        <v>387</v>
      </c>
      <c r="D704" s="29" t="s">
        <v>1044</v>
      </c>
      <c r="E704" s="29">
        <v>300</v>
      </c>
      <c r="G704" s="29" t="s">
        <v>292</v>
      </c>
      <c r="H704" s="29">
        <v>1</v>
      </c>
      <c r="I704" s="29">
        <v>4.43</v>
      </c>
      <c r="J704" s="29">
        <v>1.329</v>
      </c>
      <c r="K704" s="29">
        <v>1.329</v>
      </c>
      <c r="L704" s="29" t="s">
        <v>383</v>
      </c>
      <c r="M704" s="29">
        <v>1</v>
      </c>
      <c r="N704" s="29">
        <v>0.3</v>
      </c>
      <c r="O704" s="29">
        <v>1</v>
      </c>
      <c r="P704" s="29">
        <v>1.329</v>
      </c>
      <c r="Q704" s="29" t="s">
        <v>384</v>
      </c>
    </row>
    <row r="705" spans="1:17" x14ac:dyDescent="0.3">
      <c r="A705" s="29" t="s">
        <v>563</v>
      </c>
      <c r="B705" s="29">
        <v>1</v>
      </c>
      <c r="C705" s="29" t="s">
        <v>387</v>
      </c>
      <c r="D705" s="29" t="s">
        <v>1044</v>
      </c>
      <c r="E705" s="29">
        <v>650</v>
      </c>
      <c r="G705" s="29" t="s">
        <v>292</v>
      </c>
      <c r="H705" s="29">
        <v>1</v>
      </c>
      <c r="I705" s="29">
        <v>4.43</v>
      </c>
      <c r="J705" s="29">
        <v>2.8794999999999997</v>
      </c>
      <c r="K705" s="29">
        <v>2.8794999999999997</v>
      </c>
      <c r="L705" s="29" t="s">
        <v>383</v>
      </c>
      <c r="M705" s="29">
        <v>1</v>
      </c>
      <c r="N705" s="29">
        <v>0.65</v>
      </c>
      <c r="O705" s="29">
        <v>1</v>
      </c>
      <c r="P705" s="29">
        <v>2.8794999999999997</v>
      </c>
      <c r="Q705" s="29" t="s">
        <v>384</v>
      </c>
    </row>
    <row r="706" spans="1:17" x14ac:dyDescent="0.3">
      <c r="B706" s="29">
        <v>2</v>
      </c>
      <c r="C706" s="29" t="s">
        <v>387</v>
      </c>
      <c r="D706" s="29" t="s">
        <v>1044</v>
      </c>
      <c r="E706" s="29">
        <v>300</v>
      </c>
      <c r="G706" s="29" t="s">
        <v>292</v>
      </c>
      <c r="H706" s="29">
        <v>1</v>
      </c>
      <c r="I706" s="29">
        <v>4.43</v>
      </c>
      <c r="J706" s="29">
        <v>1.329</v>
      </c>
      <c r="K706" s="29">
        <v>1.329</v>
      </c>
      <c r="L706" s="29" t="s">
        <v>383</v>
      </c>
      <c r="M706" s="29">
        <v>1</v>
      </c>
      <c r="N706" s="29">
        <v>0.3</v>
      </c>
      <c r="O706" s="29">
        <v>1</v>
      </c>
      <c r="P706" s="29">
        <v>1.329</v>
      </c>
      <c r="Q706" s="29" t="s">
        <v>384</v>
      </c>
    </row>
    <row r="707" spans="1:17" x14ac:dyDescent="0.3">
      <c r="A707" s="29" t="s">
        <v>563</v>
      </c>
      <c r="B707" s="29">
        <v>1</v>
      </c>
      <c r="C707" s="29" t="s">
        <v>387</v>
      </c>
      <c r="D707" s="29" t="s">
        <v>1044</v>
      </c>
      <c r="E707" s="29">
        <v>650</v>
      </c>
      <c r="G707" s="29" t="s">
        <v>292</v>
      </c>
      <c r="H707" s="29">
        <v>1</v>
      </c>
      <c r="I707" s="29">
        <v>4.43</v>
      </c>
      <c r="J707" s="29">
        <v>2.8794999999999997</v>
      </c>
      <c r="K707" s="29">
        <v>2.8794999999999997</v>
      </c>
      <c r="L707" s="29" t="s">
        <v>383</v>
      </c>
      <c r="M707" s="29">
        <v>1</v>
      </c>
      <c r="N707" s="29">
        <v>0.65</v>
      </c>
      <c r="O707" s="29">
        <v>1</v>
      </c>
      <c r="P707" s="29">
        <v>2.8794999999999997</v>
      </c>
      <c r="Q707" s="29" t="s">
        <v>384</v>
      </c>
    </row>
    <row r="708" spans="1:17" x14ac:dyDescent="0.3">
      <c r="B708" s="29">
        <v>2</v>
      </c>
      <c r="C708" s="29" t="s">
        <v>387</v>
      </c>
      <c r="D708" s="29" t="s">
        <v>1044</v>
      </c>
      <c r="E708" s="29">
        <v>300</v>
      </c>
      <c r="G708" s="29" t="s">
        <v>292</v>
      </c>
      <c r="H708" s="29">
        <v>1</v>
      </c>
      <c r="I708" s="29">
        <v>4.43</v>
      </c>
      <c r="J708" s="29">
        <v>1.329</v>
      </c>
      <c r="K708" s="29">
        <v>1.329</v>
      </c>
      <c r="L708" s="29" t="s">
        <v>383</v>
      </c>
      <c r="M708" s="29">
        <v>1</v>
      </c>
      <c r="N708" s="29">
        <v>0.3</v>
      </c>
      <c r="O708" s="29">
        <v>1</v>
      </c>
      <c r="P708" s="29">
        <v>1.329</v>
      </c>
      <c r="Q708" s="29" t="s">
        <v>384</v>
      </c>
    </row>
    <row r="709" spans="1:17" x14ac:dyDescent="0.3">
      <c r="A709" s="29" t="s">
        <v>563</v>
      </c>
      <c r="B709" s="29">
        <v>1</v>
      </c>
      <c r="C709" s="29" t="s">
        <v>387</v>
      </c>
      <c r="D709" s="29" t="s">
        <v>1044</v>
      </c>
      <c r="E709" s="29">
        <v>650</v>
      </c>
      <c r="G709" s="29" t="s">
        <v>292</v>
      </c>
      <c r="H709" s="29">
        <v>1</v>
      </c>
      <c r="I709" s="29">
        <v>4.43</v>
      </c>
      <c r="J709" s="29">
        <v>2.8794999999999997</v>
      </c>
      <c r="K709" s="29">
        <v>2.8794999999999997</v>
      </c>
      <c r="L709" s="29" t="s">
        <v>383</v>
      </c>
      <c r="M709" s="29">
        <v>1</v>
      </c>
      <c r="N709" s="29">
        <v>0.65</v>
      </c>
      <c r="O709" s="29">
        <v>1</v>
      </c>
      <c r="P709" s="29">
        <v>2.8794999999999997</v>
      </c>
      <c r="Q709" s="29" t="s">
        <v>384</v>
      </c>
    </row>
    <row r="710" spans="1:17" x14ac:dyDescent="0.3">
      <c r="B710" s="29">
        <v>2</v>
      </c>
      <c r="C710" s="29" t="s">
        <v>387</v>
      </c>
      <c r="D710" s="29" t="s">
        <v>1044</v>
      </c>
      <c r="E710" s="29">
        <v>300</v>
      </c>
      <c r="G710" s="29" t="s">
        <v>292</v>
      </c>
      <c r="H710" s="29">
        <v>1</v>
      </c>
      <c r="I710" s="29">
        <v>4.43</v>
      </c>
      <c r="J710" s="29">
        <v>1.329</v>
      </c>
      <c r="K710" s="29">
        <v>1.329</v>
      </c>
      <c r="L710" s="29" t="s">
        <v>383</v>
      </c>
      <c r="M710" s="29">
        <v>1</v>
      </c>
      <c r="N710" s="29">
        <v>0.3</v>
      </c>
      <c r="O710" s="29">
        <v>1</v>
      </c>
      <c r="P710" s="29">
        <v>1.329</v>
      </c>
      <c r="Q710" s="29" t="s">
        <v>384</v>
      </c>
    </row>
    <row r="711" spans="1:17" x14ac:dyDescent="0.3">
      <c r="A711" s="29" t="s">
        <v>564</v>
      </c>
      <c r="B711" s="29">
        <v>1</v>
      </c>
      <c r="C711" s="29" t="s">
        <v>387</v>
      </c>
      <c r="D711" s="29" t="s">
        <v>1044</v>
      </c>
      <c r="E711" s="29">
        <v>650</v>
      </c>
      <c r="G711" s="29" t="s">
        <v>292</v>
      </c>
      <c r="H711" s="29">
        <v>1</v>
      </c>
      <c r="I711" s="29">
        <v>4.43</v>
      </c>
      <c r="J711" s="29">
        <v>2.8794999999999997</v>
      </c>
      <c r="K711" s="29">
        <v>2.8794999999999997</v>
      </c>
      <c r="L711" s="29" t="s">
        <v>383</v>
      </c>
      <c r="M711" s="29">
        <v>1</v>
      </c>
      <c r="N711" s="29">
        <v>0.65</v>
      </c>
      <c r="O711" s="29">
        <v>1</v>
      </c>
      <c r="P711" s="29">
        <v>2.8794999999999997</v>
      </c>
      <c r="Q711" s="29" t="s">
        <v>384</v>
      </c>
    </row>
    <row r="712" spans="1:17" x14ac:dyDescent="0.3">
      <c r="B712" s="29">
        <v>2</v>
      </c>
      <c r="C712" s="29" t="s">
        <v>387</v>
      </c>
      <c r="D712" s="29" t="s">
        <v>1044</v>
      </c>
      <c r="E712" s="29">
        <v>500</v>
      </c>
      <c r="G712" s="29" t="s">
        <v>292</v>
      </c>
      <c r="H712" s="29">
        <v>1</v>
      </c>
      <c r="I712" s="29">
        <v>4.43</v>
      </c>
      <c r="J712" s="29">
        <v>2.2149999999999999</v>
      </c>
      <c r="K712" s="29">
        <v>2.2149999999999999</v>
      </c>
      <c r="L712" s="29" t="s">
        <v>383</v>
      </c>
      <c r="M712" s="29">
        <v>1</v>
      </c>
      <c r="N712" s="29">
        <v>0.5</v>
      </c>
      <c r="O712" s="29">
        <v>1</v>
      </c>
      <c r="P712" s="29">
        <v>2.2149999999999999</v>
      </c>
      <c r="Q712" s="29" t="s">
        <v>384</v>
      </c>
    </row>
    <row r="713" spans="1:17" x14ac:dyDescent="0.3">
      <c r="A713" s="29" t="s">
        <v>565</v>
      </c>
      <c r="B713" s="29">
        <v>1</v>
      </c>
      <c r="C713" s="29" t="s">
        <v>387</v>
      </c>
      <c r="D713" s="29" t="s">
        <v>1044</v>
      </c>
      <c r="E713" s="29">
        <v>750</v>
      </c>
      <c r="G713" s="29" t="s">
        <v>292</v>
      </c>
      <c r="H713" s="29">
        <v>1</v>
      </c>
      <c r="I713" s="29">
        <v>4.43</v>
      </c>
      <c r="J713" s="29">
        <v>3.3224999999999998</v>
      </c>
      <c r="K713" s="29">
        <v>3.3224999999999998</v>
      </c>
      <c r="L713" s="29" t="s">
        <v>383</v>
      </c>
      <c r="M713" s="29">
        <v>1</v>
      </c>
      <c r="N713" s="29">
        <v>0.75</v>
      </c>
      <c r="O713" s="29">
        <v>1</v>
      </c>
      <c r="P713" s="29">
        <v>3.3224999999999998</v>
      </c>
      <c r="Q713" s="29" t="s">
        <v>384</v>
      </c>
    </row>
    <row r="714" spans="1:17" x14ac:dyDescent="0.3">
      <c r="B714" s="29">
        <v>2</v>
      </c>
      <c r="C714" s="29" t="s">
        <v>387</v>
      </c>
      <c r="D714" s="29" t="s">
        <v>1044</v>
      </c>
      <c r="E714" s="29">
        <v>300</v>
      </c>
      <c r="G714" s="29" t="s">
        <v>292</v>
      </c>
      <c r="H714" s="29">
        <v>1</v>
      </c>
      <c r="I714" s="29">
        <v>4.43</v>
      </c>
      <c r="J714" s="29">
        <v>1.329</v>
      </c>
      <c r="K714" s="29">
        <v>1.329</v>
      </c>
      <c r="L714" s="29" t="s">
        <v>383</v>
      </c>
      <c r="M714" s="29">
        <v>1</v>
      </c>
      <c r="N714" s="29">
        <v>0.3</v>
      </c>
      <c r="O714" s="29">
        <v>1</v>
      </c>
      <c r="P714" s="29">
        <v>1.329</v>
      </c>
      <c r="Q714" s="29" t="s">
        <v>384</v>
      </c>
    </row>
    <row r="715" spans="1:17" x14ac:dyDescent="0.3">
      <c r="A715" s="29" t="s">
        <v>565</v>
      </c>
      <c r="B715" s="29">
        <v>1</v>
      </c>
      <c r="C715" s="29" t="s">
        <v>387</v>
      </c>
      <c r="D715" s="29" t="s">
        <v>1044</v>
      </c>
      <c r="E715" s="29">
        <v>750</v>
      </c>
      <c r="G715" s="29" t="s">
        <v>292</v>
      </c>
      <c r="H715" s="29">
        <v>1</v>
      </c>
      <c r="I715" s="29">
        <v>4.43</v>
      </c>
      <c r="J715" s="29">
        <v>3.3224999999999998</v>
      </c>
      <c r="K715" s="29">
        <v>3.3224999999999998</v>
      </c>
      <c r="L715" s="29" t="s">
        <v>383</v>
      </c>
      <c r="M715" s="29">
        <v>1</v>
      </c>
      <c r="N715" s="29">
        <v>0.75</v>
      </c>
      <c r="O715" s="29">
        <v>1</v>
      </c>
      <c r="P715" s="29">
        <v>3.3224999999999998</v>
      </c>
      <c r="Q715" s="29" t="s">
        <v>384</v>
      </c>
    </row>
    <row r="716" spans="1:17" x14ac:dyDescent="0.3">
      <c r="B716" s="29">
        <v>2</v>
      </c>
      <c r="C716" s="29" t="s">
        <v>387</v>
      </c>
      <c r="D716" s="29" t="s">
        <v>1044</v>
      </c>
      <c r="E716" s="29">
        <v>300</v>
      </c>
      <c r="G716" s="29" t="s">
        <v>292</v>
      </c>
      <c r="H716" s="29">
        <v>1</v>
      </c>
      <c r="I716" s="29">
        <v>4.43</v>
      </c>
      <c r="J716" s="29">
        <v>1.329</v>
      </c>
      <c r="K716" s="29">
        <v>1.329</v>
      </c>
      <c r="L716" s="29" t="s">
        <v>383</v>
      </c>
      <c r="M716" s="29">
        <v>1</v>
      </c>
      <c r="N716" s="29">
        <v>0.3</v>
      </c>
      <c r="O716" s="29">
        <v>1</v>
      </c>
      <c r="P716" s="29">
        <v>1.329</v>
      </c>
      <c r="Q716" s="29" t="s">
        <v>384</v>
      </c>
    </row>
    <row r="717" spans="1:17" x14ac:dyDescent="0.3">
      <c r="A717" s="29" t="s">
        <v>566</v>
      </c>
      <c r="B717" s="29">
        <v>1</v>
      </c>
      <c r="C717" s="29" t="s">
        <v>387</v>
      </c>
      <c r="D717" s="29" t="s">
        <v>1044</v>
      </c>
      <c r="E717" s="29">
        <v>950</v>
      </c>
      <c r="G717" s="29" t="s">
        <v>292</v>
      </c>
      <c r="H717" s="29">
        <v>1</v>
      </c>
      <c r="I717" s="29">
        <v>4.43</v>
      </c>
      <c r="J717" s="29">
        <v>4.2084999999999999</v>
      </c>
      <c r="K717" s="29">
        <v>4.2084999999999999</v>
      </c>
      <c r="L717" s="29" t="s">
        <v>383</v>
      </c>
      <c r="M717" s="29">
        <v>1</v>
      </c>
      <c r="N717" s="29">
        <v>0.95</v>
      </c>
      <c r="O717" s="29">
        <v>1</v>
      </c>
      <c r="P717" s="29">
        <v>4.2084999999999999</v>
      </c>
      <c r="Q717" s="29" t="s">
        <v>384</v>
      </c>
    </row>
    <row r="718" spans="1:17" x14ac:dyDescent="0.3">
      <c r="B718" s="29">
        <v>2</v>
      </c>
      <c r="C718" s="29" t="s">
        <v>387</v>
      </c>
      <c r="D718" s="29" t="s">
        <v>1044</v>
      </c>
      <c r="E718" s="29">
        <v>300</v>
      </c>
      <c r="G718" s="29" t="s">
        <v>292</v>
      </c>
      <c r="H718" s="29">
        <v>1</v>
      </c>
      <c r="I718" s="29">
        <v>4.43</v>
      </c>
      <c r="J718" s="29">
        <v>1.329</v>
      </c>
      <c r="K718" s="29">
        <v>1.329</v>
      </c>
      <c r="L718" s="29" t="s">
        <v>383</v>
      </c>
      <c r="M718" s="29">
        <v>1</v>
      </c>
      <c r="N718" s="29">
        <v>0.3</v>
      </c>
      <c r="O718" s="29">
        <v>1</v>
      </c>
      <c r="P718" s="29">
        <v>1.329</v>
      </c>
      <c r="Q718" s="29" t="s">
        <v>384</v>
      </c>
    </row>
    <row r="719" spans="1:17" x14ac:dyDescent="0.3">
      <c r="A719" s="29" t="s">
        <v>567</v>
      </c>
      <c r="B719" s="29">
        <v>1</v>
      </c>
      <c r="C719" s="29" t="s">
        <v>387</v>
      </c>
      <c r="D719" s="29" t="s">
        <v>1044</v>
      </c>
      <c r="E719" s="29">
        <v>950</v>
      </c>
      <c r="G719" s="29" t="s">
        <v>292</v>
      </c>
      <c r="H719" s="29">
        <v>1</v>
      </c>
      <c r="I719" s="29">
        <v>4.43</v>
      </c>
      <c r="J719" s="29">
        <v>4.2084999999999999</v>
      </c>
      <c r="K719" s="29">
        <v>4.2084999999999999</v>
      </c>
      <c r="L719" s="29" t="s">
        <v>383</v>
      </c>
      <c r="M719" s="29">
        <v>1</v>
      </c>
      <c r="N719" s="29">
        <v>0.95</v>
      </c>
      <c r="O719" s="29">
        <v>1</v>
      </c>
      <c r="P719" s="29">
        <v>4.2084999999999999</v>
      </c>
      <c r="Q719" s="29" t="s">
        <v>384</v>
      </c>
    </row>
    <row r="720" spans="1:17" x14ac:dyDescent="0.3">
      <c r="B720" s="29">
        <v>2</v>
      </c>
      <c r="C720" s="29" t="s">
        <v>387</v>
      </c>
      <c r="D720" s="29" t="s">
        <v>1044</v>
      </c>
      <c r="E720" s="29">
        <v>500</v>
      </c>
      <c r="G720" s="29" t="s">
        <v>292</v>
      </c>
      <c r="H720" s="29">
        <v>1</v>
      </c>
      <c r="I720" s="29">
        <v>4.43</v>
      </c>
      <c r="J720" s="29">
        <v>2.2149999999999999</v>
      </c>
      <c r="K720" s="29">
        <v>2.2149999999999999</v>
      </c>
      <c r="L720" s="29" t="s">
        <v>383</v>
      </c>
      <c r="M720" s="29">
        <v>1</v>
      </c>
      <c r="N720" s="29">
        <v>0.5</v>
      </c>
      <c r="O720" s="29">
        <v>1</v>
      </c>
      <c r="P720" s="29">
        <v>2.2149999999999999</v>
      </c>
      <c r="Q720" s="29" t="s">
        <v>384</v>
      </c>
    </row>
    <row r="721" spans="1:17" x14ac:dyDescent="0.3">
      <c r="A721" s="29" t="s">
        <v>568</v>
      </c>
      <c r="B721" s="29">
        <v>1</v>
      </c>
      <c r="C721" s="29" t="s">
        <v>387</v>
      </c>
      <c r="D721" s="29" t="s">
        <v>1045</v>
      </c>
      <c r="E721" s="29">
        <v>175</v>
      </c>
      <c r="G721" s="29" t="s">
        <v>292</v>
      </c>
      <c r="H721" s="29">
        <v>1</v>
      </c>
      <c r="I721" s="29">
        <v>9.9600000000000009</v>
      </c>
      <c r="J721" s="29">
        <v>1.7430000000000001</v>
      </c>
      <c r="K721" s="29">
        <v>1.7430000000000001</v>
      </c>
      <c r="L721" s="29" t="s">
        <v>383</v>
      </c>
      <c r="M721" s="29">
        <v>1</v>
      </c>
      <c r="N721" s="29">
        <v>0.17499999999999999</v>
      </c>
      <c r="O721" s="29">
        <v>1</v>
      </c>
      <c r="P721" s="29">
        <v>1.7430000000000001</v>
      </c>
      <c r="Q721" s="29" t="s">
        <v>384</v>
      </c>
    </row>
    <row r="722" spans="1:17" x14ac:dyDescent="0.3">
      <c r="B722" s="29">
        <v>2</v>
      </c>
      <c r="C722" s="29" t="s">
        <v>387</v>
      </c>
      <c r="D722" s="29" t="s">
        <v>1045</v>
      </c>
      <c r="E722" s="29">
        <v>300</v>
      </c>
      <c r="G722" s="29" t="s">
        <v>292</v>
      </c>
      <c r="H722" s="29">
        <v>1</v>
      </c>
      <c r="I722" s="29">
        <v>9.9600000000000009</v>
      </c>
      <c r="J722" s="29">
        <v>2.988</v>
      </c>
      <c r="K722" s="29">
        <v>2.988</v>
      </c>
      <c r="L722" s="29" t="s">
        <v>383</v>
      </c>
      <c r="M722" s="29">
        <v>1</v>
      </c>
      <c r="N722" s="29">
        <v>0.3</v>
      </c>
      <c r="O722" s="29">
        <v>1</v>
      </c>
      <c r="P722" s="29">
        <v>2.988</v>
      </c>
      <c r="Q722" s="29" t="s">
        <v>384</v>
      </c>
    </row>
    <row r="723" spans="1:17" x14ac:dyDescent="0.3">
      <c r="A723" s="29" t="s">
        <v>569</v>
      </c>
      <c r="B723" s="29">
        <v>1</v>
      </c>
      <c r="C723" s="29" t="s">
        <v>387</v>
      </c>
      <c r="D723" s="29" t="s">
        <v>1045</v>
      </c>
      <c r="E723" s="29">
        <v>375</v>
      </c>
      <c r="G723" s="29" t="s">
        <v>292</v>
      </c>
      <c r="H723" s="29">
        <v>1</v>
      </c>
      <c r="I723" s="29">
        <v>9.9600000000000009</v>
      </c>
      <c r="J723" s="29">
        <v>3.7350000000000003</v>
      </c>
      <c r="K723" s="29">
        <v>3.7350000000000003</v>
      </c>
      <c r="L723" s="29" t="s">
        <v>383</v>
      </c>
      <c r="M723" s="29">
        <v>1</v>
      </c>
      <c r="N723" s="29">
        <v>0.375</v>
      </c>
      <c r="O723" s="29">
        <v>1</v>
      </c>
      <c r="P723" s="29">
        <v>3.7350000000000003</v>
      </c>
      <c r="Q723" s="29" t="s">
        <v>384</v>
      </c>
    </row>
    <row r="724" spans="1:17" x14ac:dyDescent="0.3">
      <c r="B724" s="29">
        <v>2</v>
      </c>
      <c r="C724" s="29" t="s">
        <v>387</v>
      </c>
      <c r="D724" s="29" t="s">
        <v>1045</v>
      </c>
      <c r="E724" s="29">
        <v>300</v>
      </c>
      <c r="G724" s="29" t="s">
        <v>292</v>
      </c>
      <c r="H724" s="29">
        <v>1</v>
      </c>
      <c r="I724" s="29">
        <v>9.9600000000000009</v>
      </c>
      <c r="J724" s="29">
        <v>2.988</v>
      </c>
      <c r="K724" s="29">
        <v>2.988</v>
      </c>
      <c r="L724" s="29" t="s">
        <v>383</v>
      </c>
      <c r="M724" s="29">
        <v>1</v>
      </c>
      <c r="N724" s="29">
        <v>0.3</v>
      </c>
      <c r="O724" s="29">
        <v>1</v>
      </c>
      <c r="P724" s="29">
        <v>2.988</v>
      </c>
      <c r="Q724" s="29" t="s">
        <v>384</v>
      </c>
    </row>
    <row r="725" spans="1:17" x14ac:dyDescent="0.3">
      <c r="A725" s="29" t="s">
        <v>570</v>
      </c>
      <c r="B725" s="29">
        <v>1</v>
      </c>
      <c r="C725" s="29" t="s">
        <v>387</v>
      </c>
      <c r="D725" s="29" t="s">
        <v>1045</v>
      </c>
      <c r="E725" s="29">
        <v>375</v>
      </c>
      <c r="G725" s="29" t="s">
        <v>292</v>
      </c>
      <c r="H725" s="29">
        <v>1</v>
      </c>
      <c r="I725" s="29">
        <v>9.9600000000000009</v>
      </c>
      <c r="J725" s="29">
        <v>3.7350000000000003</v>
      </c>
      <c r="K725" s="29">
        <v>3.7350000000000003</v>
      </c>
      <c r="L725" s="29" t="s">
        <v>383</v>
      </c>
      <c r="M725" s="29">
        <v>1</v>
      </c>
      <c r="N725" s="29">
        <v>0.375</v>
      </c>
      <c r="O725" s="29">
        <v>1</v>
      </c>
      <c r="P725" s="29">
        <v>3.7350000000000003</v>
      </c>
      <c r="Q725" s="29" t="s">
        <v>384</v>
      </c>
    </row>
    <row r="726" spans="1:17" x14ac:dyDescent="0.3">
      <c r="B726" s="29">
        <v>2</v>
      </c>
      <c r="C726" s="29" t="s">
        <v>387</v>
      </c>
      <c r="D726" s="29" t="s">
        <v>1045</v>
      </c>
      <c r="E726" s="29">
        <v>500</v>
      </c>
      <c r="G726" s="29" t="s">
        <v>292</v>
      </c>
      <c r="H726" s="29">
        <v>1</v>
      </c>
      <c r="I726" s="29">
        <v>9.9600000000000009</v>
      </c>
      <c r="J726" s="29">
        <v>4.9800000000000004</v>
      </c>
      <c r="K726" s="29">
        <v>4.9800000000000004</v>
      </c>
      <c r="L726" s="29" t="s">
        <v>383</v>
      </c>
      <c r="M726" s="29">
        <v>1</v>
      </c>
      <c r="N726" s="29">
        <v>0.5</v>
      </c>
      <c r="O726" s="29">
        <v>1</v>
      </c>
      <c r="P726" s="29">
        <v>4.9800000000000004</v>
      </c>
      <c r="Q726" s="29" t="s">
        <v>384</v>
      </c>
    </row>
    <row r="727" spans="1:17" x14ac:dyDescent="0.3">
      <c r="A727" s="29" t="s">
        <v>571</v>
      </c>
      <c r="B727" s="29">
        <v>1</v>
      </c>
      <c r="C727" s="29" t="s">
        <v>387</v>
      </c>
      <c r="D727" s="29" t="s">
        <v>1045</v>
      </c>
      <c r="E727" s="29">
        <v>375</v>
      </c>
      <c r="G727" s="29" t="s">
        <v>292</v>
      </c>
      <c r="H727" s="29">
        <v>1</v>
      </c>
      <c r="I727" s="29">
        <v>9.9600000000000009</v>
      </c>
      <c r="J727" s="29">
        <v>3.7350000000000003</v>
      </c>
      <c r="K727" s="29">
        <v>3.7350000000000003</v>
      </c>
      <c r="L727" s="29" t="s">
        <v>383</v>
      </c>
      <c r="M727" s="29">
        <v>1</v>
      </c>
      <c r="N727" s="29">
        <v>0.375</v>
      </c>
      <c r="O727" s="29">
        <v>1</v>
      </c>
      <c r="P727" s="29">
        <v>3.7350000000000003</v>
      </c>
      <c r="Q727" s="29" t="s">
        <v>384</v>
      </c>
    </row>
    <row r="728" spans="1:17" x14ac:dyDescent="0.3">
      <c r="B728" s="29">
        <v>2</v>
      </c>
      <c r="C728" s="29" t="s">
        <v>387</v>
      </c>
      <c r="D728" s="29" t="s">
        <v>1045</v>
      </c>
      <c r="E728" s="29">
        <v>700</v>
      </c>
      <c r="G728" s="29" t="s">
        <v>292</v>
      </c>
      <c r="H728" s="29">
        <v>1</v>
      </c>
      <c r="I728" s="29">
        <v>9.9600000000000009</v>
      </c>
      <c r="J728" s="29">
        <v>6.9720000000000004</v>
      </c>
      <c r="K728" s="29">
        <v>6.9720000000000004</v>
      </c>
      <c r="L728" s="29" t="s">
        <v>383</v>
      </c>
      <c r="M728" s="29">
        <v>1</v>
      </c>
      <c r="N728" s="29">
        <v>0.7</v>
      </c>
      <c r="O728" s="29">
        <v>1</v>
      </c>
      <c r="P728" s="29">
        <v>6.9720000000000004</v>
      </c>
      <c r="Q728" s="29" t="s">
        <v>384</v>
      </c>
    </row>
    <row r="729" spans="1:17" x14ac:dyDescent="0.3">
      <c r="A729" s="29" t="s">
        <v>572</v>
      </c>
      <c r="B729" s="29">
        <v>1</v>
      </c>
      <c r="C729" s="29" t="s">
        <v>387</v>
      </c>
      <c r="D729" s="29" t="s">
        <v>1045</v>
      </c>
      <c r="E729" s="29">
        <v>475</v>
      </c>
      <c r="G729" s="29" t="s">
        <v>292</v>
      </c>
      <c r="H729" s="29">
        <v>1</v>
      </c>
      <c r="I729" s="29">
        <v>9.9600000000000009</v>
      </c>
      <c r="J729" s="29">
        <v>4.7309999999999999</v>
      </c>
      <c r="K729" s="29">
        <v>4.7309999999999999</v>
      </c>
      <c r="L729" s="29" t="s">
        <v>383</v>
      </c>
      <c r="M729" s="29">
        <v>1</v>
      </c>
      <c r="N729" s="29">
        <v>0.47499999999999998</v>
      </c>
      <c r="O729" s="29">
        <v>1</v>
      </c>
      <c r="P729" s="29">
        <v>4.7309999999999999</v>
      </c>
      <c r="Q729" s="29" t="s">
        <v>384</v>
      </c>
    </row>
    <row r="730" spans="1:17" x14ac:dyDescent="0.3">
      <c r="B730" s="29">
        <v>2</v>
      </c>
      <c r="C730" s="29" t="s">
        <v>387</v>
      </c>
      <c r="D730" s="29" t="s">
        <v>1045</v>
      </c>
      <c r="E730" s="29">
        <v>300</v>
      </c>
      <c r="G730" s="29" t="s">
        <v>292</v>
      </c>
      <c r="H730" s="29">
        <v>1</v>
      </c>
      <c r="I730" s="29">
        <v>9.9600000000000009</v>
      </c>
      <c r="J730" s="29">
        <v>2.988</v>
      </c>
      <c r="K730" s="29">
        <v>2.988</v>
      </c>
      <c r="L730" s="29" t="s">
        <v>383</v>
      </c>
      <c r="M730" s="29">
        <v>1</v>
      </c>
      <c r="N730" s="29">
        <v>0.3</v>
      </c>
      <c r="O730" s="29">
        <v>1</v>
      </c>
      <c r="P730" s="29">
        <v>2.988</v>
      </c>
      <c r="Q730" s="29" t="s">
        <v>384</v>
      </c>
    </row>
    <row r="731" spans="1:17" x14ac:dyDescent="0.3">
      <c r="A731" s="29" t="s">
        <v>572</v>
      </c>
      <c r="B731" s="29">
        <v>1</v>
      </c>
      <c r="C731" s="29" t="s">
        <v>387</v>
      </c>
      <c r="D731" s="29" t="s">
        <v>1045</v>
      </c>
      <c r="E731" s="29">
        <v>475</v>
      </c>
      <c r="G731" s="29" t="s">
        <v>292</v>
      </c>
      <c r="H731" s="29">
        <v>1</v>
      </c>
      <c r="I731" s="29">
        <v>9.9600000000000009</v>
      </c>
      <c r="J731" s="29">
        <v>4.7309999999999999</v>
      </c>
      <c r="K731" s="29">
        <v>4.7309999999999999</v>
      </c>
      <c r="L731" s="29" t="s">
        <v>383</v>
      </c>
      <c r="M731" s="29">
        <v>1</v>
      </c>
      <c r="N731" s="29">
        <v>0.47499999999999998</v>
      </c>
      <c r="O731" s="29">
        <v>1</v>
      </c>
      <c r="P731" s="29">
        <v>4.7309999999999999</v>
      </c>
      <c r="Q731" s="29" t="s">
        <v>384</v>
      </c>
    </row>
    <row r="732" spans="1:17" x14ac:dyDescent="0.3">
      <c r="B732" s="29">
        <v>2</v>
      </c>
      <c r="C732" s="29" t="s">
        <v>387</v>
      </c>
      <c r="D732" s="29" t="s">
        <v>1045</v>
      </c>
      <c r="E732" s="29">
        <v>300</v>
      </c>
      <c r="G732" s="29" t="s">
        <v>292</v>
      </c>
      <c r="H732" s="29">
        <v>1</v>
      </c>
      <c r="I732" s="29">
        <v>9.9600000000000009</v>
      </c>
      <c r="J732" s="29">
        <v>2.988</v>
      </c>
      <c r="K732" s="29">
        <v>2.988</v>
      </c>
      <c r="L732" s="29" t="s">
        <v>383</v>
      </c>
      <c r="M732" s="29">
        <v>1</v>
      </c>
      <c r="N732" s="29">
        <v>0.3</v>
      </c>
      <c r="O732" s="29">
        <v>1</v>
      </c>
      <c r="P732" s="29">
        <v>2.988</v>
      </c>
      <c r="Q732" s="29" t="s">
        <v>384</v>
      </c>
    </row>
    <row r="733" spans="1:17" x14ac:dyDescent="0.3">
      <c r="A733" s="29" t="s">
        <v>573</v>
      </c>
      <c r="B733" s="29">
        <v>1</v>
      </c>
      <c r="C733" s="29" t="s">
        <v>387</v>
      </c>
      <c r="D733" s="29" t="s">
        <v>1045</v>
      </c>
      <c r="E733" s="29">
        <v>475</v>
      </c>
      <c r="G733" s="29" t="s">
        <v>292</v>
      </c>
      <c r="H733" s="29">
        <v>1</v>
      </c>
      <c r="I733" s="29">
        <v>9.9600000000000009</v>
      </c>
      <c r="J733" s="29">
        <v>4.7309999999999999</v>
      </c>
      <c r="K733" s="29">
        <v>4.7309999999999999</v>
      </c>
      <c r="L733" s="29" t="s">
        <v>383</v>
      </c>
      <c r="M733" s="29">
        <v>1</v>
      </c>
      <c r="N733" s="29">
        <v>0.47499999999999998</v>
      </c>
      <c r="O733" s="29">
        <v>1</v>
      </c>
      <c r="P733" s="29">
        <v>4.7309999999999999</v>
      </c>
      <c r="Q733" s="29" t="s">
        <v>384</v>
      </c>
    </row>
    <row r="734" spans="1:17" x14ac:dyDescent="0.3">
      <c r="B734" s="29">
        <v>2</v>
      </c>
      <c r="C734" s="29" t="s">
        <v>387</v>
      </c>
      <c r="D734" s="29" t="s">
        <v>1045</v>
      </c>
      <c r="E734" s="29">
        <v>500</v>
      </c>
      <c r="G734" s="29" t="s">
        <v>292</v>
      </c>
      <c r="H734" s="29">
        <v>1</v>
      </c>
      <c r="I734" s="29">
        <v>9.9600000000000009</v>
      </c>
      <c r="J734" s="29">
        <v>4.9800000000000004</v>
      </c>
      <c r="K734" s="29">
        <v>4.9800000000000004</v>
      </c>
      <c r="L734" s="29" t="s">
        <v>383</v>
      </c>
      <c r="M734" s="29">
        <v>1</v>
      </c>
      <c r="N734" s="29">
        <v>0.5</v>
      </c>
      <c r="O734" s="29">
        <v>1</v>
      </c>
      <c r="P734" s="29">
        <v>4.9800000000000004</v>
      </c>
      <c r="Q734" s="29" t="s">
        <v>384</v>
      </c>
    </row>
    <row r="735" spans="1:17" x14ac:dyDescent="0.3">
      <c r="A735" s="29" t="s">
        <v>574</v>
      </c>
      <c r="B735" s="29">
        <v>1</v>
      </c>
      <c r="C735" s="29" t="s">
        <v>387</v>
      </c>
      <c r="D735" s="29" t="s">
        <v>1045</v>
      </c>
      <c r="E735" s="29">
        <v>475</v>
      </c>
      <c r="G735" s="29" t="s">
        <v>292</v>
      </c>
      <c r="H735" s="29">
        <v>1</v>
      </c>
      <c r="I735" s="29">
        <v>9.9600000000000009</v>
      </c>
      <c r="J735" s="29">
        <v>4.7309999999999999</v>
      </c>
      <c r="K735" s="29">
        <v>4.7309999999999999</v>
      </c>
      <c r="L735" s="29" t="s">
        <v>383</v>
      </c>
      <c r="M735" s="29">
        <v>1</v>
      </c>
      <c r="N735" s="29">
        <v>0.47499999999999998</v>
      </c>
      <c r="O735" s="29">
        <v>1</v>
      </c>
      <c r="P735" s="29">
        <v>4.7309999999999999</v>
      </c>
      <c r="Q735" s="29" t="s">
        <v>384</v>
      </c>
    </row>
    <row r="736" spans="1:17" x14ac:dyDescent="0.3">
      <c r="B736" s="29">
        <v>2</v>
      </c>
      <c r="C736" s="29" t="s">
        <v>387</v>
      </c>
      <c r="D736" s="29" t="s">
        <v>1045</v>
      </c>
      <c r="E736" s="29">
        <v>600</v>
      </c>
      <c r="G736" s="29" t="s">
        <v>292</v>
      </c>
      <c r="H736" s="29">
        <v>1</v>
      </c>
      <c r="I736" s="29">
        <v>9.9600000000000009</v>
      </c>
      <c r="J736" s="29">
        <v>5.976</v>
      </c>
      <c r="K736" s="29">
        <v>5.976</v>
      </c>
      <c r="L736" s="29" t="s">
        <v>383</v>
      </c>
      <c r="M736" s="29">
        <v>1</v>
      </c>
      <c r="N736" s="29">
        <v>0.6</v>
      </c>
      <c r="O736" s="29">
        <v>1</v>
      </c>
      <c r="P736" s="29">
        <v>5.976</v>
      </c>
      <c r="Q736" s="29" t="s">
        <v>384</v>
      </c>
    </row>
    <row r="737" spans="1:17" x14ac:dyDescent="0.3">
      <c r="A737" s="29" t="s">
        <v>575</v>
      </c>
      <c r="B737" s="29">
        <v>1</v>
      </c>
      <c r="C737" s="29" t="s">
        <v>387</v>
      </c>
      <c r="D737" s="29" t="s">
        <v>1045</v>
      </c>
      <c r="E737" s="29">
        <v>475</v>
      </c>
      <c r="G737" s="29" t="s">
        <v>292</v>
      </c>
      <c r="H737" s="29">
        <v>1</v>
      </c>
      <c r="I737" s="29">
        <v>9.9600000000000009</v>
      </c>
      <c r="J737" s="29">
        <v>4.7309999999999999</v>
      </c>
      <c r="K737" s="29">
        <v>4.7309999999999999</v>
      </c>
      <c r="L737" s="29" t="s">
        <v>383</v>
      </c>
      <c r="M737" s="29">
        <v>1</v>
      </c>
      <c r="N737" s="29">
        <v>0.47499999999999998</v>
      </c>
      <c r="O737" s="29">
        <v>1</v>
      </c>
      <c r="P737" s="29">
        <v>4.7309999999999999</v>
      </c>
      <c r="Q737" s="29" t="s">
        <v>384</v>
      </c>
    </row>
    <row r="738" spans="1:17" x14ac:dyDescent="0.3">
      <c r="B738" s="29">
        <v>2</v>
      </c>
      <c r="C738" s="29" t="s">
        <v>387</v>
      </c>
      <c r="D738" s="29" t="s">
        <v>1045</v>
      </c>
      <c r="E738" s="29">
        <v>700</v>
      </c>
      <c r="G738" s="29" t="s">
        <v>292</v>
      </c>
      <c r="H738" s="29">
        <v>1</v>
      </c>
      <c r="I738" s="29">
        <v>9.9600000000000009</v>
      </c>
      <c r="J738" s="29">
        <v>6.9720000000000004</v>
      </c>
      <c r="K738" s="29">
        <v>6.9720000000000004</v>
      </c>
      <c r="L738" s="29" t="s">
        <v>383</v>
      </c>
      <c r="M738" s="29">
        <v>1</v>
      </c>
      <c r="N738" s="29">
        <v>0.7</v>
      </c>
      <c r="O738" s="29">
        <v>1</v>
      </c>
      <c r="P738" s="29">
        <v>6.9720000000000004</v>
      </c>
      <c r="Q738" s="29" t="s">
        <v>384</v>
      </c>
    </row>
    <row r="739" spans="1:17" x14ac:dyDescent="0.3">
      <c r="A739" s="29" t="s">
        <v>576</v>
      </c>
      <c r="B739" s="29">
        <v>1</v>
      </c>
      <c r="C739" s="29" t="s">
        <v>387</v>
      </c>
      <c r="D739" s="29" t="s">
        <v>1045</v>
      </c>
      <c r="E739" s="29">
        <v>475</v>
      </c>
      <c r="G739" s="29" t="s">
        <v>292</v>
      </c>
      <c r="H739" s="29">
        <v>1</v>
      </c>
      <c r="I739" s="29">
        <v>9.9600000000000009</v>
      </c>
      <c r="J739" s="29">
        <v>4.7309999999999999</v>
      </c>
      <c r="K739" s="29">
        <v>4.7309999999999999</v>
      </c>
      <c r="L739" s="29" t="s">
        <v>383</v>
      </c>
      <c r="M739" s="29">
        <v>1</v>
      </c>
      <c r="N739" s="29">
        <v>0.47499999999999998</v>
      </c>
      <c r="O739" s="29">
        <v>1</v>
      </c>
      <c r="P739" s="29">
        <v>4.7309999999999999</v>
      </c>
      <c r="Q739" s="29" t="s">
        <v>384</v>
      </c>
    </row>
    <row r="740" spans="1:17" x14ac:dyDescent="0.3">
      <c r="B740" s="29">
        <v>2</v>
      </c>
      <c r="C740" s="29" t="s">
        <v>387</v>
      </c>
      <c r="D740" s="29" t="s">
        <v>1045</v>
      </c>
      <c r="E740" s="29">
        <v>800</v>
      </c>
      <c r="G740" s="29" t="s">
        <v>292</v>
      </c>
      <c r="H740" s="29">
        <v>1</v>
      </c>
      <c r="I740" s="29">
        <v>9.9600000000000009</v>
      </c>
      <c r="J740" s="29">
        <v>7.9680000000000009</v>
      </c>
      <c r="K740" s="29">
        <v>7.9680000000000009</v>
      </c>
      <c r="L740" s="29" t="s">
        <v>383</v>
      </c>
      <c r="M740" s="29">
        <v>1</v>
      </c>
      <c r="N740" s="29">
        <v>0.8</v>
      </c>
      <c r="O740" s="29">
        <v>1</v>
      </c>
      <c r="P740" s="29">
        <v>7.9680000000000009</v>
      </c>
      <c r="Q740" s="29" t="s">
        <v>384</v>
      </c>
    </row>
    <row r="741" spans="1:17" x14ac:dyDescent="0.3">
      <c r="A741" s="29" t="s">
        <v>576</v>
      </c>
      <c r="B741" s="29">
        <v>1</v>
      </c>
      <c r="C741" s="29" t="s">
        <v>387</v>
      </c>
      <c r="D741" s="29" t="s">
        <v>1045</v>
      </c>
      <c r="E741" s="29">
        <v>475</v>
      </c>
      <c r="G741" s="29" t="s">
        <v>292</v>
      </c>
      <c r="H741" s="29">
        <v>1</v>
      </c>
      <c r="I741" s="29">
        <v>9.9600000000000009</v>
      </c>
      <c r="J741" s="29">
        <v>4.7309999999999999</v>
      </c>
      <c r="K741" s="29">
        <v>4.7309999999999999</v>
      </c>
      <c r="L741" s="29" t="s">
        <v>383</v>
      </c>
      <c r="M741" s="29">
        <v>1</v>
      </c>
      <c r="N741" s="29">
        <v>0.47499999999999998</v>
      </c>
      <c r="O741" s="29">
        <v>1</v>
      </c>
      <c r="P741" s="29">
        <v>4.7309999999999999</v>
      </c>
      <c r="Q741" s="29" t="s">
        <v>384</v>
      </c>
    </row>
    <row r="742" spans="1:17" x14ac:dyDescent="0.3">
      <c r="B742" s="29">
        <v>2</v>
      </c>
      <c r="C742" s="29" t="s">
        <v>387</v>
      </c>
      <c r="D742" s="29" t="s">
        <v>1045</v>
      </c>
      <c r="E742" s="29">
        <v>800</v>
      </c>
      <c r="G742" s="29" t="s">
        <v>292</v>
      </c>
      <c r="H742" s="29">
        <v>1</v>
      </c>
      <c r="I742" s="29">
        <v>9.9600000000000009</v>
      </c>
      <c r="J742" s="29">
        <v>7.9680000000000009</v>
      </c>
      <c r="K742" s="29">
        <v>7.9680000000000009</v>
      </c>
      <c r="L742" s="29" t="s">
        <v>383</v>
      </c>
      <c r="M742" s="29">
        <v>1</v>
      </c>
      <c r="N742" s="29">
        <v>0.8</v>
      </c>
      <c r="O742" s="29">
        <v>1</v>
      </c>
      <c r="P742" s="29">
        <v>7.9680000000000009</v>
      </c>
      <c r="Q742" s="29" t="s">
        <v>384</v>
      </c>
    </row>
    <row r="743" spans="1:17" x14ac:dyDescent="0.3">
      <c r="A743" s="29" t="s">
        <v>577</v>
      </c>
      <c r="B743" s="29">
        <v>1</v>
      </c>
      <c r="C743" s="29" t="s">
        <v>387</v>
      </c>
      <c r="D743" s="29" t="s">
        <v>1045</v>
      </c>
      <c r="E743" s="29">
        <v>575</v>
      </c>
      <c r="G743" s="29" t="s">
        <v>292</v>
      </c>
      <c r="H743" s="29">
        <v>1</v>
      </c>
      <c r="I743" s="29">
        <v>9.9600000000000009</v>
      </c>
      <c r="J743" s="29">
        <v>5.7270000000000003</v>
      </c>
      <c r="K743" s="29">
        <v>5.7270000000000003</v>
      </c>
      <c r="L743" s="29" t="s">
        <v>383</v>
      </c>
      <c r="M743" s="29">
        <v>1</v>
      </c>
      <c r="N743" s="29">
        <v>0.57499999999999996</v>
      </c>
      <c r="O743" s="29">
        <v>1</v>
      </c>
      <c r="P743" s="29">
        <v>5.7270000000000003</v>
      </c>
      <c r="Q743" s="29" t="s">
        <v>384</v>
      </c>
    </row>
    <row r="744" spans="1:17" x14ac:dyDescent="0.3">
      <c r="B744" s="29">
        <v>2</v>
      </c>
      <c r="C744" s="29" t="s">
        <v>387</v>
      </c>
      <c r="D744" s="29" t="s">
        <v>1045</v>
      </c>
      <c r="E744" s="29">
        <v>300</v>
      </c>
      <c r="G744" s="29" t="s">
        <v>292</v>
      </c>
      <c r="H744" s="29">
        <v>1</v>
      </c>
      <c r="I744" s="29">
        <v>9.9600000000000009</v>
      </c>
      <c r="J744" s="29">
        <v>2.988</v>
      </c>
      <c r="K744" s="29">
        <v>2.988</v>
      </c>
      <c r="L744" s="29" t="s">
        <v>383</v>
      </c>
      <c r="M744" s="29">
        <v>1</v>
      </c>
      <c r="N744" s="29">
        <v>0.3</v>
      </c>
      <c r="O744" s="29">
        <v>1</v>
      </c>
      <c r="P744" s="29">
        <v>2.988</v>
      </c>
      <c r="Q744" s="29" t="s">
        <v>384</v>
      </c>
    </row>
    <row r="745" spans="1:17" x14ac:dyDescent="0.3">
      <c r="A745" s="29" t="s">
        <v>577</v>
      </c>
      <c r="B745" s="29">
        <v>1</v>
      </c>
      <c r="C745" s="29" t="s">
        <v>387</v>
      </c>
      <c r="D745" s="29" t="s">
        <v>1045</v>
      </c>
      <c r="E745" s="29">
        <v>575</v>
      </c>
      <c r="G745" s="29" t="s">
        <v>292</v>
      </c>
      <c r="H745" s="29">
        <v>1</v>
      </c>
      <c r="I745" s="29">
        <v>9.9600000000000009</v>
      </c>
      <c r="J745" s="29">
        <v>5.7270000000000003</v>
      </c>
      <c r="K745" s="29">
        <v>5.7270000000000003</v>
      </c>
      <c r="L745" s="29" t="s">
        <v>383</v>
      </c>
      <c r="M745" s="29">
        <v>1</v>
      </c>
      <c r="N745" s="29">
        <v>0.57499999999999996</v>
      </c>
      <c r="O745" s="29">
        <v>1</v>
      </c>
      <c r="P745" s="29">
        <v>5.7270000000000003</v>
      </c>
      <c r="Q745" s="29" t="s">
        <v>384</v>
      </c>
    </row>
    <row r="746" spans="1:17" x14ac:dyDescent="0.3">
      <c r="B746" s="29">
        <v>2</v>
      </c>
      <c r="C746" s="29" t="s">
        <v>387</v>
      </c>
      <c r="D746" s="29" t="s">
        <v>1045</v>
      </c>
      <c r="E746" s="29">
        <v>300</v>
      </c>
      <c r="G746" s="29" t="s">
        <v>292</v>
      </c>
      <c r="H746" s="29">
        <v>1</v>
      </c>
      <c r="I746" s="29">
        <v>9.9600000000000009</v>
      </c>
      <c r="J746" s="29">
        <v>2.988</v>
      </c>
      <c r="K746" s="29">
        <v>2.988</v>
      </c>
      <c r="L746" s="29" t="s">
        <v>383</v>
      </c>
      <c r="M746" s="29">
        <v>1</v>
      </c>
      <c r="N746" s="29">
        <v>0.3</v>
      </c>
      <c r="O746" s="29">
        <v>1</v>
      </c>
      <c r="P746" s="29">
        <v>2.988</v>
      </c>
      <c r="Q746" s="29" t="s">
        <v>384</v>
      </c>
    </row>
    <row r="747" spans="1:17" x14ac:dyDescent="0.3">
      <c r="A747" s="29" t="s">
        <v>577</v>
      </c>
      <c r="B747" s="29">
        <v>1</v>
      </c>
      <c r="C747" s="29" t="s">
        <v>387</v>
      </c>
      <c r="D747" s="29" t="s">
        <v>1045</v>
      </c>
      <c r="E747" s="29">
        <v>575</v>
      </c>
      <c r="G747" s="29" t="s">
        <v>292</v>
      </c>
      <c r="H747" s="29">
        <v>1</v>
      </c>
      <c r="I747" s="29">
        <v>9.9600000000000009</v>
      </c>
      <c r="J747" s="29">
        <v>5.7270000000000003</v>
      </c>
      <c r="K747" s="29">
        <v>5.7270000000000003</v>
      </c>
      <c r="L747" s="29" t="s">
        <v>383</v>
      </c>
      <c r="M747" s="29">
        <v>1</v>
      </c>
      <c r="N747" s="29">
        <v>0.57499999999999996</v>
      </c>
      <c r="O747" s="29">
        <v>1</v>
      </c>
      <c r="P747" s="29">
        <v>5.7270000000000003</v>
      </c>
      <c r="Q747" s="29" t="s">
        <v>384</v>
      </c>
    </row>
    <row r="748" spans="1:17" x14ac:dyDescent="0.3">
      <c r="B748" s="29">
        <v>2</v>
      </c>
      <c r="C748" s="29" t="s">
        <v>387</v>
      </c>
      <c r="D748" s="29" t="s">
        <v>1045</v>
      </c>
      <c r="E748" s="29">
        <v>300</v>
      </c>
      <c r="G748" s="29" t="s">
        <v>292</v>
      </c>
      <c r="H748" s="29">
        <v>1</v>
      </c>
      <c r="I748" s="29">
        <v>9.9600000000000009</v>
      </c>
      <c r="J748" s="29">
        <v>2.988</v>
      </c>
      <c r="K748" s="29">
        <v>2.988</v>
      </c>
      <c r="L748" s="29" t="s">
        <v>383</v>
      </c>
      <c r="M748" s="29">
        <v>1</v>
      </c>
      <c r="N748" s="29">
        <v>0.3</v>
      </c>
      <c r="O748" s="29">
        <v>1</v>
      </c>
      <c r="P748" s="29">
        <v>2.988</v>
      </c>
      <c r="Q748" s="29" t="s">
        <v>384</v>
      </c>
    </row>
    <row r="749" spans="1:17" x14ac:dyDescent="0.3">
      <c r="A749" s="29" t="s">
        <v>578</v>
      </c>
      <c r="B749" s="29">
        <v>1</v>
      </c>
      <c r="C749" s="29" t="s">
        <v>387</v>
      </c>
      <c r="D749" s="29" t="s">
        <v>1045</v>
      </c>
      <c r="E749" s="29">
        <v>575</v>
      </c>
      <c r="G749" s="29" t="s">
        <v>292</v>
      </c>
      <c r="H749" s="29">
        <v>1</v>
      </c>
      <c r="I749" s="29">
        <v>9.9600000000000009</v>
      </c>
      <c r="J749" s="29">
        <v>5.7270000000000003</v>
      </c>
      <c r="K749" s="29">
        <v>5.7270000000000003</v>
      </c>
      <c r="L749" s="29" t="s">
        <v>383</v>
      </c>
      <c r="M749" s="29">
        <v>1</v>
      </c>
      <c r="N749" s="29">
        <v>0.57499999999999996</v>
      </c>
      <c r="O749" s="29">
        <v>1</v>
      </c>
      <c r="P749" s="29">
        <v>5.7270000000000003</v>
      </c>
      <c r="Q749" s="29" t="s">
        <v>384</v>
      </c>
    </row>
    <row r="750" spans="1:17" x14ac:dyDescent="0.3">
      <c r="B750" s="29">
        <v>2</v>
      </c>
      <c r="C750" s="29" t="s">
        <v>387</v>
      </c>
      <c r="D750" s="29" t="s">
        <v>1045</v>
      </c>
      <c r="E750" s="29">
        <v>500</v>
      </c>
      <c r="G750" s="29" t="s">
        <v>292</v>
      </c>
      <c r="H750" s="29">
        <v>1</v>
      </c>
      <c r="I750" s="29">
        <v>9.9600000000000009</v>
      </c>
      <c r="J750" s="29">
        <v>4.9800000000000004</v>
      </c>
      <c r="K750" s="29">
        <v>4.9800000000000004</v>
      </c>
      <c r="L750" s="29" t="s">
        <v>383</v>
      </c>
      <c r="M750" s="29">
        <v>1</v>
      </c>
      <c r="N750" s="29">
        <v>0.5</v>
      </c>
      <c r="O750" s="29">
        <v>1</v>
      </c>
      <c r="P750" s="29">
        <v>4.9800000000000004</v>
      </c>
      <c r="Q750" s="29" t="s">
        <v>384</v>
      </c>
    </row>
    <row r="751" spans="1:17" x14ac:dyDescent="0.3">
      <c r="A751" s="29" t="s">
        <v>578</v>
      </c>
      <c r="B751" s="29">
        <v>1</v>
      </c>
      <c r="C751" s="29" t="s">
        <v>387</v>
      </c>
      <c r="D751" s="29" t="s">
        <v>1045</v>
      </c>
      <c r="E751" s="29">
        <v>575</v>
      </c>
      <c r="G751" s="29" t="s">
        <v>292</v>
      </c>
      <c r="H751" s="29">
        <v>1</v>
      </c>
      <c r="I751" s="29">
        <v>9.9600000000000009</v>
      </c>
      <c r="J751" s="29">
        <v>5.7270000000000003</v>
      </c>
      <c r="K751" s="29">
        <v>5.7270000000000003</v>
      </c>
      <c r="L751" s="29" t="s">
        <v>383</v>
      </c>
      <c r="M751" s="29">
        <v>1</v>
      </c>
      <c r="N751" s="29">
        <v>0.57499999999999996</v>
      </c>
      <c r="O751" s="29">
        <v>1</v>
      </c>
      <c r="P751" s="29">
        <v>5.7270000000000003</v>
      </c>
      <c r="Q751" s="29" t="s">
        <v>384</v>
      </c>
    </row>
    <row r="752" spans="1:17" x14ac:dyDescent="0.3">
      <c r="B752" s="29">
        <v>2</v>
      </c>
      <c r="C752" s="29" t="s">
        <v>387</v>
      </c>
      <c r="D752" s="29" t="s">
        <v>1045</v>
      </c>
      <c r="E752" s="29">
        <v>500</v>
      </c>
      <c r="G752" s="29" t="s">
        <v>292</v>
      </c>
      <c r="H752" s="29">
        <v>1</v>
      </c>
      <c r="I752" s="29">
        <v>9.9600000000000009</v>
      </c>
      <c r="J752" s="29">
        <v>4.9800000000000004</v>
      </c>
      <c r="K752" s="29">
        <v>4.9800000000000004</v>
      </c>
      <c r="L752" s="29" t="s">
        <v>383</v>
      </c>
      <c r="M752" s="29">
        <v>1</v>
      </c>
      <c r="N752" s="29">
        <v>0.5</v>
      </c>
      <c r="O752" s="29">
        <v>1</v>
      </c>
      <c r="P752" s="29">
        <v>4.9800000000000004</v>
      </c>
      <c r="Q752" s="29" t="s">
        <v>384</v>
      </c>
    </row>
    <row r="753" spans="1:17" x14ac:dyDescent="0.3">
      <c r="A753" s="29" t="s">
        <v>578</v>
      </c>
      <c r="B753" s="29">
        <v>1</v>
      </c>
      <c r="C753" s="29" t="s">
        <v>387</v>
      </c>
      <c r="D753" s="29" t="s">
        <v>1045</v>
      </c>
      <c r="E753" s="29">
        <v>575</v>
      </c>
      <c r="G753" s="29" t="s">
        <v>292</v>
      </c>
      <c r="H753" s="29">
        <v>1</v>
      </c>
      <c r="I753" s="29">
        <v>9.9600000000000009</v>
      </c>
      <c r="J753" s="29">
        <v>5.7270000000000003</v>
      </c>
      <c r="K753" s="29">
        <v>5.7270000000000003</v>
      </c>
      <c r="L753" s="29" t="s">
        <v>383</v>
      </c>
      <c r="M753" s="29">
        <v>1</v>
      </c>
      <c r="N753" s="29">
        <v>0.57499999999999996</v>
      </c>
      <c r="O753" s="29">
        <v>1</v>
      </c>
      <c r="P753" s="29">
        <v>5.7270000000000003</v>
      </c>
      <c r="Q753" s="29" t="s">
        <v>384</v>
      </c>
    </row>
    <row r="754" spans="1:17" x14ac:dyDescent="0.3">
      <c r="B754" s="29">
        <v>2</v>
      </c>
      <c r="C754" s="29" t="s">
        <v>387</v>
      </c>
      <c r="D754" s="29" t="s">
        <v>1045</v>
      </c>
      <c r="E754" s="29">
        <v>500</v>
      </c>
      <c r="G754" s="29" t="s">
        <v>292</v>
      </c>
      <c r="H754" s="29">
        <v>1</v>
      </c>
      <c r="I754" s="29">
        <v>9.9600000000000009</v>
      </c>
      <c r="J754" s="29">
        <v>4.9800000000000004</v>
      </c>
      <c r="K754" s="29">
        <v>4.9800000000000004</v>
      </c>
      <c r="L754" s="29" t="s">
        <v>383</v>
      </c>
      <c r="M754" s="29">
        <v>1</v>
      </c>
      <c r="N754" s="29">
        <v>0.5</v>
      </c>
      <c r="O754" s="29">
        <v>1</v>
      </c>
      <c r="P754" s="29">
        <v>4.9800000000000004</v>
      </c>
      <c r="Q754" s="29" t="s">
        <v>384</v>
      </c>
    </row>
    <row r="755" spans="1:17" x14ac:dyDescent="0.3">
      <c r="A755" s="29" t="s">
        <v>578</v>
      </c>
      <c r="B755" s="29">
        <v>1</v>
      </c>
      <c r="C755" s="29" t="s">
        <v>387</v>
      </c>
      <c r="D755" s="29" t="s">
        <v>1045</v>
      </c>
      <c r="E755" s="29">
        <v>575</v>
      </c>
      <c r="G755" s="29" t="s">
        <v>292</v>
      </c>
      <c r="H755" s="29">
        <v>1</v>
      </c>
      <c r="I755" s="29">
        <v>9.9600000000000009</v>
      </c>
      <c r="J755" s="29">
        <v>5.7270000000000003</v>
      </c>
      <c r="K755" s="29">
        <v>5.7270000000000003</v>
      </c>
      <c r="L755" s="29" t="s">
        <v>383</v>
      </c>
      <c r="M755" s="29">
        <v>1</v>
      </c>
      <c r="N755" s="29">
        <v>0.57499999999999996</v>
      </c>
      <c r="O755" s="29">
        <v>1</v>
      </c>
      <c r="P755" s="29">
        <v>5.7270000000000003</v>
      </c>
      <c r="Q755" s="29" t="s">
        <v>384</v>
      </c>
    </row>
    <row r="756" spans="1:17" x14ac:dyDescent="0.3">
      <c r="B756" s="29">
        <v>2</v>
      </c>
      <c r="C756" s="29" t="s">
        <v>387</v>
      </c>
      <c r="D756" s="29" t="s">
        <v>1045</v>
      </c>
      <c r="E756" s="29">
        <v>500</v>
      </c>
      <c r="G756" s="29" t="s">
        <v>292</v>
      </c>
      <c r="H756" s="29">
        <v>1</v>
      </c>
      <c r="I756" s="29">
        <v>9.9600000000000009</v>
      </c>
      <c r="J756" s="29">
        <v>4.9800000000000004</v>
      </c>
      <c r="K756" s="29">
        <v>4.9800000000000004</v>
      </c>
      <c r="L756" s="29" t="s">
        <v>383</v>
      </c>
      <c r="M756" s="29">
        <v>1</v>
      </c>
      <c r="N756" s="29">
        <v>0.5</v>
      </c>
      <c r="O756" s="29">
        <v>1</v>
      </c>
      <c r="P756" s="29">
        <v>4.9800000000000004</v>
      </c>
      <c r="Q756" s="29" t="s">
        <v>384</v>
      </c>
    </row>
    <row r="757" spans="1:17" x14ac:dyDescent="0.3">
      <c r="A757" s="29" t="s">
        <v>579</v>
      </c>
      <c r="B757" s="29">
        <v>1</v>
      </c>
      <c r="C757" s="29" t="s">
        <v>387</v>
      </c>
      <c r="D757" s="29" t="s">
        <v>1045</v>
      </c>
      <c r="E757" s="29">
        <v>575</v>
      </c>
      <c r="G757" s="29" t="s">
        <v>292</v>
      </c>
      <c r="H757" s="29">
        <v>1</v>
      </c>
      <c r="I757" s="29">
        <v>9.9600000000000009</v>
      </c>
      <c r="J757" s="29">
        <v>5.7270000000000003</v>
      </c>
      <c r="K757" s="29">
        <v>5.7270000000000003</v>
      </c>
      <c r="L757" s="29" t="s">
        <v>383</v>
      </c>
      <c r="M757" s="29">
        <v>1</v>
      </c>
      <c r="N757" s="29">
        <v>0.57499999999999996</v>
      </c>
      <c r="O757" s="29">
        <v>1</v>
      </c>
      <c r="P757" s="29">
        <v>5.7270000000000003</v>
      </c>
      <c r="Q757" s="29" t="s">
        <v>384</v>
      </c>
    </row>
    <row r="758" spans="1:17" x14ac:dyDescent="0.3">
      <c r="B758" s="29">
        <v>2</v>
      </c>
      <c r="C758" s="29" t="s">
        <v>387</v>
      </c>
      <c r="D758" s="29" t="s">
        <v>1045</v>
      </c>
      <c r="E758" s="29">
        <v>700</v>
      </c>
      <c r="G758" s="29" t="s">
        <v>292</v>
      </c>
      <c r="H758" s="29">
        <v>1</v>
      </c>
      <c r="I758" s="29">
        <v>9.9600000000000009</v>
      </c>
      <c r="J758" s="29">
        <v>6.9720000000000004</v>
      </c>
      <c r="K758" s="29">
        <v>6.9720000000000004</v>
      </c>
      <c r="L758" s="29" t="s">
        <v>383</v>
      </c>
      <c r="M758" s="29">
        <v>1</v>
      </c>
      <c r="N758" s="29">
        <v>0.7</v>
      </c>
      <c r="O758" s="29">
        <v>1</v>
      </c>
      <c r="P758" s="29">
        <v>6.9720000000000004</v>
      </c>
      <c r="Q758" s="29" t="s">
        <v>384</v>
      </c>
    </row>
    <row r="759" spans="1:17" x14ac:dyDescent="0.3">
      <c r="A759" s="29" t="s">
        <v>580</v>
      </c>
      <c r="B759" s="29">
        <v>1</v>
      </c>
      <c r="C759" s="29" t="s">
        <v>387</v>
      </c>
      <c r="D759" s="29" t="s">
        <v>1045</v>
      </c>
      <c r="E759" s="29">
        <v>675</v>
      </c>
      <c r="G759" s="29" t="s">
        <v>292</v>
      </c>
      <c r="H759" s="29">
        <v>1</v>
      </c>
      <c r="I759" s="29">
        <v>9.9600000000000009</v>
      </c>
      <c r="J759" s="29">
        <v>6.7230000000000008</v>
      </c>
      <c r="K759" s="29">
        <v>6.7230000000000008</v>
      </c>
      <c r="L759" s="29" t="s">
        <v>383</v>
      </c>
      <c r="M759" s="29">
        <v>1</v>
      </c>
      <c r="N759" s="29">
        <v>0.67500000000000004</v>
      </c>
      <c r="O759" s="29">
        <v>1</v>
      </c>
      <c r="P759" s="29">
        <v>6.7230000000000008</v>
      </c>
      <c r="Q759" s="29" t="s">
        <v>384</v>
      </c>
    </row>
    <row r="760" spans="1:17" x14ac:dyDescent="0.3">
      <c r="B760" s="29">
        <v>2</v>
      </c>
      <c r="C760" s="29" t="s">
        <v>387</v>
      </c>
      <c r="D760" s="29" t="s">
        <v>1045</v>
      </c>
      <c r="E760" s="29">
        <v>300</v>
      </c>
      <c r="G760" s="29" t="s">
        <v>292</v>
      </c>
      <c r="H760" s="29">
        <v>1</v>
      </c>
      <c r="I760" s="29">
        <v>9.9600000000000009</v>
      </c>
      <c r="J760" s="29">
        <v>2.988</v>
      </c>
      <c r="K760" s="29">
        <v>2.988</v>
      </c>
      <c r="L760" s="29" t="s">
        <v>383</v>
      </c>
      <c r="M760" s="29">
        <v>1</v>
      </c>
      <c r="N760" s="29">
        <v>0.3</v>
      </c>
      <c r="O760" s="29">
        <v>1</v>
      </c>
      <c r="P760" s="29">
        <v>2.988</v>
      </c>
      <c r="Q760" s="29" t="s">
        <v>384</v>
      </c>
    </row>
    <row r="761" spans="1:17" x14ac:dyDescent="0.3">
      <c r="A761" s="29" t="s">
        <v>580</v>
      </c>
      <c r="B761" s="29">
        <v>1</v>
      </c>
      <c r="C761" s="29" t="s">
        <v>387</v>
      </c>
      <c r="D761" s="29" t="s">
        <v>1045</v>
      </c>
      <c r="E761" s="29">
        <v>675</v>
      </c>
      <c r="G761" s="29" t="s">
        <v>292</v>
      </c>
      <c r="H761" s="29">
        <v>1</v>
      </c>
      <c r="I761" s="29">
        <v>9.9600000000000009</v>
      </c>
      <c r="J761" s="29">
        <v>6.7230000000000008</v>
      </c>
      <c r="K761" s="29">
        <v>6.7230000000000008</v>
      </c>
      <c r="L761" s="29" t="s">
        <v>383</v>
      </c>
      <c r="M761" s="29">
        <v>1</v>
      </c>
      <c r="N761" s="29">
        <v>0.67500000000000004</v>
      </c>
      <c r="O761" s="29">
        <v>1</v>
      </c>
      <c r="P761" s="29">
        <v>6.7230000000000008</v>
      </c>
      <c r="Q761" s="29" t="s">
        <v>384</v>
      </c>
    </row>
    <row r="762" spans="1:17" x14ac:dyDescent="0.3">
      <c r="B762" s="29">
        <v>2</v>
      </c>
      <c r="C762" s="29" t="s">
        <v>387</v>
      </c>
      <c r="D762" s="29" t="s">
        <v>1045</v>
      </c>
      <c r="E762" s="29">
        <v>300</v>
      </c>
      <c r="G762" s="29" t="s">
        <v>292</v>
      </c>
      <c r="H762" s="29">
        <v>1</v>
      </c>
      <c r="I762" s="29">
        <v>9.9600000000000009</v>
      </c>
      <c r="J762" s="29">
        <v>2.988</v>
      </c>
      <c r="K762" s="29">
        <v>2.988</v>
      </c>
      <c r="L762" s="29" t="s">
        <v>383</v>
      </c>
      <c r="M762" s="29">
        <v>1</v>
      </c>
      <c r="N762" s="29">
        <v>0.3</v>
      </c>
      <c r="O762" s="29">
        <v>1</v>
      </c>
      <c r="P762" s="29">
        <v>2.988</v>
      </c>
      <c r="Q762" s="29" t="s">
        <v>384</v>
      </c>
    </row>
    <row r="763" spans="1:17" x14ac:dyDescent="0.3">
      <c r="A763" s="29" t="s">
        <v>580</v>
      </c>
      <c r="B763" s="29">
        <v>1</v>
      </c>
      <c r="C763" s="29" t="s">
        <v>387</v>
      </c>
      <c r="D763" s="29" t="s">
        <v>1045</v>
      </c>
      <c r="E763" s="29">
        <v>675</v>
      </c>
      <c r="G763" s="29" t="s">
        <v>292</v>
      </c>
      <c r="H763" s="29">
        <v>1</v>
      </c>
      <c r="I763" s="29">
        <v>9.9600000000000009</v>
      </c>
      <c r="J763" s="29">
        <v>6.7230000000000008</v>
      </c>
      <c r="K763" s="29">
        <v>6.7230000000000008</v>
      </c>
      <c r="L763" s="29" t="s">
        <v>383</v>
      </c>
      <c r="M763" s="29">
        <v>1</v>
      </c>
      <c r="N763" s="29">
        <v>0.67500000000000004</v>
      </c>
      <c r="O763" s="29">
        <v>1</v>
      </c>
      <c r="P763" s="29">
        <v>6.7230000000000008</v>
      </c>
      <c r="Q763" s="29" t="s">
        <v>384</v>
      </c>
    </row>
    <row r="764" spans="1:17" x14ac:dyDescent="0.3">
      <c r="B764" s="29">
        <v>2</v>
      </c>
      <c r="C764" s="29" t="s">
        <v>387</v>
      </c>
      <c r="D764" s="29" t="s">
        <v>1045</v>
      </c>
      <c r="E764" s="29">
        <v>300</v>
      </c>
      <c r="G764" s="29" t="s">
        <v>292</v>
      </c>
      <c r="H764" s="29">
        <v>1</v>
      </c>
      <c r="I764" s="29">
        <v>9.9600000000000009</v>
      </c>
      <c r="J764" s="29">
        <v>2.988</v>
      </c>
      <c r="K764" s="29">
        <v>2.988</v>
      </c>
      <c r="L764" s="29" t="s">
        <v>383</v>
      </c>
      <c r="M764" s="29">
        <v>1</v>
      </c>
      <c r="N764" s="29">
        <v>0.3</v>
      </c>
      <c r="O764" s="29">
        <v>1</v>
      </c>
      <c r="P764" s="29">
        <v>2.988</v>
      </c>
      <c r="Q764" s="29" t="s">
        <v>384</v>
      </c>
    </row>
    <row r="765" spans="1:17" x14ac:dyDescent="0.3">
      <c r="A765" s="29" t="s">
        <v>580</v>
      </c>
      <c r="B765" s="29">
        <v>1</v>
      </c>
      <c r="C765" s="29" t="s">
        <v>387</v>
      </c>
      <c r="D765" s="29" t="s">
        <v>1045</v>
      </c>
      <c r="E765" s="29">
        <v>675</v>
      </c>
      <c r="G765" s="29" t="s">
        <v>292</v>
      </c>
      <c r="H765" s="29">
        <v>1</v>
      </c>
      <c r="I765" s="29">
        <v>9.9600000000000009</v>
      </c>
      <c r="J765" s="29">
        <v>6.7230000000000008</v>
      </c>
      <c r="K765" s="29">
        <v>6.7230000000000008</v>
      </c>
      <c r="L765" s="29" t="s">
        <v>383</v>
      </c>
      <c r="M765" s="29">
        <v>1</v>
      </c>
      <c r="N765" s="29">
        <v>0.67500000000000004</v>
      </c>
      <c r="O765" s="29">
        <v>1</v>
      </c>
      <c r="P765" s="29">
        <v>6.7230000000000008</v>
      </c>
      <c r="Q765" s="29" t="s">
        <v>384</v>
      </c>
    </row>
    <row r="766" spans="1:17" x14ac:dyDescent="0.3">
      <c r="B766" s="29">
        <v>2</v>
      </c>
      <c r="C766" s="29" t="s">
        <v>387</v>
      </c>
      <c r="D766" s="29" t="s">
        <v>1045</v>
      </c>
      <c r="E766" s="29">
        <v>300</v>
      </c>
      <c r="G766" s="29" t="s">
        <v>292</v>
      </c>
      <c r="H766" s="29">
        <v>1</v>
      </c>
      <c r="I766" s="29">
        <v>9.9600000000000009</v>
      </c>
      <c r="J766" s="29">
        <v>2.988</v>
      </c>
      <c r="K766" s="29">
        <v>2.988</v>
      </c>
      <c r="L766" s="29" t="s">
        <v>383</v>
      </c>
      <c r="M766" s="29">
        <v>1</v>
      </c>
      <c r="N766" s="29">
        <v>0.3</v>
      </c>
      <c r="O766" s="29">
        <v>1</v>
      </c>
      <c r="P766" s="29">
        <v>2.988</v>
      </c>
      <c r="Q766" s="29" t="s">
        <v>384</v>
      </c>
    </row>
    <row r="767" spans="1:17" x14ac:dyDescent="0.3">
      <c r="A767" s="29" t="s">
        <v>581</v>
      </c>
      <c r="B767" s="29">
        <v>1</v>
      </c>
      <c r="C767" s="29" t="s">
        <v>387</v>
      </c>
      <c r="D767" s="29" t="s">
        <v>1045</v>
      </c>
      <c r="E767" s="29">
        <v>675</v>
      </c>
      <c r="G767" s="29" t="s">
        <v>292</v>
      </c>
      <c r="H767" s="29">
        <v>1</v>
      </c>
      <c r="I767" s="29">
        <v>9.9600000000000009</v>
      </c>
      <c r="J767" s="29">
        <v>6.7230000000000008</v>
      </c>
      <c r="K767" s="29">
        <v>6.7230000000000008</v>
      </c>
      <c r="L767" s="29" t="s">
        <v>383</v>
      </c>
      <c r="M767" s="29">
        <v>1</v>
      </c>
      <c r="N767" s="29">
        <v>0.67500000000000004</v>
      </c>
      <c r="O767" s="29">
        <v>1</v>
      </c>
      <c r="P767" s="29">
        <v>6.7230000000000008</v>
      </c>
      <c r="Q767" s="29" t="s">
        <v>384</v>
      </c>
    </row>
    <row r="768" spans="1:17" x14ac:dyDescent="0.3">
      <c r="B768" s="29">
        <v>2</v>
      </c>
      <c r="C768" s="29" t="s">
        <v>387</v>
      </c>
      <c r="D768" s="29" t="s">
        <v>1045</v>
      </c>
      <c r="E768" s="29">
        <v>500</v>
      </c>
      <c r="G768" s="29" t="s">
        <v>292</v>
      </c>
      <c r="H768" s="29">
        <v>1</v>
      </c>
      <c r="I768" s="29">
        <v>9.9600000000000009</v>
      </c>
      <c r="J768" s="29">
        <v>4.9800000000000004</v>
      </c>
      <c r="K768" s="29">
        <v>4.9800000000000004</v>
      </c>
      <c r="L768" s="29" t="s">
        <v>383</v>
      </c>
      <c r="M768" s="29">
        <v>1</v>
      </c>
      <c r="N768" s="29">
        <v>0.5</v>
      </c>
      <c r="O768" s="29">
        <v>1</v>
      </c>
      <c r="P768" s="29">
        <v>4.9800000000000004</v>
      </c>
      <c r="Q768" s="29" t="s">
        <v>384</v>
      </c>
    </row>
    <row r="769" spans="1:17" x14ac:dyDescent="0.3">
      <c r="A769" s="29" t="s">
        <v>581</v>
      </c>
      <c r="B769" s="29">
        <v>1</v>
      </c>
      <c r="C769" s="29" t="s">
        <v>387</v>
      </c>
      <c r="D769" s="29" t="s">
        <v>1045</v>
      </c>
      <c r="E769" s="29">
        <v>675</v>
      </c>
      <c r="G769" s="29" t="s">
        <v>292</v>
      </c>
      <c r="H769" s="29">
        <v>1</v>
      </c>
      <c r="I769" s="29">
        <v>9.9600000000000009</v>
      </c>
      <c r="J769" s="29">
        <v>6.7230000000000008</v>
      </c>
      <c r="K769" s="29">
        <v>6.7230000000000008</v>
      </c>
      <c r="L769" s="29" t="s">
        <v>383</v>
      </c>
      <c r="M769" s="29">
        <v>1</v>
      </c>
      <c r="N769" s="29">
        <v>0.67500000000000004</v>
      </c>
      <c r="O769" s="29">
        <v>1</v>
      </c>
      <c r="P769" s="29">
        <v>6.7230000000000008</v>
      </c>
      <c r="Q769" s="29" t="s">
        <v>384</v>
      </c>
    </row>
    <row r="770" spans="1:17" x14ac:dyDescent="0.3">
      <c r="B770" s="29">
        <v>2</v>
      </c>
      <c r="C770" s="29" t="s">
        <v>387</v>
      </c>
      <c r="D770" s="29" t="s">
        <v>1045</v>
      </c>
      <c r="E770" s="29">
        <v>500</v>
      </c>
      <c r="G770" s="29" t="s">
        <v>292</v>
      </c>
      <c r="H770" s="29">
        <v>1</v>
      </c>
      <c r="I770" s="29">
        <v>9.9600000000000009</v>
      </c>
      <c r="J770" s="29">
        <v>4.9800000000000004</v>
      </c>
      <c r="K770" s="29">
        <v>4.9800000000000004</v>
      </c>
      <c r="L770" s="29" t="s">
        <v>383</v>
      </c>
      <c r="M770" s="29">
        <v>1</v>
      </c>
      <c r="N770" s="29">
        <v>0.5</v>
      </c>
      <c r="O770" s="29">
        <v>1</v>
      </c>
      <c r="P770" s="29">
        <v>4.9800000000000004</v>
      </c>
      <c r="Q770" s="29" t="s">
        <v>384</v>
      </c>
    </row>
    <row r="771" spans="1:17" x14ac:dyDescent="0.3">
      <c r="A771" s="29" t="s">
        <v>581</v>
      </c>
      <c r="B771" s="29">
        <v>1</v>
      </c>
      <c r="C771" s="29" t="s">
        <v>387</v>
      </c>
      <c r="D771" s="29" t="s">
        <v>1045</v>
      </c>
      <c r="E771" s="29">
        <v>675</v>
      </c>
      <c r="G771" s="29" t="s">
        <v>292</v>
      </c>
      <c r="H771" s="29">
        <v>1</v>
      </c>
      <c r="I771" s="29">
        <v>9.9600000000000009</v>
      </c>
      <c r="J771" s="29">
        <v>6.7230000000000008</v>
      </c>
      <c r="K771" s="29">
        <v>6.7230000000000008</v>
      </c>
      <c r="L771" s="29" t="s">
        <v>383</v>
      </c>
      <c r="M771" s="29">
        <v>1</v>
      </c>
      <c r="N771" s="29">
        <v>0.67500000000000004</v>
      </c>
      <c r="O771" s="29">
        <v>1</v>
      </c>
      <c r="P771" s="29">
        <v>6.7230000000000008</v>
      </c>
      <c r="Q771" s="29" t="s">
        <v>384</v>
      </c>
    </row>
    <row r="772" spans="1:17" x14ac:dyDescent="0.3">
      <c r="B772" s="29">
        <v>2</v>
      </c>
      <c r="C772" s="29" t="s">
        <v>387</v>
      </c>
      <c r="D772" s="29" t="s">
        <v>1045</v>
      </c>
      <c r="E772" s="29">
        <v>500</v>
      </c>
      <c r="G772" s="29" t="s">
        <v>292</v>
      </c>
      <c r="H772" s="29">
        <v>1</v>
      </c>
      <c r="I772" s="29">
        <v>9.9600000000000009</v>
      </c>
      <c r="J772" s="29">
        <v>4.9800000000000004</v>
      </c>
      <c r="K772" s="29">
        <v>4.9800000000000004</v>
      </c>
      <c r="L772" s="29" t="s">
        <v>383</v>
      </c>
      <c r="M772" s="29">
        <v>1</v>
      </c>
      <c r="N772" s="29">
        <v>0.5</v>
      </c>
      <c r="O772" s="29">
        <v>1</v>
      </c>
      <c r="P772" s="29">
        <v>4.9800000000000004</v>
      </c>
      <c r="Q772" s="29" t="s">
        <v>384</v>
      </c>
    </row>
    <row r="773" spans="1:17" x14ac:dyDescent="0.3">
      <c r="A773" s="29" t="s">
        <v>582</v>
      </c>
      <c r="B773" s="29">
        <v>1</v>
      </c>
      <c r="C773" s="29" t="s">
        <v>387</v>
      </c>
      <c r="D773" s="29" t="s">
        <v>1045</v>
      </c>
      <c r="E773" s="29">
        <v>675</v>
      </c>
      <c r="G773" s="29" t="s">
        <v>292</v>
      </c>
      <c r="H773" s="29">
        <v>1</v>
      </c>
      <c r="I773" s="29">
        <v>9.9600000000000009</v>
      </c>
      <c r="J773" s="29">
        <v>6.7230000000000008</v>
      </c>
      <c r="K773" s="29">
        <v>6.7230000000000008</v>
      </c>
      <c r="L773" s="29" t="s">
        <v>383</v>
      </c>
      <c r="M773" s="29">
        <v>1</v>
      </c>
      <c r="N773" s="29">
        <v>0.67500000000000004</v>
      </c>
      <c r="O773" s="29">
        <v>1</v>
      </c>
      <c r="P773" s="29">
        <v>6.7230000000000008</v>
      </c>
      <c r="Q773" s="29" t="s">
        <v>384</v>
      </c>
    </row>
    <row r="774" spans="1:17" x14ac:dyDescent="0.3">
      <c r="B774" s="29">
        <v>2</v>
      </c>
      <c r="C774" s="29" t="s">
        <v>387</v>
      </c>
      <c r="D774" s="29" t="s">
        <v>1045</v>
      </c>
      <c r="E774" s="29">
        <v>700</v>
      </c>
      <c r="G774" s="29" t="s">
        <v>292</v>
      </c>
      <c r="H774" s="29">
        <v>1</v>
      </c>
      <c r="I774" s="29">
        <v>9.9600000000000009</v>
      </c>
      <c r="J774" s="29">
        <v>6.9720000000000004</v>
      </c>
      <c r="K774" s="29">
        <v>6.9720000000000004</v>
      </c>
      <c r="L774" s="29" t="s">
        <v>383</v>
      </c>
      <c r="M774" s="29">
        <v>1</v>
      </c>
      <c r="N774" s="29">
        <v>0.7</v>
      </c>
      <c r="O774" s="29">
        <v>1</v>
      </c>
      <c r="P774" s="29">
        <v>6.9720000000000004</v>
      </c>
      <c r="Q774" s="29" t="s">
        <v>384</v>
      </c>
    </row>
    <row r="775" spans="1:17" x14ac:dyDescent="0.3">
      <c r="A775" s="29" t="s">
        <v>583</v>
      </c>
      <c r="B775" s="29">
        <v>1</v>
      </c>
      <c r="C775" s="29" t="s">
        <v>387</v>
      </c>
      <c r="D775" s="29" t="s">
        <v>1045</v>
      </c>
      <c r="E775" s="29">
        <v>775</v>
      </c>
      <c r="G775" s="29" t="s">
        <v>292</v>
      </c>
      <c r="H775" s="29">
        <v>1</v>
      </c>
      <c r="I775" s="29">
        <v>9.9600000000000009</v>
      </c>
      <c r="J775" s="29">
        <v>7.7190000000000012</v>
      </c>
      <c r="K775" s="29">
        <v>7.7190000000000012</v>
      </c>
      <c r="L775" s="29" t="s">
        <v>383</v>
      </c>
      <c r="M775" s="29">
        <v>1</v>
      </c>
      <c r="N775" s="29">
        <v>0.77500000000000002</v>
      </c>
      <c r="O775" s="29">
        <v>1</v>
      </c>
      <c r="P775" s="29">
        <v>7.7190000000000012</v>
      </c>
      <c r="Q775" s="29" t="s">
        <v>384</v>
      </c>
    </row>
    <row r="776" spans="1:17" x14ac:dyDescent="0.3">
      <c r="B776" s="29">
        <v>2</v>
      </c>
      <c r="C776" s="29" t="s">
        <v>387</v>
      </c>
      <c r="D776" s="29" t="s">
        <v>1045</v>
      </c>
      <c r="E776" s="29">
        <v>300</v>
      </c>
      <c r="G776" s="29" t="s">
        <v>292</v>
      </c>
      <c r="H776" s="29">
        <v>1</v>
      </c>
      <c r="I776" s="29">
        <v>9.9600000000000009</v>
      </c>
      <c r="J776" s="29">
        <v>2.988</v>
      </c>
      <c r="K776" s="29">
        <v>2.988</v>
      </c>
      <c r="L776" s="29" t="s">
        <v>383</v>
      </c>
      <c r="M776" s="29">
        <v>1</v>
      </c>
      <c r="N776" s="29">
        <v>0.3</v>
      </c>
      <c r="O776" s="29">
        <v>1</v>
      </c>
      <c r="P776" s="29">
        <v>2.988</v>
      </c>
      <c r="Q776" s="29" t="s">
        <v>384</v>
      </c>
    </row>
    <row r="777" spans="1:17" x14ac:dyDescent="0.3">
      <c r="A777" s="29" t="s">
        <v>583</v>
      </c>
      <c r="B777" s="29">
        <v>1</v>
      </c>
      <c r="C777" s="29" t="s">
        <v>387</v>
      </c>
      <c r="D777" s="29" t="s">
        <v>1045</v>
      </c>
      <c r="E777" s="29">
        <v>775</v>
      </c>
      <c r="G777" s="29" t="s">
        <v>292</v>
      </c>
      <c r="H777" s="29">
        <v>1</v>
      </c>
      <c r="I777" s="29">
        <v>9.9600000000000009</v>
      </c>
      <c r="J777" s="29">
        <v>7.7190000000000012</v>
      </c>
      <c r="K777" s="29">
        <v>7.7190000000000012</v>
      </c>
      <c r="L777" s="29" t="s">
        <v>383</v>
      </c>
      <c r="M777" s="29">
        <v>1</v>
      </c>
      <c r="N777" s="29">
        <v>0.77500000000000002</v>
      </c>
      <c r="O777" s="29">
        <v>1</v>
      </c>
      <c r="P777" s="29">
        <v>7.7190000000000012</v>
      </c>
      <c r="Q777" s="29" t="s">
        <v>384</v>
      </c>
    </row>
    <row r="778" spans="1:17" x14ac:dyDescent="0.3">
      <c r="B778" s="29">
        <v>2</v>
      </c>
      <c r="C778" s="29" t="s">
        <v>387</v>
      </c>
      <c r="D778" s="29" t="s">
        <v>1045</v>
      </c>
      <c r="E778" s="29">
        <v>300</v>
      </c>
      <c r="G778" s="29" t="s">
        <v>292</v>
      </c>
      <c r="H778" s="29">
        <v>1</v>
      </c>
      <c r="I778" s="29">
        <v>9.9600000000000009</v>
      </c>
      <c r="J778" s="29">
        <v>2.988</v>
      </c>
      <c r="K778" s="29">
        <v>2.988</v>
      </c>
      <c r="L778" s="29" t="s">
        <v>383</v>
      </c>
      <c r="M778" s="29">
        <v>1</v>
      </c>
      <c r="N778" s="29">
        <v>0.3</v>
      </c>
      <c r="O778" s="29">
        <v>1</v>
      </c>
      <c r="P778" s="29">
        <v>2.988</v>
      </c>
      <c r="Q778" s="29" t="s">
        <v>384</v>
      </c>
    </row>
    <row r="779" spans="1:17" x14ac:dyDescent="0.3">
      <c r="A779" s="29" t="s">
        <v>583</v>
      </c>
      <c r="B779" s="29">
        <v>1</v>
      </c>
      <c r="C779" s="29" t="s">
        <v>387</v>
      </c>
      <c r="D779" s="29" t="s">
        <v>1045</v>
      </c>
      <c r="E779" s="29">
        <v>775</v>
      </c>
      <c r="G779" s="29" t="s">
        <v>292</v>
      </c>
      <c r="H779" s="29">
        <v>1</v>
      </c>
      <c r="I779" s="29">
        <v>9.9600000000000009</v>
      </c>
      <c r="J779" s="29">
        <v>7.7190000000000012</v>
      </c>
      <c r="K779" s="29">
        <v>7.7190000000000012</v>
      </c>
      <c r="L779" s="29" t="s">
        <v>383</v>
      </c>
      <c r="M779" s="29">
        <v>1</v>
      </c>
      <c r="N779" s="29">
        <v>0.77500000000000002</v>
      </c>
      <c r="O779" s="29">
        <v>1</v>
      </c>
      <c r="P779" s="29">
        <v>7.7190000000000012</v>
      </c>
      <c r="Q779" s="29" t="s">
        <v>384</v>
      </c>
    </row>
    <row r="780" spans="1:17" x14ac:dyDescent="0.3">
      <c r="B780" s="29">
        <v>2</v>
      </c>
      <c r="C780" s="29" t="s">
        <v>387</v>
      </c>
      <c r="D780" s="29" t="s">
        <v>1045</v>
      </c>
      <c r="E780" s="29">
        <v>300</v>
      </c>
      <c r="G780" s="29" t="s">
        <v>292</v>
      </c>
      <c r="H780" s="29">
        <v>1</v>
      </c>
      <c r="I780" s="29">
        <v>9.9600000000000009</v>
      </c>
      <c r="J780" s="29">
        <v>2.988</v>
      </c>
      <c r="K780" s="29">
        <v>2.988</v>
      </c>
      <c r="L780" s="29" t="s">
        <v>383</v>
      </c>
      <c r="M780" s="29">
        <v>1</v>
      </c>
      <c r="N780" s="29">
        <v>0.3</v>
      </c>
      <c r="O780" s="29">
        <v>1</v>
      </c>
      <c r="P780" s="29">
        <v>2.988</v>
      </c>
      <c r="Q780" s="29" t="s">
        <v>384</v>
      </c>
    </row>
    <row r="781" spans="1:17" x14ac:dyDescent="0.3">
      <c r="A781" s="29" t="s">
        <v>584</v>
      </c>
      <c r="B781" s="29">
        <v>1</v>
      </c>
      <c r="C781" s="29" t="s">
        <v>387</v>
      </c>
      <c r="D781" s="29" t="s">
        <v>1045</v>
      </c>
      <c r="E781" s="29">
        <v>875</v>
      </c>
      <c r="G781" s="29" t="s">
        <v>292</v>
      </c>
      <c r="H781" s="29">
        <v>1</v>
      </c>
      <c r="I781" s="29">
        <v>9.9600000000000009</v>
      </c>
      <c r="J781" s="29">
        <v>8.7149999999999999</v>
      </c>
      <c r="K781" s="29">
        <v>8.7149999999999999</v>
      </c>
      <c r="L781" s="29" t="s">
        <v>383</v>
      </c>
      <c r="M781" s="29">
        <v>1</v>
      </c>
      <c r="N781" s="29">
        <v>0.875</v>
      </c>
      <c r="O781" s="29">
        <v>1</v>
      </c>
      <c r="P781" s="29">
        <v>8.7149999999999999</v>
      </c>
      <c r="Q781" s="29" t="s">
        <v>384</v>
      </c>
    </row>
    <row r="782" spans="1:17" x14ac:dyDescent="0.3">
      <c r="B782" s="29">
        <v>2</v>
      </c>
      <c r="C782" s="29" t="s">
        <v>387</v>
      </c>
      <c r="D782" s="29" t="s">
        <v>1045</v>
      </c>
      <c r="E782" s="29">
        <v>300</v>
      </c>
      <c r="G782" s="29" t="s">
        <v>292</v>
      </c>
      <c r="H782" s="29">
        <v>1</v>
      </c>
      <c r="I782" s="29">
        <v>9.9600000000000009</v>
      </c>
      <c r="J782" s="29">
        <v>2.988</v>
      </c>
      <c r="K782" s="29">
        <v>2.988</v>
      </c>
      <c r="L782" s="29" t="s">
        <v>383</v>
      </c>
      <c r="M782" s="29">
        <v>1</v>
      </c>
      <c r="N782" s="29">
        <v>0.3</v>
      </c>
      <c r="O782" s="29">
        <v>1</v>
      </c>
      <c r="P782" s="29">
        <v>2.988</v>
      </c>
      <c r="Q782" s="29" t="s">
        <v>384</v>
      </c>
    </row>
    <row r="783" spans="1:17" x14ac:dyDescent="0.3">
      <c r="A783" s="29" t="s">
        <v>584</v>
      </c>
      <c r="B783" s="29">
        <v>1</v>
      </c>
      <c r="C783" s="29" t="s">
        <v>387</v>
      </c>
      <c r="D783" s="29" t="s">
        <v>1045</v>
      </c>
      <c r="E783" s="29">
        <v>875</v>
      </c>
      <c r="G783" s="29" t="s">
        <v>292</v>
      </c>
      <c r="H783" s="29">
        <v>1</v>
      </c>
      <c r="I783" s="29">
        <v>9.9600000000000009</v>
      </c>
      <c r="J783" s="29">
        <v>8.7149999999999999</v>
      </c>
      <c r="K783" s="29">
        <v>8.7149999999999999</v>
      </c>
      <c r="L783" s="29" t="s">
        <v>383</v>
      </c>
      <c r="M783" s="29">
        <v>1</v>
      </c>
      <c r="N783" s="29">
        <v>0.875</v>
      </c>
      <c r="O783" s="29">
        <v>1</v>
      </c>
      <c r="P783" s="29">
        <v>8.7149999999999999</v>
      </c>
      <c r="Q783" s="29" t="s">
        <v>384</v>
      </c>
    </row>
    <row r="784" spans="1:17" x14ac:dyDescent="0.3">
      <c r="B784" s="29">
        <v>2</v>
      </c>
      <c r="C784" s="29" t="s">
        <v>387</v>
      </c>
      <c r="D784" s="29" t="s">
        <v>1045</v>
      </c>
      <c r="E784" s="29">
        <v>300</v>
      </c>
      <c r="G784" s="29" t="s">
        <v>292</v>
      </c>
      <c r="H784" s="29">
        <v>1</v>
      </c>
      <c r="I784" s="29">
        <v>9.9600000000000009</v>
      </c>
      <c r="J784" s="29">
        <v>2.988</v>
      </c>
      <c r="K784" s="29">
        <v>2.988</v>
      </c>
      <c r="L784" s="29" t="s">
        <v>383</v>
      </c>
      <c r="M784" s="29">
        <v>1</v>
      </c>
      <c r="N784" s="29">
        <v>0.3</v>
      </c>
      <c r="O784" s="29">
        <v>1</v>
      </c>
      <c r="P784" s="29">
        <v>2.988</v>
      </c>
      <c r="Q784" s="29" t="s">
        <v>384</v>
      </c>
    </row>
    <row r="785" spans="1:17" x14ac:dyDescent="0.3">
      <c r="A785" s="29" t="s">
        <v>584</v>
      </c>
      <c r="B785" s="29">
        <v>1</v>
      </c>
      <c r="C785" s="29" t="s">
        <v>387</v>
      </c>
      <c r="D785" s="29" t="s">
        <v>1045</v>
      </c>
      <c r="E785" s="29">
        <v>875</v>
      </c>
      <c r="G785" s="29" t="s">
        <v>292</v>
      </c>
      <c r="H785" s="29">
        <v>1</v>
      </c>
      <c r="I785" s="29">
        <v>9.9600000000000009</v>
      </c>
      <c r="J785" s="29">
        <v>8.7149999999999999</v>
      </c>
      <c r="K785" s="29">
        <v>8.7149999999999999</v>
      </c>
      <c r="L785" s="29" t="s">
        <v>383</v>
      </c>
      <c r="M785" s="29">
        <v>1</v>
      </c>
      <c r="N785" s="29">
        <v>0.875</v>
      </c>
      <c r="O785" s="29">
        <v>1</v>
      </c>
      <c r="P785" s="29">
        <v>8.7149999999999999</v>
      </c>
      <c r="Q785" s="29" t="s">
        <v>384</v>
      </c>
    </row>
    <row r="786" spans="1:17" x14ac:dyDescent="0.3">
      <c r="B786" s="29">
        <v>2</v>
      </c>
      <c r="C786" s="29" t="s">
        <v>387</v>
      </c>
      <c r="D786" s="29" t="s">
        <v>1045</v>
      </c>
      <c r="E786" s="29">
        <v>300</v>
      </c>
      <c r="G786" s="29" t="s">
        <v>292</v>
      </c>
      <c r="H786" s="29">
        <v>1</v>
      </c>
      <c r="I786" s="29">
        <v>9.9600000000000009</v>
      </c>
      <c r="J786" s="29">
        <v>2.988</v>
      </c>
      <c r="K786" s="29">
        <v>2.988</v>
      </c>
      <c r="L786" s="29" t="s">
        <v>383</v>
      </c>
      <c r="M786" s="29">
        <v>1</v>
      </c>
      <c r="N786" s="29">
        <v>0.3</v>
      </c>
      <c r="O786" s="29">
        <v>1</v>
      </c>
      <c r="P786" s="29">
        <v>2.988</v>
      </c>
      <c r="Q786" s="29" t="s">
        <v>384</v>
      </c>
    </row>
    <row r="787" spans="1:17" x14ac:dyDescent="0.3">
      <c r="A787" s="29" t="s">
        <v>584</v>
      </c>
      <c r="B787" s="29">
        <v>1</v>
      </c>
      <c r="C787" s="29" t="s">
        <v>387</v>
      </c>
      <c r="D787" s="29" t="s">
        <v>1045</v>
      </c>
      <c r="E787" s="29">
        <v>875</v>
      </c>
      <c r="G787" s="29" t="s">
        <v>292</v>
      </c>
      <c r="H787" s="29">
        <v>1</v>
      </c>
      <c r="I787" s="29">
        <v>9.9600000000000009</v>
      </c>
      <c r="J787" s="29">
        <v>8.7149999999999999</v>
      </c>
      <c r="K787" s="29">
        <v>8.7149999999999999</v>
      </c>
      <c r="L787" s="29" t="s">
        <v>383</v>
      </c>
      <c r="M787" s="29">
        <v>1</v>
      </c>
      <c r="N787" s="29">
        <v>0.875</v>
      </c>
      <c r="O787" s="29">
        <v>1</v>
      </c>
      <c r="P787" s="29">
        <v>8.7149999999999999</v>
      </c>
      <c r="Q787" s="29" t="s">
        <v>384</v>
      </c>
    </row>
    <row r="788" spans="1:17" x14ac:dyDescent="0.3">
      <c r="B788" s="29">
        <v>2</v>
      </c>
      <c r="C788" s="29" t="s">
        <v>387</v>
      </c>
      <c r="D788" s="29" t="s">
        <v>1045</v>
      </c>
      <c r="E788" s="29">
        <v>300</v>
      </c>
      <c r="G788" s="29" t="s">
        <v>292</v>
      </c>
      <c r="H788" s="29">
        <v>1</v>
      </c>
      <c r="I788" s="29">
        <v>9.9600000000000009</v>
      </c>
      <c r="J788" s="29">
        <v>2.988</v>
      </c>
      <c r="K788" s="29">
        <v>2.988</v>
      </c>
      <c r="L788" s="29" t="s">
        <v>383</v>
      </c>
      <c r="M788" s="29">
        <v>1</v>
      </c>
      <c r="N788" s="29">
        <v>0.3</v>
      </c>
      <c r="O788" s="29">
        <v>1</v>
      </c>
      <c r="P788" s="29">
        <v>2.988</v>
      </c>
      <c r="Q788" s="29" t="s">
        <v>384</v>
      </c>
    </row>
    <row r="789" spans="1:17" x14ac:dyDescent="0.3">
      <c r="A789" s="29" t="s">
        <v>585</v>
      </c>
      <c r="B789" s="29">
        <v>1</v>
      </c>
      <c r="C789" s="29" t="s">
        <v>387</v>
      </c>
      <c r="D789" s="29" t="s">
        <v>1045</v>
      </c>
      <c r="E789" s="29">
        <v>875</v>
      </c>
      <c r="G789" s="29" t="s">
        <v>292</v>
      </c>
      <c r="H789" s="29">
        <v>1</v>
      </c>
      <c r="I789" s="29">
        <v>9.9600000000000009</v>
      </c>
      <c r="J789" s="29">
        <v>8.7149999999999999</v>
      </c>
      <c r="K789" s="29">
        <v>8.7149999999999999</v>
      </c>
      <c r="L789" s="29" t="s">
        <v>383</v>
      </c>
      <c r="M789" s="29">
        <v>1</v>
      </c>
      <c r="N789" s="29">
        <v>0.875</v>
      </c>
      <c r="O789" s="29">
        <v>1</v>
      </c>
      <c r="P789" s="29">
        <v>8.7149999999999999</v>
      </c>
      <c r="Q789" s="29" t="s">
        <v>384</v>
      </c>
    </row>
    <row r="790" spans="1:17" x14ac:dyDescent="0.3">
      <c r="B790" s="29">
        <v>2</v>
      </c>
      <c r="C790" s="29" t="s">
        <v>387</v>
      </c>
      <c r="D790" s="29" t="s">
        <v>1045</v>
      </c>
      <c r="E790" s="29">
        <v>700</v>
      </c>
      <c r="G790" s="29" t="s">
        <v>292</v>
      </c>
      <c r="H790" s="29">
        <v>1</v>
      </c>
      <c r="I790" s="29">
        <v>9.9600000000000009</v>
      </c>
      <c r="J790" s="29">
        <v>6.9720000000000004</v>
      </c>
      <c r="K790" s="29">
        <v>6.9720000000000004</v>
      </c>
      <c r="L790" s="29" t="s">
        <v>383</v>
      </c>
      <c r="M790" s="29">
        <v>1</v>
      </c>
      <c r="N790" s="29">
        <v>0.7</v>
      </c>
      <c r="O790" s="29">
        <v>1</v>
      </c>
      <c r="P790" s="29">
        <v>6.9720000000000004</v>
      </c>
      <c r="Q790" s="29" t="s">
        <v>384</v>
      </c>
    </row>
    <row r="791" spans="1:17" x14ac:dyDescent="0.3">
      <c r="A791" s="29" t="s">
        <v>586</v>
      </c>
      <c r="B791" s="29">
        <v>1</v>
      </c>
      <c r="C791" s="29" t="s">
        <v>387</v>
      </c>
      <c r="D791" s="29" t="s">
        <v>1045</v>
      </c>
      <c r="E791" s="29">
        <v>975</v>
      </c>
      <c r="G791" s="29" t="s">
        <v>292</v>
      </c>
      <c r="H791" s="29">
        <v>1</v>
      </c>
      <c r="I791" s="29">
        <v>9.9600000000000009</v>
      </c>
      <c r="J791" s="29">
        <v>9.7110000000000003</v>
      </c>
      <c r="K791" s="29">
        <v>9.7110000000000003</v>
      </c>
      <c r="L791" s="29" t="s">
        <v>383</v>
      </c>
      <c r="M791" s="29">
        <v>1</v>
      </c>
      <c r="N791" s="29">
        <v>0.97499999999999998</v>
      </c>
      <c r="O791" s="29">
        <v>1</v>
      </c>
      <c r="P791" s="29">
        <v>9.7110000000000003</v>
      </c>
      <c r="Q791" s="29" t="s">
        <v>384</v>
      </c>
    </row>
    <row r="792" spans="1:17" x14ac:dyDescent="0.3">
      <c r="B792" s="29">
        <v>2</v>
      </c>
      <c r="C792" s="29" t="s">
        <v>387</v>
      </c>
      <c r="D792" s="29" t="s">
        <v>1045</v>
      </c>
      <c r="E792" s="29">
        <v>300</v>
      </c>
      <c r="G792" s="29" t="s">
        <v>292</v>
      </c>
      <c r="H792" s="29">
        <v>1</v>
      </c>
      <c r="I792" s="29">
        <v>9.9600000000000009</v>
      </c>
      <c r="J792" s="29">
        <v>2.988</v>
      </c>
      <c r="K792" s="29">
        <v>2.988</v>
      </c>
      <c r="L792" s="29" t="s">
        <v>383</v>
      </c>
      <c r="M792" s="29">
        <v>1</v>
      </c>
      <c r="N792" s="29">
        <v>0.3</v>
      </c>
      <c r="O792" s="29">
        <v>1</v>
      </c>
      <c r="P792" s="29">
        <v>2.988</v>
      </c>
      <c r="Q792" s="29" t="s">
        <v>384</v>
      </c>
    </row>
    <row r="793" spans="1:17" x14ac:dyDescent="0.3">
      <c r="A793" s="29" t="s">
        <v>586</v>
      </c>
      <c r="B793" s="29">
        <v>1</v>
      </c>
      <c r="C793" s="29" t="s">
        <v>387</v>
      </c>
      <c r="D793" s="29" t="s">
        <v>1045</v>
      </c>
      <c r="E793" s="29">
        <v>975</v>
      </c>
      <c r="G793" s="29" t="s">
        <v>292</v>
      </c>
      <c r="H793" s="29">
        <v>1</v>
      </c>
      <c r="I793" s="29">
        <v>9.9600000000000009</v>
      </c>
      <c r="J793" s="29">
        <v>9.7110000000000003</v>
      </c>
      <c r="K793" s="29">
        <v>9.7110000000000003</v>
      </c>
      <c r="L793" s="29" t="s">
        <v>383</v>
      </c>
      <c r="M793" s="29">
        <v>1</v>
      </c>
      <c r="N793" s="29">
        <v>0.97499999999999998</v>
      </c>
      <c r="O793" s="29">
        <v>1</v>
      </c>
      <c r="P793" s="29">
        <v>9.7110000000000003</v>
      </c>
      <c r="Q793" s="29" t="s">
        <v>384</v>
      </c>
    </row>
    <row r="794" spans="1:17" x14ac:dyDescent="0.3">
      <c r="B794" s="29">
        <v>2</v>
      </c>
      <c r="C794" s="29" t="s">
        <v>387</v>
      </c>
      <c r="D794" s="29" t="s">
        <v>1045</v>
      </c>
      <c r="E794" s="29">
        <v>300</v>
      </c>
      <c r="G794" s="29" t="s">
        <v>292</v>
      </c>
      <c r="H794" s="29">
        <v>1</v>
      </c>
      <c r="I794" s="29">
        <v>9.9600000000000009</v>
      </c>
      <c r="J794" s="29">
        <v>2.988</v>
      </c>
      <c r="K794" s="29">
        <v>2.988</v>
      </c>
      <c r="L794" s="29" t="s">
        <v>383</v>
      </c>
      <c r="M794" s="29">
        <v>1</v>
      </c>
      <c r="N794" s="29">
        <v>0.3</v>
      </c>
      <c r="O794" s="29">
        <v>1</v>
      </c>
      <c r="P794" s="29">
        <v>2.988</v>
      </c>
      <c r="Q794" s="29" t="s">
        <v>384</v>
      </c>
    </row>
    <row r="795" spans="1:17" x14ac:dyDescent="0.3">
      <c r="A795" s="29" t="s">
        <v>587</v>
      </c>
      <c r="B795" s="29">
        <v>1</v>
      </c>
      <c r="C795" s="29" t="s">
        <v>387</v>
      </c>
      <c r="D795" s="29" t="s">
        <v>1045</v>
      </c>
      <c r="E795" s="29">
        <v>1075</v>
      </c>
      <c r="G795" s="29" t="s">
        <v>292</v>
      </c>
      <c r="H795" s="29">
        <v>1</v>
      </c>
      <c r="I795" s="29">
        <v>9.9600000000000009</v>
      </c>
      <c r="J795" s="29">
        <v>10.707000000000001</v>
      </c>
      <c r="K795" s="29">
        <v>10.707000000000001</v>
      </c>
      <c r="L795" s="29" t="s">
        <v>383</v>
      </c>
      <c r="M795" s="29">
        <v>1</v>
      </c>
      <c r="N795" s="29">
        <v>1.075</v>
      </c>
      <c r="O795" s="29">
        <v>1</v>
      </c>
      <c r="P795" s="29">
        <v>10.707000000000001</v>
      </c>
      <c r="Q795" s="29" t="s">
        <v>384</v>
      </c>
    </row>
    <row r="796" spans="1:17" x14ac:dyDescent="0.3">
      <c r="B796" s="29">
        <v>2</v>
      </c>
      <c r="C796" s="29" t="s">
        <v>387</v>
      </c>
      <c r="D796" s="29" t="s">
        <v>1045</v>
      </c>
      <c r="E796" s="29">
        <v>300</v>
      </c>
      <c r="G796" s="29" t="s">
        <v>292</v>
      </c>
      <c r="H796" s="29">
        <v>1</v>
      </c>
      <c r="I796" s="29">
        <v>9.9600000000000009</v>
      </c>
      <c r="J796" s="29">
        <v>2.988</v>
      </c>
      <c r="K796" s="29">
        <v>2.988</v>
      </c>
      <c r="L796" s="29" t="s">
        <v>383</v>
      </c>
      <c r="M796" s="29">
        <v>1</v>
      </c>
      <c r="N796" s="29">
        <v>0.3</v>
      </c>
      <c r="O796" s="29">
        <v>1</v>
      </c>
      <c r="P796" s="29">
        <v>2.988</v>
      </c>
      <c r="Q796" s="29" t="s">
        <v>384</v>
      </c>
    </row>
    <row r="797" spans="1:17" x14ac:dyDescent="0.3">
      <c r="A797" s="29" t="s">
        <v>587</v>
      </c>
      <c r="B797" s="29">
        <v>1</v>
      </c>
      <c r="C797" s="29" t="s">
        <v>387</v>
      </c>
      <c r="D797" s="29" t="s">
        <v>1045</v>
      </c>
      <c r="E797" s="29">
        <v>1075</v>
      </c>
      <c r="G797" s="29" t="s">
        <v>292</v>
      </c>
      <c r="H797" s="29">
        <v>1</v>
      </c>
      <c r="I797" s="29">
        <v>9.9600000000000009</v>
      </c>
      <c r="J797" s="29">
        <v>10.707000000000001</v>
      </c>
      <c r="K797" s="29">
        <v>10.707000000000001</v>
      </c>
      <c r="L797" s="29" t="s">
        <v>383</v>
      </c>
      <c r="M797" s="29">
        <v>1</v>
      </c>
      <c r="N797" s="29">
        <v>1.075</v>
      </c>
      <c r="O797" s="29">
        <v>1</v>
      </c>
      <c r="P797" s="29">
        <v>10.707000000000001</v>
      </c>
      <c r="Q797" s="29" t="s">
        <v>384</v>
      </c>
    </row>
    <row r="798" spans="1:17" x14ac:dyDescent="0.3">
      <c r="B798" s="29">
        <v>2</v>
      </c>
      <c r="C798" s="29" t="s">
        <v>387</v>
      </c>
      <c r="D798" s="29" t="s">
        <v>1045</v>
      </c>
      <c r="E798" s="29">
        <v>300</v>
      </c>
      <c r="G798" s="29" t="s">
        <v>292</v>
      </c>
      <c r="H798" s="29">
        <v>1</v>
      </c>
      <c r="I798" s="29">
        <v>9.9600000000000009</v>
      </c>
      <c r="J798" s="29">
        <v>2.988</v>
      </c>
      <c r="K798" s="29">
        <v>2.988</v>
      </c>
      <c r="L798" s="29" t="s">
        <v>383</v>
      </c>
      <c r="M798" s="29">
        <v>1</v>
      </c>
      <c r="N798" s="29">
        <v>0.3</v>
      </c>
      <c r="O798" s="29">
        <v>1</v>
      </c>
      <c r="P798" s="29">
        <v>2.988</v>
      </c>
      <c r="Q798" s="29" t="s">
        <v>384</v>
      </c>
    </row>
    <row r="799" spans="1:17" x14ac:dyDescent="0.3">
      <c r="A799" s="29" t="s">
        <v>588</v>
      </c>
      <c r="B799" s="29">
        <v>1</v>
      </c>
      <c r="C799" s="29" t="s">
        <v>387</v>
      </c>
      <c r="D799" s="29" t="s">
        <v>1045</v>
      </c>
      <c r="E799" s="29">
        <v>1275</v>
      </c>
      <c r="G799" s="29" t="s">
        <v>292</v>
      </c>
      <c r="H799" s="29">
        <v>1</v>
      </c>
      <c r="I799" s="29">
        <v>9.9600000000000009</v>
      </c>
      <c r="J799" s="29">
        <v>12.699</v>
      </c>
      <c r="K799" s="29">
        <v>12.699</v>
      </c>
      <c r="L799" s="29" t="s">
        <v>383</v>
      </c>
      <c r="M799" s="29">
        <v>1</v>
      </c>
      <c r="N799" s="29">
        <v>1.2749999999999999</v>
      </c>
      <c r="O799" s="29">
        <v>1</v>
      </c>
      <c r="P799" s="29">
        <v>12.699</v>
      </c>
      <c r="Q799" s="29" t="s">
        <v>384</v>
      </c>
    </row>
    <row r="800" spans="1:17" x14ac:dyDescent="0.3">
      <c r="B800" s="29">
        <v>2</v>
      </c>
      <c r="C800" s="29" t="s">
        <v>387</v>
      </c>
      <c r="D800" s="29" t="s">
        <v>1045</v>
      </c>
      <c r="E800" s="29">
        <v>300</v>
      </c>
      <c r="G800" s="29" t="s">
        <v>292</v>
      </c>
      <c r="H800" s="29">
        <v>1</v>
      </c>
      <c r="I800" s="29">
        <v>9.9600000000000009</v>
      </c>
      <c r="J800" s="29">
        <v>2.988</v>
      </c>
      <c r="K800" s="29">
        <v>2.988</v>
      </c>
      <c r="L800" s="29" t="s">
        <v>383</v>
      </c>
      <c r="M800" s="29">
        <v>1</v>
      </c>
      <c r="N800" s="29">
        <v>0.3</v>
      </c>
      <c r="O800" s="29">
        <v>1</v>
      </c>
      <c r="P800" s="29">
        <v>2.988</v>
      </c>
      <c r="Q800" s="29" t="s">
        <v>384</v>
      </c>
    </row>
    <row r="801" spans="1:17" x14ac:dyDescent="0.3">
      <c r="A801" s="29" t="s">
        <v>589</v>
      </c>
      <c r="B801" s="29">
        <v>1</v>
      </c>
      <c r="C801" s="29" t="s">
        <v>387</v>
      </c>
      <c r="D801" s="29" t="s">
        <v>1045</v>
      </c>
      <c r="E801" s="29">
        <v>1475</v>
      </c>
      <c r="G801" s="29" t="s">
        <v>292</v>
      </c>
      <c r="H801" s="29">
        <v>1</v>
      </c>
      <c r="I801" s="29">
        <v>9.9600000000000009</v>
      </c>
      <c r="J801" s="29">
        <v>14.691000000000003</v>
      </c>
      <c r="K801" s="29">
        <v>14.691000000000003</v>
      </c>
      <c r="L801" s="29" t="s">
        <v>383</v>
      </c>
      <c r="M801" s="29">
        <v>1</v>
      </c>
      <c r="N801" s="29">
        <v>1.4750000000000001</v>
      </c>
      <c r="O801" s="29">
        <v>1</v>
      </c>
      <c r="P801" s="29">
        <v>14.691000000000003</v>
      </c>
      <c r="Q801" s="29" t="s">
        <v>384</v>
      </c>
    </row>
    <row r="802" spans="1:17" x14ac:dyDescent="0.3">
      <c r="B802" s="29">
        <v>2</v>
      </c>
      <c r="C802" s="29" t="s">
        <v>387</v>
      </c>
      <c r="D802" s="29" t="s">
        <v>1045</v>
      </c>
      <c r="E802" s="29">
        <v>300</v>
      </c>
      <c r="G802" s="29" t="s">
        <v>292</v>
      </c>
      <c r="H802" s="29">
        <v>1</v>
      </c>
      <c r="I802" s="29">
        <v>9.9600000000000009</v>
      </c>
      <c r="J802" s="29">
        <v>2.988</v>
      </c>
      <c r="K802" s="29">
        <v>2.988</v>
      </c>
      <c r="L802" s="29" t="s">
        <v>383</v>
      </c>
      <c r="M802" s="29">
        <v>1</v>
      </c>
      <c r="N802" s="29">
        <v>0.3</v>
      </c>
      <c r="O802" s="29">
        <v>1</v>
      </c>
      <c r="P802" s="29">
        <v>2.988</v>
      </c>
      <c r="Q802" s="29" t="s">
        <v>384</v>
      </c>
    </row>
    <row r="803" spans="1:17" x14ac:dyDescent="0.3">
      <c r="A803" s="29" t="s">
        <v>590</v>
      </c>
      <c r="B803" s="29">
        <v>1</v>
      </c>
      <c r="C803" s="29" t="s">
        <v>387</v>
      </c>
      <c r="D803" s="29" t="s">
        <v>1045</v>
      </c>
      <c r="E803" s="29">
        <v>1475</v>
      </c>
      <c r="G803" s="29" t="s">
        <v>292</v>
      </c>
      <c r="H803" s="29">
        <v>1</v>
      </c>
      <c r="I803" s="29">
        <v>9.9600000000000009</v>
      </c>
      <c r="J803" s="29">
        <v>14.691000000000003</v>
      </c>
      <c r="K803" s="29">
        <v>14.691000000000003</v>
      </c>
      <c r="L803" s="29" t="s">
        <v>383</v>
      </c>
      <c r="M803" s="29">
        <v>1</v>
      </c>
      <c r="N803" s="29">
        <v>1.4750000000000001</v>
      </c>
      <c r="O803" s="29">
        <v>1</v>
      </c>
      <c r="P803" s="29">
        <v>14.691000000000003</v>
      </c>
      <c r="Q803" s="29" t="s">
        <v>384</v>
      </c>
    </row>
    <row r="804" spans="1:17" x14ac:dyDescent="0.3">
      <c r="B804" s="29">
        <v>2</v>
      </c>
      <c r="C804" s="29" t="s">
        <v>387</v>
      </c>
      <c r="D804" s="29" t="s">
        <v>1045</v>
      </c>
      <c r="E804" s="29">
        <v>600</v>
      </c>
      <c r="G804" s="29" t="s">
        <v>292</v>
      </c>
      <c r="H804" s="29">
        <v>1</v>
      </c>
      <c r="I804" s="29">
        <v>9.9600000000000009</v>
      </c>
      <c r="J804" s="29">
        <v>5.976</v>
      </c>
      <c r="K804" s="29">
        <v>5.976</v>
      </c>
      <c r="L804" s="29" t="s">
        <v>383</v>
      </c>
      <c r="M804" s="29">
        <v>1</v>
      </c>
      <c r="N804" s="29">
        <v>0.6</v>
      </c>
      <c r="O804" s="29">
        <v>1</v>
      </c>
      <c r="P804" s="29">
        <v>5.976</v>
      </c>
      <c r="Q804" s="29" t="s">
        <v>384</v>
      </c>
    </row>
    <row r="805" spans="1:17" x14ac:dyDescent="0.3">
      <c r="A805" s="29" t="s">
        <v>591</v>
      </c>
      <c r="B805" s="29">
        <v>1</v>
      </c>
      <c r="C805" s="29" t="s">
        <v>387</v>
      </c>
      <c r="D805" s="29" t="s">
        <v>1045</v>
      </c>
      <c r="E805" s="29">
        <v>1575</v>
      </c>
      <c r="G805" s="29" t="s">
        <v>292</v>
      </c>
      <c r="H805" s="29">
        <v>1</v>
      </c>
      <c r="I805" s="29">
        <v>9.9600000000000009</v>
      </c>
      <c r="J805" s="29">
        <v>15.687000000000001</v>
      </c>
      <c r="K805" s="29">
        <v>15.687000000000001</v>
      </c>
      <c r="L805" s="29" t="s">
        <v>383</v>
      </c>
      <c r="M805" s="29">
        <v>1</v>
      </c>
      <c r="N805" s="29">
        <v>1.575</v>
      </c>
      <c r="O805" s="29">
        <v>1</v>
      </c>
      <c r="P805" s="29">
        <v>15.687000000000001</v>
      </c>
      <c r="Q805" s="29" t="s">
        <v>384</v>
      </c>
    </row>
    <row r="806" spans="1:17" x14ac:dyDescent="0.3">
      <c r="B806" s="29">
        <v>2</v>
      </c>
      <c r="C806" s="29" t="s">
        <v>387</v>
      </c>
      <c r="D806" s="29" t="s">
        <v>1045</v>
      </c>
      <c r="E806" s="29">
        <v>300</v>
      </c>
      <c r="G806" s="29" t="s">
        <v>292</v>
      </c>
      <c r="H806" s="29">
        <v>1</v>
      </c>
      <c r="I806" s="29">
        <v>9.9600000000000009</v>
      </c>
      <c r="J806" s="29">
        <v>2.988</v>
      </c>
      <c r="K806" s="29">
        <v>2.988</v>
      </c>
      <c r="L806" s="29" t="s">
        <v>383</v>
      </c>
      <c r="M806" s="29">
        <v>1</v>
      </c>
      <c r="N806" s="29">
        <v>0.3</v>
      </c>
      <c r="O806" s="29">
        <v>1</v>
      </c>
      <c r="P806" s="29">
        <v>2.988</v>
      </c>
      <c r="Q806" s="29" t="s">
        <v>384</v>
      </c>
    </row>
    <row r="807" spans="1:17" x14ac:dyDescent="0.3">
      <c r="A807" s="29" t="s">
        <v>592</v>
      </c>
      <c r="B807" s="29">
        <v>1</v>
      </c>
      <c r="C807" s="29" t="s">
        <v>387</v>
      </c>
      <c r="D807" s="29" t="s">
        <v>1045</v>
      </c>
      <c r="E807" s="29">
        <v>1775</v>
      </c>
      <c r="G807" s="29" t="s">
        <v>292</v>
      </c>
      <c r="H807" s="29">
        <v>1</v>
      </c>
      <c r="I807" s="29">
        <v>9.9600000000000009</v>
      </c>
      <c r="J807" s="29">
        <v>17.679000000000002</v>
      </c>
      <c r="K807" s="29">
        <v>17.679000000000002</v>
      </c>
      <c r="L807" s="29" t="s">
        <v>383</v>
      </c>
      <c r="M807" s="29">
        <v>1</v>
      </c>
      <c r="N807" s="29">
        <v>1.7749999999999999</v>
      </c>
      <c r="O807" s="29">
        <v>1</v>
      </c>
      <c r="P807" s="29">
        <v>17.679000000000002</v>
      </c>
      <c r="Q807" s="29" t="s">
        <v>384</v>
      </c>
    </row>
    <row r="808" spans="1:17" x14ac:dyDescent="0.3">
      <c r="B808" s="29">
        <v>2</v>
      </c>
      <c r="C808" s="29" t="s">
        <v>387</v>
      </c>
      <c r="D808" s="29" t="s">
        <v>1045</v>
      </c>
      <c r="E808" s="29">
        <v>500</v>
      </c>
      <c r="G808" s="29" t="s">
        <v>292</v>
      </c>
      <c r="H808" s="29">
        <v>1</v>
      </c>
      <c r="I808" s="29">
        <v>9.9600000000000009</v>
      </c>
      <c r="J808" s="29">
        <v>4.9800000000000004</v>
      </c>
      <c r="K808" s="29">
        <v>4.9800000000000004</v>
      </c>
      <c r="L808" s="29" t="s">
        <v>383</v>
      </c>
      <c r="M808" s="29">
        <v>1</v>
      </c>
      <c r="N808" s="29">
        <v>0.5</v>
      </c>
      <c r="O808" s="29">
        <v>1</v>
      </c>
      <c r="P808" s="29">
        <v>4.9800000000000004</v>
      </c>
      <c r="Q808" s="29" t="s">
        <v>384</v>
      </c>
    </row>
    <row r="809" spans="1:17" x14ac:dyDescent="0.3">
      <c r="A809" s="29" t="s">
        <v>593</v>
      </c>
      <c r="B809" s="29">
        <v>1</v>
      </c>
      <c r="C809" s="29" t="s">
        <v>387</v>
      </c>
      <c r="D809" s="29" t="s">
        <v>1045</v>
      </c>
      <c r="E809" s="29">
        <v>2075</v>
      </c>
      <c r="G809" s="29" t="s">
        <v>292</v>
      </c>
      <c r="H809" s="29">
        <v>1</v>
      </c>
      <c r="I809" s="29">
        <v>9.9600000000000009</v>
      </c>
      <c r="J809" s="29">
        <v>20.667000000000005</v>
      </c>
      <c r="K809" s="29">
        <v>20.667000000000005</v>
      </c>
      <c r="L809" s="29" t="s">
        <v>383</v>
      </c>
      <c r="M809" s="29">
        <v>1</v>
      </c>
      <c r="N809" s="29">
        <v>2.0750000000000002</v>
      </c>
      <c r="O809" s="29">
        <v>1</v>
      </c>
      <c r="P809" s="29">
        <v>20.667000000000005</v>
      </c>
      <c r="Q809" s="29" t="s">
        <v>384</v>
      </c>
    </row>
    <row r="810" spans="1:17" x14ac:dyDescent="0.3">
      <c r="B810" s="29">
        <v>2</v>
      </c>
      <c r="C810" s="29" t="s">
        <v>387</v>
      </c>
      <c r="D810" s="29" t="s">
        <v>1045</v>
      </c>
      <c r="E810" s="29">
        <v>300</v>
      </c>
      <c r="G810" s="29" t="s">
        <v>292</v>
      </c>
      <c r="H810" s="29">
        <v>1</v>
      </c>
      <c r="I810" s="29">
        <v>9.9600000000000009</v>
      </c>
      <c r="J810" s="29">
        <v>2.988</v>
      </c>
      <c r="K810" s="29">
        <v>2.988</v>
      </c>
      <c r="L810" s="29" t="s">
        <v>383</v>
      </c>
      <c r="M810" s="29">
        <v>1</v>
      </c>
      <c r="N810" s="29">
        <v>0.3</v>
      </c>
      <c r="O810" s="29">
        <v>1</v>
      </c>
      <c r="P810" s="29">
        <v>2.988</v>
      </c>
      <c r="Q810" s="29" t="s">
        <v>384</v>
      </c>
    </row>
    <row r="811" spans="1:17" x14ac:dyDescent="0.3">
      <c r="A811" s="29" t="s">
        <v>594</v>
      </c>
      <c r="B811" s="29">
        <v>1</v>
      </c>
      <c r="C811" s="29" t="s">
        <v>387</v>
      </c>
      <c r="D811" s="29" t="s">
        <v>1045</v>
      </c>
      <c r="E811" s="29">
        <v>2075</v>
      </c>
      <c r="G811" s="29" t="s">
        <v>292</v>
      </c>
      <c r="H811" s="29">
        <v>1</v>
      </c>
      <c r="I811" s="29">
        <v>9.9600000000000009</v>
      </c>
      <c r="J811" s="29">
        <v>20.667000000000005</v>
      </c>
      <c r="K811" s="29">
        <v>20.667000000000005</v>
      </c>
      <c r="L811" s="29" t="s">
        <v>383</v>
      </c>
      <c r="M811" s="29">
        <v>1</v>
      </c>
      <c r="N811" s="29">
        <v>2.0750000000000002</v>
      </c>
      <c r="O811" s="29">
        <v>1</v>
      </c>
      <c r="P811" s="29">
        <v>20.667000000000005</v>
      </c>
      <c r="Q811" s="29" t="s">
        <v>384</v>
      </c>
    </row>
    <row r="812" spans="1:17" x14ac:dyDescent="0.3">
      <c r="B812" s="29">
        <v>2</v>
      </c>
      <c r="C812" s="29" t="s">
        <v>387</v>
      </c>
      <c r="D812" s="29" t="s">
        <v>1045</v>
      </c>
      <c r="E812" s="29">
        <v>600</v>
      </c>
      <c r="G812" s="29" t="s">
        <v>292</v>
      </c>
      <c r="H812" s="29">
        <v>1</v>
      </c>
      <c r="I812" s="29">
        <v>9.9600000000000009</v>
      </c>
      <c r="J812" s="29">
        <v>5.976</v>
      </c>
      <c r="K812" s="29">
        <v>5.976</v>
      </c>
      <c r="L812" s="29" t="s">
        <v>383</v>
      </c>
      <c r="M812" s="29">
        <v>1</v>
      </c>
      <c r="N812" s="29">
        <v>0.6</v>
      </c>
      <c r="O812" s="29">
        <v>1</v>
      </c>
      <c r="P812" s="29">
        <v>5.976</v>
      </c>
      <c r="Q812" s="29" t="s">
        <v>384</v>
      </c>
    </row>
    <row r="813" spans="1:17" x14ac:dyDescent="0.3">
      <c r="A813" s="29" t="s">
        <v>595</v>
      </c>
      <c r="B813" s="29">
        <v>1</v>
      </c>
      <c r="C813" s="29" t="s">
        <v>387</v>
      </c>
      <c r="D813" s="29" t="s">
        <v>1045</v>
      </c>
      <c r="E813" s="29">
        <v>2175</v>
      </c>
      <c r="G813" s="29" t="s">
        <v>292</v>
      </c>
      <c r="H813" s="29">
        <v>1</v>
      </c>
      <c r="I813" s="29">
        <v>9.9600000000000009</v>
      </c>
      <c r="J813" s="29">
        <v>21.663</v>
      </c>
      <c r="K813" s="29">
        <v>21.663</v>
      </c>
      <c r="L813" s="29" t="s">
        <v>383</v>
      </c>
      <c r="M813" s="29">
        <v>1</v>
      </c>
      <c r="N813" s="29">
        <v>2.1749999999999998</v>
      </c>
      <c r="O813" s="29">
        <v>1</v>
      </c>
      <c r="P813" s="29">
        <v>21.663</v>
      </c>
      <c r="Q813" s="29" t="s">
        <v>384</v>
      </c>
    </row>
    <row r="814" spans="1:17" x14ac:dyDescent="0.3">
      <c r="B814" s="29">
        <v>2</v>
      </c>
      <c r="C814" s="29" t="s">
        <v>387</v>
      </c>
      <c r="D814" s="29" t="s">
        <v>1045</v>
      </c>
      <c r="E814" s="29">
        <v>300</v>
      </c>
      <c r="G814" s="29" t="s">
        <v>292</v>
      </c>
      <c r="H814" s="29">
        <v>1</v>
      </c>
      <c r="I814" s="29">
        <v>9.9600000000000009</v>
      </c>
      <c r="J814" s="29">
        <v>2.988</v>
      </c>
      <c r="K814" s="29">
        <v>2.988</v>
      </c>
      <c r="L814" s="29" t="s">
        <v>383</v>
      </c>
      <c r="M814" s="29">
        <v>1</v>
      </c>
      <c r="N814" s="29">
        <v>0.3</v>
      </c>
      <c r="O814" s="29">
        <v>1</v>
      </c>
      <c r="P814" s="29">
        <v>2.988</v>
      </c>
      <c r="Q814" s="29" t="s">
        <v>384</v>
      </c>
    </row>
    <row r="815" spans="1:17" x14ac:dyDescent="0.3">
      <c r="A815" s="29" t="s">
        <v>596</v>
      </c>
      <c r="B815" s="29">
        <v>1</v>
      </c>
      <c r="C815" s="29" t="s">
        <v>387</v>
      </c>
      <c r="D815" s="29" t="s">
        <v>1045</v>
      </c>
      <c r="E815" s="29">
        <v>2475</v>
      </c>
      <c r="G815" s="29" t="s">
        <v>292</v>
      </c>
      <c r="H815" s="29">
        <v>1</v>
      </c>
      <c r="I815" s="29">
        <v>9.9600000000000009</v>
      </c>
      <c r="J815" s="29">
        <v>24.651000000000003</v>
      </c>
      <c r="K815" s="29">
        <v>24.651000000000003</v>
      </c>
      <c r="L815" s="29" t="s">
        <v>383</v>
      </c>
      <c r="M815" s="29">
        <v>1</v>
      </c>
      <c r="N815" s="29">
        <v>2.4750000000000001</v>
      </c>
      <c r="O815" s="29">
        <v>1</v>
      </c>
      <c r="P815" s="29">
        <v>24.651000000000003</v>
      </c>
      <c r="Q815" s="29" t="s">
        <v>384</v>
      </c>
    </row>
    <row r="816" spans="1:17" x14ac:dyDescent="0.3">
      <c r="B816" s="29">
        <v>2</v>
      </c>
      <c r="C816" s="29" t="s">
        <v>387</v>
      </c>
      <c r="D816" s="29" t="s">
        <v>1045</v>
      </c>
      <c r="E816" s="29">
        <v>300</v>
      </c>
      <c r="G816" s="29" t="s">
        <v>292</v>
      </c>
      <c r="H816" s="29">
        <v>1</v>
      </c>
      <c r="I816" s="29">
        <v>9.9600000000000009</v>
      </c>
      <c r="J816" s="29">
        <v>2.988</v>
      </c>
      <c r="K816" s="29">
        <v>2.988</v>
      </c>
      <c r="L816" s="29" t="s">
        <v>383</v>
      </c>
      <c r="M816" s="29">
        <v>1</v>
      </c>
      <c r="N816" s="29">
        <v>0.3</v>
      </c>
      <c r="O816" s="29">
        <v>1</v>
      </c>
      <c r="P816" s="29">
        <v>2.988</v>
      </c>
      <c r="Q816" s="29" t="s">
        <v>384</v>
      </c>
    </row>
    <row r="817" spans="1:17" x14ac:dyDescent="0.3">
      <c r="A817" s="29" t="s">
        <v>597</v>
      </c>
      <c r="B817" s="29">
        <v>1</v>
      </c>
      <c r="C817" s="29" t="s">
        <v>387</v>
      </c>
      <c r="D817" s="29" t="s">
        <v>1045</v>
      </c>
      <c r="E817" s="29">
        <v>2475</v>
      </c>
      <c r="G817" s="29" t="s">
        <v>292</v>
      </c>
      <c r="H817" s="29">
        <v>1</v>
      </c>
      <c r="I817" s="29">
        <v>9.9600000000000009</v>
      </c>
      <c r="J817" s="29">
        <v>24.651000000000003</v>
      </c>
      <c r="K817" s="29">
        <v>24.651000000000003</v>
      </c>
      <c r="L817" s="29" t="s">
        <v>383</v>
      </c>
      <c r="M817" s="29">
        <v>1</v>
      </c>
      <c r="N817" s="29">
        <v>2.4750000000000001</v>
      </c>
      <c r="O817" s="29">
        <v>1</v>
      </c>
      <c r="P817" s="29">
        <v>24.651000000000003</v>
      </c>
      <c r="Q817" s="29" t="s">
        <v>384</v>
      </c>
    </row>
    <row r="818" spans="1:17" x14ac:dyDescent="0.3">
      <c r="B818" s="29">
        <v>2</v>
      </c>
      <c r="C818" s="29" t="s">
        <v>387</v>
      </c>
      <c r="D818" s="29" t="s">
        <v>1045</v>
      </c>
      <c r="E818" s="29">
        <v>500</v>
      </c>
      <c r="G818" s="29" t="s">
        <v>292</v>
      </c>
      <c r="H818" s="29">
        <v>1</v>
      </c>
      <c r="I818" s="29">
        <v>9.9600000000000009</v>
      </c>
      <c r="J818" s="29">
        <v>4.9800000000000004</v>
      </c>
      <c r="K818" s="29">
        <v>4.9800000000000004</v>
      </c>
      <c r="L818" s="29" t="s">
        <v>383</v>
      </c>
      <c r="M818" s="29">
        <v>1</v>
      </c>
      <c r="N818" s="29">
        <v>0.5</v>
      </c>
      <c r="O818" s="29">
        <v>1</v>
      </c>
      <c r="P818" s="29">
        <v>4.9800000000000004</v>
      </c>
      <c r="Q818" s="29" t="s">
        <v>384</v>
      </c>
    </row>
    <row r="819" spans="1:17" x14ac:dyDescent="0.3">
      <c r="A819" s="29" t="s">
        <v>598</v>
      </c>
      <c r="B819" s="29">
        <v>1</v>
      </c>
      <c r="C819" s="29" t="s">
        <v>387</v>
      </c>
      <c r="D819" s="29" t="s">
        <v>1045</v>
      </c>
      <c r="E819" s="29">
        <v>2575</v>
      </c>
      <c r="G819" s="29" t="s">
        <v>292</v>
      </c>
      <c r="H819" s="29">
        <v>1</v>
      </c>
      <c r="I819" s="29">
        <v>9.9600000000000009</v>
      </c>
      <c r="J819" s="29">
        <v>25.647000000000006</v>
      </c>
      <c r="K819" s="29">
        <v>25.647000000000006</v>
      </c>
      <c r="L819" s="29" t="s">
        <v>383</v>
      </c>
      <c r="M819" s="29">
        <v>1</v>
      </c>
      <c r="N819" s="29">
        <v>2.5750000000000002</v>
      </c>
      <c r="O819" s="29">
        <v>1</v>
      </c>
      <c r="P819" s="29">
        <v>25.647000000000006</v>
      </c>
      <c r="Q819" s="29" t="s">
        <v>384</v>
      </c>
    </row>
    <row r="820" spans="1:17" x14ac:dyDescent="0.3">
      <c r="B820" s="29">
        <v>2</v>
      </c>
      <c r="C820" s="29" t="s">
        <v>387</v>
      </c>
      <c r="D820" s="29" t="s">
        <v>1045</v>
      </c>
      <c r="E820" s="29">
        <v>300</v>
      </c>
      <c r="G820" s="29" t="s">
        <v>292</v>
      </c>
      <c r="H820" s="29">
        <v>1</v>
      </c>
      <c r="I820" s="29">
        <v>9.9600000000000009</v>
      </c>
      <c r="J820" s="29">
        <v>2.988</v>
      </c>
      <c r="K820" s="29">
        <v>2.988</v>
      </c>
      <c r="L820" s="29" t="s">
        <v>383</v>
      </c>
      <c r="M820" s="29">
        <v>1</v>
      </c>
      <c r="N820" s="29">
        <v>0.3</v>
      </c>
      <c r="O820" s="29">
        <v>1</v>
      </c>
      <c r="P820" s="29">
        <v>2.988</v>
      </c>
      <c r="Q820" s="29" t="s">
        <v>384</v>
      </c>
    </row>
    <row r="821" spans="1:17" x14ac:dyDescent="0.3">
      <c r="A821" s="29" t="s">
        <v>599</v>
      </c>
      <c r="B821" s="29">
        <v>1</v>
      </c>
      <c r="C821" s="29" t="s">
        <v>387</v>
      </c>
      <c r="D821" s="29" t="s">
        <v>1044</v>
      </c>
      <c r="E821" s="29">
        <v>800</v>
      </c>
      <c r="G821" s="29" t="s">
        <v>292</v>
      </c>
      <c r="H821" s="29">
        <v>1</v>
      </c>
      <c r="I821" s="29">
        <v>4.43</v>
      </c>
      <c r="J821" s="29">
        <v>3.544</v>
      </c>
      <c r="K821" s="29">
        <v>3.544</v>
      </c>
      <c r="L821" s="29" t="s">
        <v>383</v>
      </c>
      <c r="M821" s="29">
        <v>1</v>
      </c>
      <c r="N821" s="29">
        <v>0.8</v>
      </c>
      <c r="O821" s="29">
        <v>1</v>
      </c>
      <c r="P821" s="29">
        <v>3.544</v>
      </c>
      <c r="Q821" s="29" t="s">
        <v>384</v>
      </c>
    </row>
    <row r="822" spans="1:17" x14ac:dyDescent="0.3">
      <c r="B822" s="29">
        <v>2</v>
      </c>
      <c r="C822" s="29" t="s">
        <v>387</v>
      </c>
      <c r="D822" s="29" t="s">
        <v>1044</v>
      </c>
      <c r="E822" s="29">
        <v>100</v>
      </c>
      <c r="G822" s="29" t="s">
        <v>292</v>
      </c>
      <c r="H822" s="29">
        <v>1</v>
      </c>
      <c r="I822" s="29">
        <v>4.43</v>
      </c>
      <c r="J822" s="29">
        <v>0.443</v>
      </c>
      <c r="K822" s="29">
        <v>0.443</v>
      </c>
      <c r="L822" s="29" t="s">
        <v>383</v>
      </c>
      <c r="M822" s="29">
        <v>1</v>
      </c>
      <c r="N822" s="29">
        <v>0.1</v>
      </c>
      <c r="O822" s="29">
        <v>1</v>
      </c>
      <c r="P822" s="29">
        <v>0.443</v>
      </c>
      <c r="Q822" s="29" t="s">
        <v>384</v>
      </c>
    </row>
    <row r="823" spans="1:17" x14ac:dyDescent="0.3">
      <c r="A823" s="29" t="s">
        <v>600</v>
      </c>
      <c r="B823" s="29">
        <v>1</v>
      </c>
      <c r="C823" s="29" t="s">
        <v>387</v>
      </c>
      <c r="D823" s="29" t="s">
        <v>1044</v>
      </c>
      <c r="E823" s="29">
        <v>100</v>
      </c>
      <c r="G823" s="29" t="s">
        <v>292</v>
      </c>
      <c r="H823" s="29">
        <v>1</v>
      </c>
      <c r="I823" s="29">
        <v>4.43</v>
      </c>
      <c r="J823" s="29">
        <v>0.443</v>
      </c>
      <c r="K823" s="29">
        <v>0.443</v>
      </c>
      <c r="L823" s="29" t="s">
        <v>383</v>
      </c>
      <c r="M823" s="29">
        <v>1</v>
      </c>
      <c r="N823" s="29">
        <v>0.1</v>
      </c>
      <c r="O823" s="29">
        <v>1</v>
      </c>
      <c r="P823" s="29">
        <v>0.443</v>
      </c>
      <c r="Q823" s="29" t="s">
        <v>384</v>
      </c>
    </row>
    <row r="824" spans="1:17" x14ac:dyDescent="0.3">
      <c r="B824" s="29">
        <v>2</v>
      </c>
      <c r="C824" s="29" t="s">
        <v>387</v>
      </c>
      <c r="D824" s="29" t="s">
        <v>1044</v>
      </c>
      <c r="E824" s="29">
        <v>200</v>
      </c>
      <c r="G824" s="29" t="s">
        <v>292</v>
      </c>
      <c r="H824" s="29">
        <v>1</v>
      </c>
      <c r="I824" s="29">
        <v>4.43</v>
      </c>
      <c r="J824" s="29">
        <v>0.88600000000000001</v>
      </c>
      <c r="K824" s="29">
        <v>0.88600000000000001</v>
      </c>
      <c r="L824" s="29" t="s">
        <v>383</v>
      </c>
      <c r="M824" s="29">
        <v>1</v>
      </c>
      <c r="N824" s="29">
        <v>0.2</v>
      </c>
      <c r="O824" s="29">
        <v>1</v>
      </c>
      <c r="P824" s="29">
        <v>0.88600000000000001</v>
      </c>
      <c r="Q824" s="29" t="s">
        <v>384</v>
      </c>
    </row>
    <row r="825" spans="1:17" x14ac:dyDescent="0.3">
      <c r="A825" s="29" t="s">
        <v>601</v>
      </c>
      <c r="B825" s="29">
        <v>1</v>
      </c>
      <c r="C825" s="29" t="s">
        <v>387</v>
      </c>
      <c r="D825" s="29" t="s">
        <v>1044</v>
      </c>
      <c r="E825" s="29">
        <v>200</v>
      </c>
      <c r="G825" s="29" t="s">
        <v>292</v>
      </c>
      <c r="H825" s="29">
        <v>1</v>
      </c>
      <c r="I825" s="29">
        <v>4.43</v>
      </c>
      <c r="J825" s="29">
        <v>0.88600000000000001</v>
      </c>
      <c r="K825" s="29">
        <v>0.88600000000000001</v>
      </c>
      <c r="L825" s="29" t="s">
        <v>383</v>
      </c>
      <c r="M825" s="29">
        <v>1</v>
      </c>
      <c r="N825" s="29">
        <v>0.2</v>
      </c>
      <c r="O825" s="29">
        <v>1</v>
      </c>
      <c r="P825" s="29">
        <v>0.88600000000000001</v>
      </c>
      <c r="Q825" s="29" t="s">
        <v>384</v>
      </c>
    </row>
    <row r="826" spans="1:17" x14ac:dyDescent="0.3">
      <c r="B826" s="29">
        <v>2</v>
      </c>
      <c r="C826" s="29" t="s">
        <v>387</v>
      </c>
      <c r="D826" s="29" t="s">
        <v>1044</v>
      </c>
      <c r="E826" s="29">
        <v>200</v>
      </c>
      <c r="G826" s="29" t="s">
        <v>292</v>
      </c>
      <c r="H826" s="29">
        <v>1</v>
      </c>
      <c r="I826" s="29">
        <v>4.43</v>
      </c>
      <c r="J826" s="29">
        <v>0.88600000000000001</v>
      </c>
      <c r="K826" s="29">
        <v>0.88600000000000001</v>
      </c>
      <c r="L826" s="29" t="s">
        <v>383</v>
      </c>
      <c r="M826" s="29">
        <v>1</v>
      </c>
      <c r="N826" s="29">
        <v>0.2</v>
      </c>
      <c r="O826" s="29">
        <v>1</v>
      </c>
      <c r="P826" s="29">
        <v>0.88600000000000001</v>
      </c>
      <c r="Q826" s="29" t="s">
        <v>384</v>
      </c>
    </row>
    <row r="827" spans="1:17" x14ac:dyDescent="0.3">
      <c r="A827" s="29" t="s">
        <v>602</v>
      </c>
      <c r="B827" s="29">
        <v>1</v>
      </c>
      <c r="C827" s="29" t="s">
        <v>387</v>
      </c>
      <c r="D827" s="29" t="s">
        <v>1044</v>
      </c>
      <c r="E827" s="29">
        <v>400</v>
      </c>
      <c r="G827" s="29" t="s">
        <v>292</v>
      </c>
      <c r="H827" s="29">
        <v>1</v>
      </c>
      <c r="I827" s="29">
        <v>4.43</v>
      </c>
      <c r="J827" s="29">
        <v>1.772</v>
      </c>
      <c r="K827" s="29">
        <v>1.772</v>
      </c>
      <c r="L827" s="29" t="s">
        <v>383</v>
      </c>
      <c r="M827" s="29">
        <v>1</v>
      </c>
      <c r="N827" s="29">
        <v>0.4</v>
      </c>
      <c r="O827" s="29">
        <v>1</v>
      </c>
      <c r="P827" s="29">
        <v>1.772</v>
      </c>
      <c r="Q827" s="29" t="s">
        <v>384</v>
      </c>
    </row>
    <row r="828" spans="1:17" x14ac:dyDescent="0.3">
      <c r="B828" s="29">
        <v>2</v>
      </c>
      <c r="C828" s="29" t="s">
        <v>387</v>
      </c>
      <c r="D828" s="29" t="s">
        <v>1044</v>
      </c>
      <c r="E828" s="29">
        <v>200</v>
      </c>
      <c r="G828" s="29" t="s">
        <v>292</v>
      </c>
      <c r="H828" s="29">
        <v>1</v>
      </c>
      <c r="I828" s="29">
        <v>4.43</v>
      </c>
      <c r="J828" s="29">
        <v>0.88600000000000001</v>
      </c>
      <c r="K828" s="29">
        <v>0.88600000000000001</v>
      </c>
      <c r="L828" s="29" t="s">
        <v>383</v>
      </c>
      <c r="M828" s="29">
        <v>1</v>
      </c>
      <c r="N828" s="29">
        <v>0.2</v>
      </c>
      <c r="O828" s="29">
        <v>1</v>
      </c>
      <c r="P828" s="29">
        <v>0.88600000000000001</v>
      </c>
      <c r="Q828" s="29" t="s">
        <v>384</v>
      </c>
    </row>
    <row r="829" spans="1:17" x14ac:dyDescent="0.3">
      <c r="A829" s="29" t="s">
        <v>602</v>
      </c>
      <c r="B829" s="29">
        <v>1</v>
      </c>
      <c r="C829" s="29" t="s">
        <v>387</v>
      </c>
      <c r="D829" s="29" t="s">
        <v>1044</v>
      </c>
      <c r="E829" s="29">
        <v>400</v>
      </c>
      <c r="G829" s="29" t="s">
        <v>292</v>
      </c>
      <c r="H829" s="29">
        <v>1</v>
      </c>
      <c r="I829" s="29">
        <v>4.43</v>
      </c>
      <c r="J829" s="29">
        <v>1.772</v>
      </c>
      <c r="K829" s="29">
        <v>1.772</v>
      </c>
      <c r="L829" s="29" t="s">
        <v>383</v>
      </c>
      <c r="M829" s="29">
        <v>1</v>
      </c>
      <c r="N829" s="29">
        <v>0.4</v>
      </c>
      <c r="O829" s="29">
        <v>1</v>
      </c>
      <c r="P829" s="29">
        <v>1.772</v>
      </c>
      <c r="Q829" s="29" t="s">
        <v>384</v>
      </c>
    </row>
    <row r="830" spans="1:17" x14ac:dyDescent="0.3">
      <c r="B830" s="29">
        <v>2</v>
      </c>
      <c r="C830" s="29" t="s">
        <v>387</v>
      </c>
      <c r="D830" s="29" t="s">
        <v>1044</v>
      </c>
      <c r="E830" s="29">
        <v>200</v>
      </c>
      <c r="G830" s="29" t="s">
        <v>292</v>
      </c>
      <c r="H830" s="29">
        <v>1</v>
      </c>
      <c r="I830" s="29">
        <v>4.43</v>
      </c>
      <c r="J830" s="29">
        <v>0.88600000000000001</v>
      </c>
      <c r="K830" s="29">
        <v>0.88600000000000001</v>
      </c>
      <c r="L830" s="29" t="s">
        <v>383</v>
      </c>
      <c r="M830" s="29">
        <v>1</v>
      </c>
      <c r="N830" s="29">
        <v>0.2</v>
      </c>
      <c r="O830" s="29">
        <v>1</v>
      </c>
      <c r="P830" s="29">
        <v>0.88600000000000001</v>
      </c>
      <c r="Q830" s="29" t="s">
        <v>384</v>
      </c>
    </row>
    <row r="831" spans="1:17" x14ac:dyDescent="0.3">
      <c r="A831" s="29" t="s">
        <v>603</v>
      </c>
      <c r="B831" s="29">
        <v>1</v>
      </c>
      <c r="C831" s="29" t="s">
        <v>387</v>
      </c>
      <c r="D831" s="29" t="s">
        <v>1044</v>
      </c>
      <c r="E831" s="29">
        <v>500</v>
      </c>
      <c r="G831" s="29" t="s">
        <v>292</v>
      </c>
      <c r="H831" s="29">
        <v>1</v>
      </c>
      <c r="I831" s="29">
        <v>4.43</v>
      </c>
      <c r="J831" s="29">
        <v>2.2149999999999999</v>
      </c>
      <c r="K831" s="29">
        <v>2.2149999999999999</v>
      </c>
      <c r="L831" s="29" t="s">
        <v>383</v>
      </c>
      <c r="M831" s="29">
        <v>1</v>
      </c>
      <c r="N831" s="29">
        <v>0.5</v>
      </c>
      <c r="O831" s="29">
        <v>1</v>
      </c>
      <c r="P831" s="29">
        <v>2.2149999999999999</v>
      </c>
      <c r="Q831" s="29" t="s">
        <v>384</v>
      </c>
    </row>
    <row r="832" spans="1:17" x14ac:dyDescent="0.3">
      <c r="B832" s="29">
        <v>2</v>
      </c>
      <c r="C832" s="29" t="s">
        <v>387</v>
      </c>
      <c r="D832" s="29" t="s">
        <v>1044</v>
      </c>
      <c r="E832" s="29">
        <v>200</v>
      </c>
      <c r="G832" s="29" t="s">
        <v>292</v>
      </c>
      <c r="H832" s="29">
        <v>1</v>
      </c>
      <c r="I832" s="29">
        <v>4.43</v>
      </c>
      <c r="J832" s="29">
        <v>0.88600000000000001</v>
      </c>
      <c r="K832" s="29">
        <v>0.88600000000000001</v>
      </c>
      <c r="L832" s="29" t="s">
        <v>383</v>
      </c>
      <c r="M832" s="29">
        <v>1</v>
      </c>
      <c r="N832" s="29">
        <v>0.2</v>
      </c>
      <c r="O832" s="29">
        <v>1</v>
      </c>
      <c r="P832" s="29">
        <v>0.88600000000000001</v>
      </c>
      <c r="Q832" s="29" t="s">
        <v>384</v>
      </c>
    </row>
    <row r="833" spans="1:17" x14ac:dyDescent="0.3">
      <c r="A833" s="29" t="s">
        <v>604</v>
      </c>
      <c r="B833" s="29">
        <v>1</v>
      </c>
      <c r="C833" s="29" t="s">
        <v>387</v>
      </c>
      <c r="D833" s="29" t="s">
        <v>1044</v>
      </c>
      <c r="E833" s="29">
        <v>600</v>
      </c>
      <c r="G833" s="29" t="s">
        <v>292</v>
      </c>
      <c r="H833" s="29">
        <v>1</v>
      </c>
      <c r="I833" s="29">
        <v>4.43</v>
      </c>
      <c r="J833" s="29">
        <v>2.6579999999999999</v>
      </c>
      <c r="K833" s="29">
        <v>2.6579999999999999</v>
      </c>
      <c r="L833" s="29" t="s">
        <v>383</v>
      </c>
      <c r="M833" s="29">
        <v>1</v>
      </c>
      <c r="N833" s="29">
        <v>0.6</v>
      </c>
      <c r="O833" s="29">
        <v>1</v>
      </c>
      <c r="P833" s="29">
        <v>2.6579999999999999</v>
      </c>
      <c r="Q833" s="29" t="s">
        <v>384</v>
      </c>
    </row>
    <row r="834" spans="1:17" x14ac:dyDescent="0.3">
      <c r="B834" s="29">
        <v>2</v>
      </c>
      <c r="C834" s="29" t="s">
        <v>387</v>
      </c>
      <c r="D834" s="29" t="s">
        <v>1044</v>
      </c>
      <c r="E834" s="29">
        <v>200</v>
      </c>
      <c r="G834" s="29" t="s">
        <v>292</v>
      </c>
      <c r="H834" s="29">
        <v>1</v>
      </c>
      <c r="I834" s="29">
        <v>4.43</v>
      </c>
      <c r="J834" s="29">
        <v>0.88600000000000001</v>
      </c>
      <c r="K834" s="29">
        <v>0.88600000000000001</v>
      </c>
      <c r="L834" s="29" t="s">
        <v>383</v>
      </c>
      <c r="M834" s="29">
        <v>1</v>
      </c>
      <c r="N834" s="29">
        <v>0.2</v>
      </c>
      <c r="O834" s="29">
        <v>1</v>
      </c>
      <c r="P834" s="29">
        <v>0.88600000000000001</v>
      </c>
      <c r="Q834" s="29" t="s">
        <v>384</v>
      </c>
    </row>
    <row r="835" spans="1:17" x14ac:dyDescent="0.3">
      <c r="A835" s="29" t="s">
        <v>605</v>
      </c>
      <c r="B835" s="29">
        <v>1</v>
      </c>
      <c r="C835" s="29" t="s">
        <v>387</v>
      </c>
      <c r="D835" s="29" t="s">
        <v>1044</v>
      </c>
      <c r="E835" s="29">
        <v>700</v>
      </c>
      <c r="G835" s="29" t="s">
        <v>292</v>
      </c>
      <c r="H835" s="29">
        <v>1</v>
      </c>
      <c r="I835" s="29">
        <v>4.43</v>
      </c>
      <c r="J835" s="29">
        <v>3.1009999999999995</v>
      </c>
      <c r="K835" s="29">
        <v>3.1009999999999995</v>
      </c>
      <c r="L835" s="29" t="s">
        <v>383</v>
      </c>
      <c r="M835" s="29">
        <v>1</v>
      </c>
      <c r="N835" s="29">
        <v>0.7</v>
      </c>
      <c r="O835" s="29">
        <v>1</v>
      </c>
      <c r="P835" s="29">
        <v>3.1009999999999995</v>
      </c>
      <c r="Q835" s="29" t="s">
        <v>384</v>
      </c>
    </row>
    <row r="836" spans="1:17" x14ac:dyDescent="0.3">
      <c r="B836" s="29">
        <v>2</v>
      </c>
      <c r="C836" s="29" t="s">
        <v>387</v>
      </c>
      <c r="D836" s="29" t="s">
        <v>1044</v>
      </c>
      <c r="E836" s="29">
        <v>200</v>
      </c>
      <c r="G836" s="29" t="s">
        <v>292</v>
      </c>
      <c r="H836" s="29">
        <v>1</v>
      </c>
      <c r="I836" s="29">
        <v>4.43</v>
      </c>
      <c r="J836" s="29">
        <v>0.88600000000000001</v>
      </c>
      <c r="K836" s="29">
        <v>0.88600000000000001</v>
      </c>
      <c r="L836" s="29" t="s">
        <v>383</v>
      </c>
      <c r="M836" s="29">
        <v>1</v>
      </c>
      <c r="N836" s="29">
        <v>0.2</v>
      </c>
      <c r="O836" s="29">
        <v>1</v>
      </c>
      <c r="P836" s="29">
        <v>0.88600000000000001</v>
      </c>
      <c r="Q836" s="29" t="s">
        <v>384</v>
      </c>
    </row>
    <row r="837" spans="1:17" x14ac:dyDescent="0.3">
      <c r="A837" s="29" t="s">
        <v>606</v>
      </c>
      <c r="B837" s="29">
        <v>1</v>
      </c>
      <c r="C837" s="29" t="s">
        <v>387</v>
      </c>
      <c r="D837" s="29" t="s">
        <v>1044</v>
      </c>
      <c r="E837" s="29">
        <v>800</v>
      </c>
      <c r="G837" s="29" t="s">
        <v>292</v>
      </c>
      <c r="H837" s="29">
        <v>1</v>
      </c>
      <c r="I837" s="29">
        <v>4.43</v>
      </c>
      <c r="J837" s="29">
        <v>3.544</v>
      </c>
      <c r="K837" s="29">
        <v>3.544</v>
      </c>
      <c r="L837" s="29" t="s">
        <v>383</v>
      </c>
      <c r="M837" s="29">
        <v>1</v>
      </c>
      <c r="N837" s="29">
        <v>0.8</v>
      </c>
      <c r="O837" s="29">
        <v>1</v>
      </c>
      <c r="P837" s="29">
        <v>3.544</v>
      </c>
      <c r="Q837" s="29" t="s">
        <v>384</v>
      </c>
    </row>
    <row r="838" spans="1:17" x14ac:dyDescent="0.3">
      <c r="B838" s="29">
        <v>2</v>
      </c>
      <c r="C838" s="29" t="s">
        <v>387</v>
      </c>
      <c r="D838" s="29" t="s">
        <v>1044</v>
      </c>
      <c r="E838" s="29">
        <v>300</v>
      </c>
      <c r="G838" s="29" t="s">
        <v>292</v>
      </c>
      <c r="H838" s="29">
        <v>1</v>
      </c>
      <c r="I838" s="29">
        <v>4.43</v>
      </c>
      <c r="J838" s="29">
        <v>1.329</v>
      </c>
      <c r="K838" s="29">
        <v>1.329</v>
      </c>
      <c r="L838" s="29" t="s">
        <v>383</v>
      </c>
      <c r="M838" s="29">
        <v>1</v>
      </c>
      <c r="N838" s="29">
        <v>0.3</v>
      </c>
      <c r="O838" s="29">
        <v>1</v>
      </c>
      <c r="P838" s="29">
        <v>1.329</v>
      </c>
      <c r="Q838" s="29" t="s">
        <v>384</v>
      </c>
    </row>
    <row r="839" spans="1:17" x14ac:dyDescent="0.3">
      <c r="A839" s="29" t="s">
        <v>607</v>
      </c>
      <c r="B839" s="29">
        <v>1</v>
      </c>
      <c r="C839" s="29" t="s">
        <v>387</v>
      </c>
      <c r="D839" s="29" t="s">
        <v>1044</v>
      </c>
      <c r="E839" s="29">
        <v>200</v>
      </c>
      <c r="G839" s="29" t="s">
        <v>292</v>
      </c>
      <c r="H839" s="29">
        <v>1</v>
      </c>
      <c r="I839" s="29">
        <v>4.43</v>
      </c>
      <c r="J839" s="29">
        <v>0.88600000000000001</v>
      </c>
      <c r="K839" s="29">
        <v>0.88600000000000001</v>
      </c>
      <c r="L839" s="29" t="s">
        <v>383</v>
      </c>
      <c r="M839" s="29">
        <v>1</v>
      </c>
      <c r="N839" s="29">
        <v>0.2</v>
      </c>
      <c r="O839" s="29">
        <v>1</v>
      </c>
      <c r="P839" s="29">
        <v>0.88600000000000001</v>
      </c>
      <c r="Q839" s="29" t="s">
        <v>384</v>
      </c>
    </row>
    <row r="840" spans="1:17" x14ac:dyDescent="0.3">
      <c r="B840" s="29">
        <v>2</v>
      </c>
      <c r="C840" s="29" t="s">
        <v>387</v>
      </c>
      <c r="D840" s="29" t="s">
        <v>1044</v>
      </c>
      <c r="E840" s="29">
        <v>400</v>
      </c>
      <c r="G840" s="29" t="s">
        <v>292</v>
      </c>
      <c r="H840" s="29">
        <v>1</v>
      </c>
      <c r="I840" s="29">
        <v>4.43</v>
      </c>
      <c r="J840" s="29">
        <v>1.772</v>
      </c>
      <c r="K840" s="29">
        <v>1.772</v>
      </c>
      <c r="L840" s="29" t="s">
        <v>383</v>
      </c>
      <c r="M840" s="29">
        <v>1</v>
      </c>
      <c r="N840" s="29">
        <v>0.4</v>
      </c>
      <c r="O840" s="29">
        <v>1</v>
      </c>
      <c r="P840" s="29">
        <v>1.772</v>
      </c>
      <c r="Q840" s="29" t="s">
        <v>384</v>
      </c>
    </row>
    <row r="841" spans="1:17" x14ac:dyDescent="0.3">
      <c r="A841" s="29" t="s">
        <v>608</v>
      </c>
      <c r="B841" s="29">
        <v>1</v>
      </c>
      <c r="C841" s="29" t="s">
        <v>387</v>
      </c>
      <c r="D841" s="29" t="s">
        <v>1044</v>
      </c>
      <c r="E841" s="29">
        <v>400</v>
      </c>
      <c r="G841" s="29" t="s">
        <v>292</v>
      </c>
      <c r="H841" s="29">
        <v>1</v>
      </c>
      <c r="I841" s="29">
        <v>4.43</v>
      </c>
      <c r="J841" s="29">
        <v>1.772</v>
      </c>
      <c r="K841" s="29">
        <v>1.772</v>
      </c>
      <c r="L841" s="29" t="s">
        <v>383</v>
      </c>
      <c r="M841" s="29">
        <v>1</v>
      </c>
      <c r="N841" s="29">
        <v>0.4</v>
      </c>
      <c r="O841" s="29">
        <v>1</v>
      </c>
      <c r="P841" s="29">
        <v>1.772</v>
      </c>
      <c r="Q841" s="29" t="s">
        <v>384</v>
      </c>
    </row>
    <row r="842" spans="1:17" x14ac:dyDescent="0.3">
      <c r="B842" s="29">
        <v>2</v>
      </c>
      <c r="C842" s="29" t="s">
        <v>387</v>
      </c>
      <c r="D842" s="29" t="s">
        <v>1044</v>
      </c>
      <c r="E842" s="29">
        <v>400</v>
      </c>
      <c r="G842" s="29" t="s">
        <v>292</v>
      </c>
      <c r="H842" s="29">
        <v>1</v>
      </c>
      <c r="I842" s="29">
        <v>4.43</v>
      </c>
      <c r="J842" s="29">
        <v>1.772</v>
      </c>
      <c r="K842" s="29">
        <v>1.772</v>
      </c>
      <c r="L842" s="29" t="s">
        <v>383</v>
      </c>
      <c r="M842" s="29">
        <v>1</v>
      </c>
      <c r="N842" s="29">
        <v>0.4</v>
      </c>
      <c r="O842" s="29">
        <v>1</v>
      </c>
      <c r="P842" s="29">
        <v>1.772</v>
      </c>
      <c r="Q842" s="29" t="s">
        <v>384</v>
      </c>
    </row>
    <row r="843" spans="1:17" x14ac:dyDescent="0.3">
      <c r="A843" s="29" t="s">
        <v>609</v>
      </c>
      <c r="B843" s="29">
        <v>1</v>
      </c>
      <c r="C843" s="29" t="s">
        <v>387</v>
      </c>
      <c r="D843" s="29" t="s">
        <v>1044</v>
      </c>
      <c r="E843" s="29">
        <v>400</v>
      </c>
      <c r="G843" s="29" t="s">
        <v>292</v>
      </c>
      <c r="H843" s="29">
        <v>1</v>
      </c>
      <c r="I843" s="29">
        <v>4.43</v>
      </c>
      <c r="J843" s="29">
        <v>1.772</v>
      </c>
      <c r="K843" s="29">
        <v>1.772</v>
      </c>
      <c r="L843" s="29" t="s">
        <v>383</v>
      </c>
      <c r="M843" s="29">
        <v>1</v>
      </c>
      <c r="N843" s="29">
        <v>0.4</v>
      </c>
      <c r="O843" s="29">
        <v>1</v>
      </c>
      <c r="P843" s="29">
        <v>1.772</v>
      </c>
      <c r="Q843" s="29" t="s">
        <v>384</v>
      </c>
    </row>
    <row r="844" spans="1:17" x14ac:dyDescent="0.3">
      <c r="B844" s="29">
        <v>2</v>
      </c>
      <c r="C844" s="29" t="s">
        <v>387</v>
      </c>
      <c r="D844" s="29" t="s">
        <v>1044</v>
      </c>
      <c r="E844" s="29">
        <v>400</v>
      </c>
      <c r="G844" s="29" t="s">
        <v>292</v>
      </c>
      <c r="H844" s="29">
        <v>1</v>
      </c>
      <c r="I844" s="29">
        <v>4.43</v>
      </c>
      <c r="J844" s="29">
        <v>1.772</v>
      </c>
      <c r="K844" s="29">
        <v>1.772</v>
      </c>
      <c r="L844" s="29" t="s">
        <v>383</v>
      </c>
      <c r="M844" s="29">
        <v>1</v>
      </c>
      <c r="N844" s="29">
        <v>0.4</v>
      </c>
      <c r="O844" s="29">
        <v>1</v>
      </c>
      <c r="P844" s="29">
        <v>1.772</v>
      </c>
      <c r="Q844" s="29" t="s">
        <v>384</v>
      </c>
    </row>
    <row r="845" spans="1:17" x14ac:dyDescent="0.3">
      <c r="A845" s="29" t="s">
        <v>610</v>
      </c>
      <c r="B845" s="29">
        <v>1</v>
      </c>
      <c r="C845" s="29" t="s">
        <v>387</v>
      </c>
      <c r="D845" s="29" t="s">
        <v>1044</v>
      </c>
      <c r="E845" s="29">
        <v>200</v>
      </c>
      <c r="G845" s="29" t="s">
        <v>292</v>
      </c>
      <c r="H845" s="29">
        <v>1</v>
      </c>
      <c r="I845" s="29">
        <v>4.43</v>
      </c>
      <c r="J845" s="29">
        <v>0.88600000000000001</v>
      </c>
      <c r="K845" s="29">
        <v>0.88600000000000001</v>
      </c>
      <c r="L845" s="29" t="s">
        <v>383</v>
      </c>
      <c r="M845" s="29">
        <v>1</v>
      </c>
      <c r="N845" s="29">
        <v>0.2</v>
      </c>
      <c r="O845" s="29">
        <v>1</v>
      </c>
      <c r="P845" s="29">
        <v>0.88600000000000001</v>
      </c>
      <c r="Q845" s="29" t="s">
        <v>384</v>
      </c>
    </row>
    <row r="846" spans="1:17" x14ac:dyDescent="0.3">
      <c r="B846" s="29">
        <v>2</v>
      </c>
      <c r="C846" s="29" t="s">
        <v>387</v>
      </c>
      <c r="D846" s="29" t="s">
        <v>1044</v>
      </c>
      <c r="E846" s="29">
        <v>500</v>
      </c>
      <c r="G846" s="29" t="s">
        <v>292</v>
      </c>
      <c r="H846" s="29">
        <v>1</v>
      </c>
      <c r="I846" s="29">
        <v>4.43</v>
      </c>
      <c r="J846" s="29">
        <v>2.2149999999999999</v>
      </c>
      <c r="K846" s="29">
        <v>2.2149999999999999</v>
      </c>
      <c r="L846" s="29" t="s">
        <v>383</v>
      </c>
      <c r="M846" s="29">
        <v>1</v>
      </c>
      <c r="N846" s="29">
        <v>0.5</v>
      </c>
      <c r="O846" s="29">
        <v>1</v>
      </c>
      <c r="P846" s="29">
        <v>2.2149999999999999</v>
      </c>
      <c r="Q846" s="29" t="s">
        <v>384</v>
      </c>
    </row>
    <row r="847" spans="1:17" x14ac:dyDescent="0.3">
      <c r="A847" s="29" t="s">
        <v>611</v>
      </c>
      <c r="B847" s="29">
        <v>1</v>
      </c>
      <c r="C847" s="29" t="s">
        <v>387</v>
      </c>
      <c r="D847" s="29" t="s">
        <v>1044</v>
      </c>
      <c r="E847" s="29">
        <v>200</v>
      </c>
      <c r="G847" s="29" t="s">
        <v>292</v>
      </c>
      <c r="H847" s="29">
        <v>1</v>
      </c>
      <c r="I847" s="29">
        <v>4.43</v>
      </c>
      <c r="J847" s="29">
        <v>0.88600000000000001</v>
      </c>
      <c r="K847" s="29">
        <v>0.88600000000000001</v>
      </c>
      <c r="L847" s="29" t="s">
        <v>383</v>
      </c>
      <c r="M847" s="29">
        <v>1</v>
      </c>
      <c r="N847" s="29">
        <v>0.2</v>
      </c>
      <c r="O847" s="29">
        <v>1</v>
      </c>
      <c r="P847" s="29">
        <v>0.88600000000000001</v>
      </c>
      <c r="Q847" s="29" t="s">
        <v>384</v>
      </c>
    </row>
    <row r="848" spans="1:17" x14ac:dyDescent="0.3">
      <c r="B848" s="29">
        <v>2</v>
      </c>
      <c r="C848" s="29" t="s">
        <v>387</v>
      </c>
      <c r="D848" s="29" t="s">
        <v>1044</v>
      </c>
      <c r="E848" s="29">
        <v>500</v>
      </c>
      <c r="G848" s="29" t="s">
        <v>292</v>
      </c>
      <c r="H848" s="29">
        <v>1</v>
      </c>
      <c r="I848" s="29">
        <v>4.43</v>
      </c>
      <c r="J848" s="29">
        <v>2.2149999999999999</v>
      </c>
      <c r="K848" s="29">
        <v>2.2149999999999999</v>
      </c>
      <c r="L848" s="29" t="s">
        <v>383</v>
      </c>
      <c r="M848" s="29">
        <v>1</v>
      </c>
      <c r="N848" s="29">
        <v>0.5</v>
      </c>
      <c r="O848" s="29">
        <v>1</v>
      </c>
      <c r="P848" s="29">
        <v>2.2149999999999999</v>
      </c>
      <c r="Q848" s="29" t="s">
        <v>384</v>
      </c>
    </row>
    <row r="849" spans="1:17" x14ac:dyDescent="0.3">
      <c r="A849" s="29" t="s">
        <v>612</v>
      </c>
      <c r="B849" s="29">
        <v>1</v>
      </c>
      <c r="C849" s="29" t="s">
        <v>387</v>
      </c>
      <c r="D849" s="29" t="s">
        <v>1045</v>
      </c>
      <c r="E849" s="29">
        <v>800</v>
      </c>
      <c r="G849" s="29" t="s">
        <v>292</v>
      </c>
      <c r="H849" s="29">
        <v>1</v>
      </c>
      <c r="I849" s="29">
        <v>9.9600000000000009</v>
      </c>
      <c r="J849" s="29">
        <v>7.9680000000000009</v>
      </c>
      <c r="K849" s="29">
        <v>7.9680000000000009</v>
      </c>
      <c r="L849" s="29" t="s">
        <v>383</v>
      </c>
      <c r="M849" s="29">
        <v>1</v>
      </c>
      <c r="N849" s="29">
        <v>0.8</v>
      </c>
      <c r="O849" s="29">
        <v>1</v>
      </c>
      <c r="P849" s="29">
        <v>7.9680000000000009</v>
      </c>
      <c r="Q849" s="29" t="s">
        <v>384</v>
      </c>
    </row>
    <row r="850" spans="1:17" x14ac:dyDescent="0.3">
      <c r="B850" s="29">
        <v>2</v>
      </c>
      <c r="C850" s="29" t="s">
        <v>387</v>
      </c>
      <c r="D850" s="29" t="s">
        <v>1045</v>
      </c>
      <c r="E850" s="29">
        <v>300</v>
      </c>
      <c r="G850" s="29" t="s">
        <v>292</v>
      </c>
      <c r="H850" s="29">
        <v>1</v>
      </c>
      <c r="I850" s="29">
        <v>9.9600000000000009</v>
      </c>
      <c r="J850" s="29">
        <v>2.988</v>
      </c>
      <c r="K850" s="29">
        <v>2.988</v>
      </c>
      <c r="L850" s="29" t="s">
        <v>383</v>
      </c>
      <c r="M850" s="29">
        <v>1</v>
      </c>
      <c r="N850" s="29">
        <v>0.3</v>
      </c>
      <c r="O850" s="29">
        <v>1</v>
      </c>
      <c r="P850" s="29">
        <v>2.988</v>
      </c>
      <c r="Q850" s="29" t="s">
        <v>384</v>
      </c>
    </row>
    <row r="851" spans="1:17" x14ac:dyDescent="0.3">
      <c r="A851" s="29" t="s">
        <v>613</v>
      </c>
      <c r="B851" s="29">
        <v>1</v>
      </c>
      <c r="C851" s="29" t="s">
        <v>387</v>
      </c>
      <c r="D851" s="29" t="s">
        <v>1045</v>
      </c>
      <c r="E851" s="29">
        <v>900</v>
      </c>
      <c r="G851" s="29" t="s">
        <v>292</v>
      </c>
      <c r="H851" s="29">
        <v>1</v>
      </c>
      <c r="I851" s="29">
        <v>9.9600000000000009</v>
      </c>
      <c r="J851" s="29">
        <v>8.9640000000000004</v>
      </c>
      <c r="K851" s="29">
        <v>8.9640000000000004</v>
      </c>
      <c r="L851" s="29" t="s">
        <v>383</v>
      </c>
      <c r="M851" s="29">
        <v>1</v>
      </c>
      <c r="N851" s="29">
        <v>0.9</v>
      </c>
      <c r="O851" s="29">
        <v>1</v>
      </c>
      <c r="P851" s="29">
        <v>8.9640000000000004</v>
      </c>
      <c r="Q851" s="29" t="s">
        <v>384</v>
      </c>
    </row>
    <row r="852" spans="1:17" x14ac:dyDescent="0.3">
      <c r="B852" s="29">
        <v>2</v>
      </c>
      <c r="C852" s="29" t="s">
        <v>387</v>
      </c>
      <c r="D852" s="29" t="s">
        <v>1045</v>
      </c>
      <c r="E852" s="29">
        <v>300</v>
      </c>
      <c r="G852" s="29" t="s">
        <v>292</v>
      </c>
      <c r="H852" s="29">
        <v>1</v>
      </c>
      <c r="I852" s="29">
        <v>9.9600000000000009</v>
      </c>
      <c r="J852" s="29">
        <v>2.988</v>
      </c>
      <c r="K852" s="29">
        <v>2.988</v>
      </c>
      <c r="L852" s="29" t="s">
        <v>383</v>
      </c>
      <c r="M852" s="29">
        <v>1</v>
      </c>
      <c r="N852" s="29">
        <v>0.3</v>
      </c>
      <c r="O852" s="29">
        <v>1</v>
      </c>
      <c r="P852" s="29">
        <v>2.988</v>
      </c>
      <c r="Q852" s="29" t="s">
        <v>384</v>
      </c>
    </row>
    <row r="853" spans="1:17" x14ac:dyDescent="0.3">
      <c r="A853" s="29" t="s">
        <v>614</v>
      </c>
      <c r="B853" s="29">
        <v>1</v>
      </c>
      <c r="C853" s="29" t="s">
        <v>387</v>
      </c>
      <c r="D853" s="29" t="s">
        <v>1045</v>
      </c>
      <c r="E853" s="29">
        <v>300</v>
      </c>
      <c r="G853" s="29" t="s">
        <v>292</v>
      </c>
      <c r="H853" s="29">
        <v>1</v>
      </c>
      <c r="I853" s="29">
        <v>9.9600000000000009</v>
      </c>
      <c r="J853" s="29">
        <v>2.988</v>
      </c>
      <c r="K853" s="29">
        <v>2.988</v>
      </c>
      <c r="L853" s="29" t="s">
        <v>383</v>
      </c>
      <c r="M853" s="29">
        <v>1</v>
      </c>
      <c r="N853" s="29">
        <v>0.3</v>
      </c>
      <c r="O853" s="29">
        <v>1</v>
      </c>
      <c r="P853" s="29">
        <v>2.988</v>
      </c>
      <c r="Q853" s="29" t="s">
        <v>384</v>
      </c>
    </row>
    <row r="854" spans="1:17" x14ac:dyDescent="0.3">
      <c r="B854" s="29">
        <v>2</v>
      </c>
      <c r="C854" s="29" t="s">
        <v>387</v>
      </c>
      <c r="D854" s="29" t="s">
        <v>1045</v>
      </c>
      <c r="E854" s="29">
        <v>400</v>
      </c>
      <c r="G854" s="29" t="s">
        <v>292</v>
      </c>
      <c r="H854" s="29">
        <v>1</v>
      </c>
      <c r="I854" s="29">
        <v>9.9600000000000009</v>
      </c>
      <c r="J854" s="29">
        <v>3.9840000000000004</v>
      </c>
      <c r="K854" s="29">
        <v>3.9840000000000004</v>
      </c>
      <c r="L854" s="29" t="s">
        <v>383</v>
      </c>
      <c r="M854" s="29">
        <v>1</v>
      </c>
      <c r="N854" s="29">
        <v>0.4</v>
      </c>
      <c r="O854" s="29">
        <v>1</v>
      </c>
      <c r="P854" s="29">
        <v>3.9840000000000004</v>
      </c>
      <c r="Q854" s="29" t="s">
        <v>384</v>
      </c>
    </row>
    <row r="855" spans="1:17" x14ac:dyDescent="0.3">
      <c r="A855" s="29" t="s">
        <v>615</v>
      </c>
      <c r="B855" s="29">
        <v>1</v>
      </c>
      <c r="C855" s="29" t="s">
        <v>387</v>
      </c>
      <c r="D855" s="29" t="s">
        <v>1045</v>
      </c>
      <c r="E855" s="29">
        <v>400</v>
      </c>
      <c r="G855" s="29" t="s">
        <v>292</v>
      </c>
      <c r="H855" s="29">
        <v>1</v>
      </c>
      <c r="I855" s="29">
        <v>9.9600000000000009</v>
      </c>
      <c r="J855" s="29">
        <v>3.9840000000000004</v>
      </c>
      <c r="K855" s="29">
        <v>3.9840000000000004</v>
      </c>
      <c r="L855" s="29" t="s">
        <v>383</v>
      </c>
      <c r="M855" s="29">
        <v>1</v>
      </c>
      <c r="N855" s="29">
        <v>0.4</v>
      </c>
      <c r="O855" s="29">
        <v>1</v>
      </c>
      <c r="P855" s="29">
        <v>3.9840000000000004</v>
      </c>
      <c r="Q855" s="29" t="s">
        <v>384</v>
      </c>
    </row>
    <row r="856" spans="1:17" x14ac:dyDescent="0.3">
      <c r="B856" s="29">
        <v>2</v>
      </c>
      <c r="C856" s="29" t="s">
        <v>387</v>
      </c>
      <c r="D856" s="29" t="s">
        <v>1045</v>
      </c>
      <c r="E856" s="29">
        <v>400</v>
      </c>
      <c r="G856" s="29" t="s">
        <v>292</v>
      </c>
      <c r="H856" s="29">
        <v>1</v>
      </c>
      <c r="I856" s="29">
        <v>9.9600000000000009</v>
      </c>
      <c r="J856" s="29">
        <v>3.9840000000000004</v>
      </c>
      <c r="K856" s="29">
        <v>3.9840000000000004</v>
      </c>
      <c r="L856" s="29" t="s">
        <v>383</v>
      </c>
      <c r="M856" s="29">
        <v>1</v>
      </c>
      <c r="N856" s="29">
        <v>0.4</v>
      </c>
      <c r="O856" s="29">
        <v>1</v>
      </c>
      <c r="P856" s="29">
        <v>3.9840000000000004</v>
      </c>
      <c r="Q856" s="29" t="s">
        <v>384</v>
      </c>
    </row>
    <row r="857" spans="1:17" x14ac:dyDescent="0.3">
      <c r="A857" s="29" t="s">
        <v>615</v>
      </c>
      <c r="B857" s="29">
        <v>1</v>
      </c>
      <c r="C857" s="29" t="s">
        <v>387</v>
      </c>
      <c r="D857" s="29" t="s">
        <v>1045</v>
      </c>
      <c r="E857" s="29">
        <v>400</v>
      </c>
      <c r="G857" s="29" t="s">
        <v>292</v>
      </c>
      <c r="H857" s="29">
        <v>1</v>
      </c>
      <c r="I857" s="29">
        <v>9.9600000000000009</v>
      </c>
      <c r="J857" s="29">
        <v>3.9840000000000004</v>
      </c>
      <c r="K857" s="29">
        <v>3.9840000000000004</v>
      </c>
      <c r="L857" s="29" t="s">
        <v>383</v>
      </c>
      <c r="M857" s="29">
        <v>1</v>
      </c>
      <c r="N857" s="29">
        <v>0.4</v>
      </c>
      <c r="O857" s="29">
        <v>1</v>
      </c>
      <c r="P857" s="29">
        <v>3.9840000000000004</v>
      </c>
      <c r="Q857" s="29" t="s">
        <v>384</v>
      </c>
    </row>
    <row r="858" spans="1:17" x14ac:dyDescent="0.3">
      <c r="B858" s="29">
        <v>2</v>
      </c>
      <c r="C858" s="29" t="s">
        <v>387</v>
      </c>
      <c r="D858" s="29" t="s">
        <v>1045</v>
      </c>
      <c r="E858" s="29">
        <v>400</v>
      </c>
      <c r="G858" s="29" t="s">
        <v>292</v>
      </c>
      <c r="H858" s="29">
        <v>1</v>
      </c>
      <c r="I858" s="29">
        <v>9.9600000000000009</v>
      </c>
      <c r="J858" s="29">
        <v>3.9840000000000004</v>
      </c>
      <c r="K858" s="29">
        <v>3.9840000000000004</v>
      </c>
      <c r="L858" s="29" t="s">
        <v>383</v>
      </c>
      <c r="M858" s="29">
        <v>1</v>
      </c>
      <c r="N858" s="29">
        <v>0.4</v>
      </c>
      <c r="O858" s="29">
        <v>1</v>
      </c>
      <c r="P858" s="29">
        <v>3.9840000000000004</v>
      </c>
      <c r="Q858" s="29" t="s">
        <v>384</v>
      </c>
    </row>
    <row r="859" spans="1:17" x14ac:dyDescent="0.3">
      <c r="A859" s="29" t="s">
        <v>616</v>
      </c>
      <c r="B859" s="29">
        <v>1</v>
      </c>
      <c r="C859" s="29" t="s">
        <v>387</v>
      </c>
      <c r="D859" s="29" t="s">
        <v>1045</v>
      </c>
      <c r="E859" s="29">
        <v>500</v>
      </c>
      <c r="G859" s="29" t="s">
        <v>292</v>
      </c>
      <c r="H859" s="29">
        <v>1</v>
      </c>
      <c r="I859" s="29">
        <v>9.9600000000000009</v>
      </c>
      <c r="J859" s="29">
        <v>4.9800000000000004</v>
      </c>
      <c r="K859" s="29">
        <v>4.9800000000000004</v>
      </c>
      <c r="L859" s="29" t="s">
        <v>383</v>
      </c>
      <c r="M859" s="29">
        <v>1</v>
      </c>
      <c r="N859" s="29">
        <v>0.5</v>
      </c>
      <c r="O859" s="29">
        <v>1</v>
      </c>
      <c r="P859" s="29">
        <v>4.9800000000000004</v>
      </c>
      <c r="Q859" s="29" t="s">
        <v>384</v>
      </c>
    </row>
    <row r="860" spans="1:17" x14ac:dyDescent="0.3">
      <c r="B860" s="29">
        <v>2</v>
      </c>
      <c r="C860" s="29" t="s">
        <v>387</v>
      </c>
      <c r="D860" s="29" t="s">
        <v>1045</v>
      </c>
      <c r="E860" s="29">
        <v>500</v>
      </c>
      <c r="G860" s="29" t="s">
        <v>292</v>
      </c>
      <c r="H860" s="29">
        <v>1</v>
      </c>
      <c r="I860" s="29">
        <v>9.9600000000000009</v>
      </c>
      <c r="J860" s="29">
        <v>4.9800000000000004</v>
      </c>
      <c r="K860" s="29">
        <v>4.9800000000000004</v>
      </c>
      <c r="L860" s="29" t="s">
        <v>383</v>
      </c>
      <c r="M860" s="29">
        <v>1</v>
      </c>
      <c r="N860" s="29">
        <v>0.5</v>
      </c>
      <c r="O860" s="29">
        <v>1</v>
      </c>
      <c r="P860" s="29">
        <v>4.9800000000000004</v>
      </c>
      <c r="Q860" s="29" t="s">
        <v>384</v>
      </c>
    </row>
    <row r="861" spans="1:17" x14ac:dyDescent="0.3">
      <c r="A861" s="29" t="s">
        <v>617</v>
      </c>
      <c r="B861" s="29">
        <v>1</v>
      </c>
      <c r="C861" s="29" t="s">
        <v>387</v>
      </c>
      <c r="D861" s="29" t="s">
        <v>1045</v>
      </c>
      <c r="E861" s="29">
        <v>700</v>
      </c>
      <c r="G861" s="29" t="s">
        <v>292</v>
      </c>
      <c r="H861" s="29">
        <v>1</v>
      </c>
      <c r="I861" s="29">
        <v>9.9600000000000009</v>
      </c>
      <c r="J861" s="29">
        <v>6.9720000000000004</v>
      </c>
      <c r="K861" s="29">
        <v>6.9720000000000004</v>
      </c>
      <c r="L861" s="29" t="s">
        <v>383</v>
      </c>
      <c r="M861" s="29">
        <v>1</v>
      </c>
      <c r="N861" s="29">
        <v>0.7</v>
      </c>
      <c r="O861" s="29">
        <v>1</v>
      </c>
      <c r="P861" s="29">
        <v>6.9720000000000004</v>
      </c>
      <c r="Q861" s="29" t="s">
        <v>384</v>
      </c>
    </row>
    <row r="862" spans="1:17" x14ac:dyDescent="0.3">
      <c r="B862" s="29">
        <v>2</v>
      </c>
      <c r="C862" s="29" t="s">
        <v>387</v>
      </c>
      <c r="D862" s="29" t="s">
        <v>1045</v>
      </c>
      <c r="E862" s="29">
        <v>500</v>
      </c>
      <c r="G862" s="29" t="s">
        <v>292</v>
      </c>
      <c r="H862" s="29">
        <v>1</v>
      </c>
      <c r="I862" s="29">
        <v>9.9600000000000009</v>
      </c>
      <c r="J862" s="29">
        <v>4.9800000000000004</v>
      </c>
      <c r="K862" s="29">
        <v>4.9800000000000004</v>
      </c>
      <c r="L862" s="29" t="s">
        <v>383</v>
      </c>
      <c r="M862" s="29">
        <v>1</v>
      </c>
      <c r="N862" s="29">
        <v>0.5</v>
      </c>
      <c r="O862" s="29">
        <v>1</v>
      </c>
      <c r="P862" s="29">
        <v>4.9800000000000004</v>
      </c>
      <c r="Q862" s="29" t="s">
        <v>384</v>
      </c>
    </row>
    <row r="863" spans="1:17" x14ac:dyDescent="0.3">
      <c r="A863" s="29" t="s">
        <v>618</v>
      </c>
      <c r="B863" s="29">
        <v>1</v>
      </c>
      <c r="C863" s="29" t="s">
        <v>387</v>
      </c>
      <c r="D863" s="29" t="s">
        <v>1045</v>
      </c>
      <c r="E863" s="29">
        <v>700</v>
      </c>
      <c r="G863" s="29" t="s">
        <v>292</v>
      </c>
      <c r="H863" s="29">
        <v>1</v>
      </c>
      <c r="I863" s="29">
        <v>9.9600000000000009</v>
      </c>
      <c r="J863" s="29">
        <v>6.9720000000000004</v>
      </c>
      <c r="K863" s="29">
        <v>6.9720000000000004</v>
      </c>
      <c r="L863" s="29" t="s">
        <v>383</v>
      </c>
      <c r="M863" s="29">
        <v>1</v>
      </c>
      <c r="N863" s="29">
        <v>0.7</v>
      </c>
      <c r="O863" s="29">
        <v>1</v>
      </c>
      <c r="P863" s="29">
        <v>6.9720000000000004</v>
      </c>
      <c r="Q863" s="29" t="s">
        <v>384</v>
      </c>
    </row>
    <row r="864" spans="1:17" x14ac:dyDescent="0.3">
      <c r="B864" s="29">
        <v>2</v>
      </c>
      <c r="C864" s="29" t="s">
        <v>387</v>
      </c>
      <c r="D864" s="29" t="s">
        <v>1045</v>
      </c>
      <c r="E864" s="29">
        <v>500</v>
      </c>
      <c r="G864" s="29" t="s">
        <v>292</v>
      </c>
      <c r="H864" s="29">
        <v>1</v>
      </c>
      <c r="I864" s="29">
        <v>9.9600000000000009</v>
      </c>
      <c r="J864" s="29">
        <v>4.9800000000000004</v>
      </c>
      <c r="K864" s="29">
        <v>4.9800000000000004</v>
      </c>
      <c r="L864" s="29" t="s">
        <v>383</v>
      </c>
      <c r="M864" s="29">
        <v>1</v>
      </c>
      <c r="N864" s="29">
        <v>0.5</v>
      </c>
      <c r="O864" s="29">
        <v>1</v>
      </c>
      <c r="P864" s="29">
        <v>4.9800000000000004</v>
      </c>
      <c r="Q864" s="29" t="s">
        <v>384</v>
      </c>
    </row>
    <row r="865" spans="1:17" x14ac:dyDescent="0.3">
      <c r="A865" s="29" t="s">
        <v>619</v>
      </c>
      <c r="B865" s="29">
        <v>1</v>
      </c>
      <c r="C865" s="29" t="s">
        <v>387</v>
      </c>
      <c r="D865" s="29" t="s">
        <v>1045</v>
      </c>
      <c r="E865" s="29">
        <v>900</v>
      </c>
      <c r="G865" s="29" t="s">
        <v>292</v>
      </c>
      <c r="H865" s="29">
        <v>1</v>
      </c>
      <c r="I865" s="29">
        <v>9.9600000000000009</v>
      </c>
      <c r="J865" s="29">
        <v>8.9640000000000004</v>
      </c>
      <c r="K865" s="29">
        <v>8.9640000000000004</v>
      </c>
      <c r="L865" s="29" t="s">
        <v>383</v>
      </c>
      <c r="M865" s="29">
        <v>1</v>
      </c>
      <c r="N865" s="29">
        <v>0.9</v>
      </c>
      <c r="O865" s="29">
        <v>1</v>
      </c>
      <c r="P865" s="29">
        <v>8.9640000000000004</v>
      </c>
      <c r="Q865" s="29" t="s">
        <v>384</v>
      </c>
    </row>
    <row r="866" spans="1:17" x14ac:dyDescent="0.3">
      <c r="B866" s="29">
        <v>2</v>
      </c>
      <c r="C866" s="29" t="s">
        <v>387</v>
      </c>
      <c r="D866" s="29" t="s">
        <v>1045</v>
      </c>
      <c r="E866" s="29">
        <v>500</v>
      </c>
      <c r="G866" s="29" t="s">
        <v>292</v>
      </c>
      <c r="H866" s="29">
        <v>1</v>
      </c>
      <c r="I866" s="29">
        <v>9.9600000000000009</v>
      </c>
      <c r="J866" s="29">
        <v>4.9800000000000004</v>
      </c>
      <c r="K866" s="29">
        <v>4.9800000000000004</v>
      </c>
      <c r="L866" s="29" t="s">
        <v>383</v>
      </c>
      <c r="M866" s="29">
        <v>1</v>
      </c>
      <c r="N866" s="29">
        <v>0.5</v>
      </c>
      <c r="O866" s="29">
        <v>1</v>
      </c>
      <c r="P866" s="29">
        <v>4.9800000000000004</v>
      </c>
      <c r="Q866" s="29" t="s">
        <v>384</v>
      </c>
    </row>
    <row r="867" spans="1:17" x14ac:dyDescent="0.3">
      <c r="A867" s="29" t="s">
        <v>620</v>
      </c>
      <c r="B867" s="29">
        <v>1</v>
      </c>
      <c r="C867" s="29" t="s">
        <v>387</v>
      </c>
      <c r="D867" s="29" t="s">
        <v>1045</v>
      </c>
      <c r="E867" s="29">
        <v>300</v>
      </c>
      <c r="G867" s="29" t="s">
        <v>292</v>
      </c>
      <c r="H867" s="29">
        <v>1</v>
      </c>
      <c r="I867" s="29">
        <v>9.9600000000000009</v>
      </c>
      <c r="J867" s="29">
        <v>2.988</v>
      </c>
      <c r="K867" s="29">
        <v>2.988</v>
      </c>
      <c r="L867" s="29" t="s">
        <v>383</v>
      </c>
      <c r="M867" s="29">
        <v>1</v>
      </c>
      <c r="N867" s="29">
        <v>0.3</v>
      </c>
      <c r="O867" s="29">
        <v>1</v>
      </c>
      <c r="P867" s="29">
        <v>2.988</v>
      </c>
      <c r="Q867" s="29" t="s">
        <v>384</v>
      </c>
    </row>
    <row r="868" spans="1:17" x14ac:dyDescent="0.3">
      <c r="B868" s="29">
        <v>2</v>
      </c>
      <c r="C868" s="29" t="s">
        <v>387</v>
      </c>
      <c r="D868" s="29" t="s">
        <v>1045</v>
      </c>
      <c r="E868" s="29">
        <v>600</v>
      </c>
      <c r="G868" s="29" t="s">
        <v>292</v>
      </c>
      <c r="H868" s="29">
        <v>1</v>
      </c>
      <c r="I868" s="29">
        <v>9.9600000000000009</v>
      </c>
      <c r="J868" s="29">
        <v>5.976</v>
      </c>
      <c r="K868" s="29">
        <v>5.976</v>
      </c>
      <c r="L868" s="29" t="s">
        <v>383</v>
      </c>
      <c r="M868" s="29">
        <v>1</v>
      </c>
      <c r="N868" s="29">
        <v>0.6</v>
      </c>
      <c r="O868" s="29">
        <v>1</v>
      </c>
      <c r="P868" s="29">
        <v>5.976</v>
      </c>
      <c r="Q868" s="29" t="s">
        <v>384</v>
      </c>
    </row>
    <row r="869" spans="1:17" x14ac:dyDescent="0.3">
      <c r="A869" s="29" t="s">
        <v>621</v>
      </c>
      <c r="B869" s="29">
        <v>1</v>
      </c>
      <c r="C869" s="29" t="s">
        <v>387</v>
      </c>
      <c r="D869" s="29" t="s">
        <v>1045</v>
      </c>
      <c r="E869" s="29">
        <v>400</v>
      </c>
      <c r="G869" s="29" t="s">
        <v>292</v>
      </c>
      <c r="H869" s="29">
        <v>1</v>
      </c>
      <c r="I869" s="29">
        <v>9.9600000000000009</v>
      </c>
      <c r="J869" s="29">
        <v>3.9840000000000004</v>
      </c>
      <c r="K869" s="29">
        <v>3.9840000000000004</v>
      </c>
      <c r="L869" s="29" t="s">
        <v>383</v>
      </c>
      <c r="M869" s="29">
        <v>1</v>
      </c>
      <c r="N869" s="29">
        <v>0.4</v>
      </c>
      <c r="O869" s="29">
        <v>1</v>
      </c>
      <c r="P869" s="29">
        <v>3.9840000000000004</v>
      </c>
      <c r="Q869" s="29" t="s">
        <v>384</v>
      </c>
    </row>
    <row r="870" spans="1:17" x14ac:dyDescent="0.3">
      <c r="B870" s="29">
        <v>2</v>
      </c>
      <c r="C870" s="29" t="s">
        <v>387</v>
      </c>
      <c r="D870" s="29" t="s">
        <v>1045</v>
      </c>
      <c r="E870" s="29">
        <v>600</v>
      </c>
      <c r="G870" s="29" t="s">
        <v>292</v>
      </c>
      <c r="H870" s="29">
        <v>1</v>
      </c>
      <c r="I870" s="29">
        <v>9.9600000000000009</v>
      </c>
      <c r="J870" s="29">
        <v>5.976</v>
      </c>
      <c r="K870" s="29">
        <v>5.976</v>
      </c>
      <c r="L870" s="29" t="s">
        <v>383</v>
      </c>
      <c r="M870" s="29">
        <v>1</v>
      </c>
      <c r="N870" s="29">
        <v>0.6</v>
      </c>
      <c r="O870" s="29">
        <v>1</v>
      </c>
      <c r="P870" s="29">
        <v>5.976</v>
      </c>
      <c r="Q870" s="29" t="s">
        <v>384</v>
      </c>
    </row>
    <row r="871" spans="1:17" x14ac:dyDescent="0.3">
      <c r="A871" s="29" t="s">
        <v>622</v>
      </c>
      <c r="B871" s="29">
        <v>1</v>
      </c>
      <c r="C871" s="29" t="s">
        <v>387</v>
      </c>
      <c r="D871" s="29" t="s">
        <v>1045</v>
      </c>
      <c r="E871" s="29">
        <v>500</v>
      </c>
      <c r="G871" s="29" t="s">
        <v>292</v>
      </c>
      <c r="H871" s="29">
        <v>1</v>
      </c>
      <c r="I871" s="29">
        <v>9.9600000000000009</v>
      </c>
      <c r="J871" s="29">
        <v>4.9800000000000004</v>
      </c>
      <c r="K871" s="29">
        <v>4.9800000000000004</v>
      </c>
      <c r="L871" s="29" t="s">
        <v>383</v>
      </c>
      <c r="M871" s="29">
        <v>1</v>
      </c>
      <c r="N871" s="29">
        <v>0.5</v>
      </c>
      <c r="O871" s="29">
        <v>1</v>
      </c>
      <c r="P871" s="29">
        <v>4.9800000000000004</v>
      </c>
      <c r="Q871" s="29" t="s">
        <v>384</v>
      </c>
    </row>
    <row r="872" spans="1:17" x14ac:dyDescent="0.3">
      <c r="B872" s="29">
        <v>2</v>
      </c>
      <c r="C872" s="29" t="s">
        <v>387</v>
      </c>
      <c r="D872" s="29" t="s">
        <v>1045</v>
      </c>
      <c r="E872" s="29">
        <v>600</v>
      </c>
      <c r="G872" s="29" t="s">
        <v>292</v>
      </c>
      <c r="H872" s="29">
        <v>1</v>
      </c>
      <c r="I872" s="29">
        <v>9.9600000000000009</v>
      </c>
      <c r="J872" s="29">
        <v>5.976</v>
      </c>
      <c r="K872" s="29">
        <v>5.976</v>
      </c>
      <c r="L872" s="29" t="s">
        <v>383</v>
      </c>
      <c r="M872" s="29">
        <v>1</v>
      </c>
      <c r="N872" s="29">
        <v>0.6</v>
      </c>
      <c r="O872" s="29">
        <v>1</v>
      </c>
      <c r="P872" s="29">
        <v>5.976</v>
      </c>
      <c r="Q872" s="29" t="s">
        <v>384</v>
      </c>
    </row>
    <row r="873" spans="1:17" x14ac:dyDescent="0.3">
      <c r="A873" s="29" t="s">
        <v>623</v>
      </c>
      <c r="B873" s="29">
        <v>1</v>
      </c>
      <c r="C873" s="29" t="s">
        <v>387</v>
      </c>
      <c r="D873" s="29" t="s">
        <v>1045</v>
      </c>
      <c r="E873" s="29">
        <v>700</v>
      </c>
      <c r="G873" s="29" t="s">
        <v>292</v>
      </c>
      <c r="H873" s="29">
        <v>1</v>
      </c>
      <c r="I873" s="29">
        <v>9.9600000000000009</v>
      </c>
      <c r="J873" s="29">
        <v>6.9720000000000004</v>
      </c>
      <c r="K873" s="29">
        <v>6.9720000000000004</v>
      </c>
      <c r="L873" s="29" t="s">
        <v>383</v>
      </c>
      <c r="M873" s="29">
        <v>1</v>
      </c>
      <c r="N873" s="29">
        <v>0.7</v>
      </c>
      <c r="O873" s="29">
        <v>1</v>
      </c>
      <c r="P873" s="29">
        <v>6.9720000000000004</v>
      </c>
      <c r="Q873" s="29" t="s">
        <v>384</v>
      </c>
    </row>
    <row r="874" spans="1:17" x14ac:dyDescent="0.3">
      <c r="B874" s="29">
        <v>2</v>
      </c>
      <c r="C874" s="29" t="s">
        <v>387</v>
      </c>
      <c r="D874" s="29" t="s">
        <v>1045</v>
      </c>
      <c r="E874" s="29">
        <v>600</v>
      </c>
      <c r="G874" s="29" t="s">
        <v>292</v>
      </c>
      <c r="H874" s="29">
        <v>1</v>
      </c>
      <c r="I874" s="29">
        <v>9.9600000000000009</v>
      </c>
      <c r="J874" s="29">
        <v>5.976</v>
      </c>
      <c r="K874" s="29">
        <v>5.976</v>
      </c>
      <c r="L874" s="29" t="s">
        <v>383</v>
      </c>
      <c r="M874" s="29">
        <v>1</v>
      </c>
      <c r="N874" s="29">
        <v>0.6</v>
      </c>
      <c r="O874" s="29">
        <v>1</v>
      </c>
      <c r="P874" s="29">
        <v>5.976</v>
      </c>
      <c r="Q874" s="29" t="s">
        <v>384</v>
      </c>
    </row>
    <row r="875" spans="1:17" x14ac:dyDescent="0.3">
      <c r="A875" s="29" t="s">
        <v>624</v>
      </c>
      <c r="B875" s="29">
        <v>1</v>
      </c>
      <c r="C875" s="29" t="s">
        <v>387</v>
      </c>
      <c r="D875" s="29" t="s">
        <v>1045</v>
      </c>
      <c r="E875" s="29">
        <v>900</v>
      </c>
      <c r="G875" s="29" t="s">
        <v>292</v>
      </c>
      <c r="H875" s="29">
        <v>1</v>
      </c>
      <c r="I875" s="29">
        <v>9.9600000000000009</v>
      </c>
      <c r="J875" s="29">
        <v>8.9640000000000004</v>
      </c>
      <c r="K875" s="29">
        <v>8.9640000000000004</v>
      </c>
      <c r="L875" s="29" t="s">
        <v>383</v>
      </c>
      <c r="M875" s="29">
        <v>1</v>
      </c>
      <c r="N875" s="29">
        <v>0.9</v>
      </c>
      <c r="O875" s="29">
        <v>1</v>
      </c>
      <c r="P875" s="29">
        <v>8.9640000000000004</v>
      </c>
      <c r="Q875" s="29" t="s">
        <v>384</v>
      </c>
    </row>
    <row r="876" spans="1:17" x14ac:dyDescent="0.3">
      <c r="B876" s="29">
        <v>2</v>
      </c>
      <c r="C876" s="29" t="s">
        <v>387</v>
      </c>
      <c r="D876" s="29" t="s">
        <v>1045</v>
      </c>
      <c r="E876" s="29">
        <v>600</v>
      </c>
      <c r="G876" s="29" t="s">
        <v>292</v>
      </c>
      <c r="H876" s="29">
        <v>1</v>
      </c>
      <c r="I876" s="29">
        <v>9.9600000000000009</v>
      </c>
      <c r="J876" s="29">
        <v>5.976</v>
      </c>
      <c r="K876" s="29">
        <v>5.976</v>
      </c>
      <c r="L876" s="29" t="s">
        <v>383</v>
      </c>
      <c r="M876" s="29">
        <v>1</v>
      </c>
      <c r="N876" s="29">
        <v>0.6</v>
      </c>
      <c r="O876" s="29">
        <v>1</v>
      </c>
      <c r="P876" s="29">
        <v>5.976</v>
      </c>
      <c r="Q876" s="29" t="s">
        <v>384</v>
      </c>
    </row>
    <row r="877" spans="1:17" x14ac:dyDescent="0.3">
      <c r="A877" s="29" t="s">
        <v>625</v>
      </c>
      <c r="B877" s="29">
        <v>1</v>
      </c>
      <c r="C877" s="29" t="s">
        <v>387</v>
      </c>
      <c r="D877" s="29" t="s">
        <v>1045</v>
      </c>
      <c r="E877" s="29">
        <v>1000</v>
      </c>
      <c r="G877" s="29" t="s">
        <v>292</v>
      </c>
      <c r="H877" s="29">
        <v>1</v>
      </c>
      <c r="I877" s="29">
        <v>9.9600000000000009</v>
      </c>
      <c r="J877" s="29">
        <v>9.9600000000000009</v>
      </c>
      <c r="K877" s="29">
        <v>9.9600000000000009</v>
      </c>
      <c r="L877" s="29" t="s">
        <v>383</v>
      </c>
      <c r="M877" s="29">
        <v>1</v>
      </c>
      <c r="N877" s="29">
        <v>1</v>
      </c>
      <c r="O877" s="29">
        <v>1</v>
      </c>
      <c r="P877" s="29">
        <v>9.9600000000000009</v>
      </c>
      <c r="Q877" s="29" t="s">
        <v>384</v>
      </c>
    </row>
    <row r="878" spans="1:17" x14ac:dyDescent="0.3">
      <c r="B878" s="29">
        <v>2</v>
      </c>
      <c r="C878" s="29" t="s">
        <v>387</v>
      </c>
      <c r="D878" s="30" t="s">
        <v>1045</v>
      </c>
      <c r="E878" s="29">
        <v>700</v>
      </c>
      <c r="G878" s="29" t="s">
        <v>292</v>
      </c>
      <c r="H878" s="29">
        <v>1</v>
      </c>
      <c r="I878" s="29">
        <v>9.9600000000000009</v>
      </c>
      <c r="J878" s="29">
        <v>6.9720000000000004</v>
      </c>
      <c r="K878" s="29">
        <v>6.9720000000000004</v>
      </c>
      <c r="L878" s="29" t="s">
        <v>383</v>
      </c>
      <c r="M878" s="29">
        <v>1</v>
      </c>
      <c r="N878" s="29">
        <v>0.7</v>
      </c>
      <c r="O878" s="29">
        <v>1</v>
      </c>
      <c r="P878" s="29">
        <v>6.9720000000000004</v>
      </c>
      <c r="Q878" s="29" t="s">
        <v>384</v>
      </c>
    </row>
    <row r="879" spans="1:17" x14ac:dyDescent="0.3">
      <c r="A879" s="29" t="s">
        <v>626</v>
      </c>
      <c r="B879" s="29">
        <v>1</v>
      </c>
      <c r="C879" s="29" t="s">
        <v>387</v>
      </c>
      <c r="D879" s="29" t="s">
        <v>1045</v>
      </c>
      <c r="E879" s="29">
        <v>500</v>
      </c>
      <c r="G879" s="29" t="s">
        <v>292</v>
      </c>
      <c r="H879" s="29">
        <v>1</v>
      </c>
      <c r="I879" s="29">
        <v>9.9600000000000009</v>
      </c>
      <c r="J879" s="29">
        <v>4.9800000000000004</v>
      </c>
      <c r="K879" s="29">
        <v>4.9800000000000004</v>
      </c>
      <c r="L879" s="29" t="s">
        <v>383</v>
      </c>
      <c r="M879" s="29">
        <v>1</v>
      </c>
      <c r="N879" s="29">
        <v>0.5</v>
      </c>
      <c r="O879" s="29">
        <v>1</v>
      </c>
      <c r="P879" s="29">
        <v>4.9800000000000004</v>
      </c>
      <c r="Q879" s="29" t="s">
        <v>384</v>
      </c>
    </row>
    <row r="880" spans="1:17" x14ac:dyDescent="0.3">
      <c r="B880" s="29">
        <v>2</v>
      </c>
      <c r="C880" s="29" t="s">
        <v>387</v>
      </c>
      <c r="D880" s="29" t="s">
        <v>1045</v>
      </c>
      <c r="E880" s="29">
        <v>800</v>
      </c>
      <c r="G880" s="29" t="s">
        <v>292</v>
      </c>
      <c r="H880" s="29">
        <v>1</v>
      </c>
      <c r="I880" s="29">
        <v>9.9600000000000009</v>
      </c>
      <c r="J880" s="29">
        <v>7.9680000000000009</v>
      </c>
      <c r="K880" s="29">
        <v>7.9680000000000009</v>
      </c>
      <c r="L880" s="29" t="s">
        <v>383</v>
      </c>
      <c r="M880" s="29">
        <v>1</v>
      </c>
      <c r="N880" s="29">
        <v>0.8</v>
      </c>
      <c r="O880" s="29">
        <v>1</v>
      </c>
      <c r="P880" s="29">
        <v>7.9680000000000009</v>
      </c>
      <c r="Q880" s="29" t="s">
        <v>384</v>
      </c>
    </row>
    <row r="881" spans="1:17" x14ac:dyDescent="0.3">
      <c r="A881" s="29" t="s">
        <v>627</v>
      </c>
      <c r="B881" s="29">
        <v>1</v>
      </c>
      <c r="C881" s="29" t="s">
        <v>387</v>
      </c>
      <c r="D881" s="29" t="s">
        <v>1045</v>
      </c>
      <c r="E881" s="29">
        <v>700</v>
      </c>
      <c r="G881" s="29" t="s">
        <v>292</v>
      </c>
      <c r="H881" s="29">
        <v>1</v>
      </c>
      <c r="I881" s="29">
        <v>9.9600000000000009</v>
      </c>
      <c r="J881" s="29">
        <v>6.9720000000000004</v>
      </c>
      <c r="K881" s="29">
        <v>6.9720000000000004</v>
      </c>
      <c r="L881" s="29" t="s">
        <v>383</v>
      </c>
      <c r="M881" s="29">
        <v>1</v>
      </c>
      <c r="N881" s="29">
        <v>0.7</v>
      </c>
      <c r="O881" s="29">
        <v>1</v>
      </c>
      <c r="P881" s="29">
        <v>6.9720000000000004</v>
      </c>
      <c r="Q881" s="29" t="s">
        <v>384</v>
      </c>
    </row>
    <row r="882" spans="1:17" x14ac:dyDescent="0.3">
      <c r="B882" s="29">
        <v>2</v>
      </c>
      <c r="C882" s="29" t="s">
        <v>387</v>
      </c>
      <c r="D882" s="30" t="s">
        <v>1045</v>
      </c>
      <c r="E882" s="29">
        <v>900</v>
      </c>
      <c r="G882" s="29" t="s">
        <v>292</v>
      </c>
      <c r="H882" s="29">
        <v>1</v>
      </c>
      <c r="I882" s="29">
        <v>9.9600000000000009</v>
      </c>
      <c r="J882" s="29">
        <v>8.9640000000000004</v>
      </c>
      <c r="K882" s="29">
        <v>8.9640000000000004</v>
      </c>
      <c r="L882" s="29" t="s">
        <v>383</v>
      </c>
      <c r="M882" s="29">
        <v>1</v>
      </c>
      <c r="N882" s="29">
        <v>0.9</v>
      </c>
      <c r="O882" s="29">
        <v>1</v>
      </c>
      <c r="P882" s="29">
        <v>8.9640000000000004</v>
      </c>
      <c r="Q882" s="29" t="s">
        <v>384</v>
      </c>
    </row>
    <row r="883" spans="1:17" x14ac:dyDescent="0.3">
      <c r="A883" s="29" t="s">
        <v>628</v>
      </c>
      <c r="B883" s="29">
        <v>1</v>
      </c>
      <c r="C883" s="29" t="s">
        <v>387</v>
      </c>
      <c r="D883" s="29" t="s">
        <v>1045</v>
      </c>
      <c r="E883" s="29">
        <v>600</v>
      </c>
      <c r="G883" s="29" t="s">
        <v>292</v>
      </c>
      <c r="H883" s="29">
        <v>1</v>
      </c>
      <c r="I883" s="29">
        <v>9.9600000000000009</v>
      </c>
      <c r="J883" s="29">
        <v>5.976</v>
      </c>
      <c r="K883" s="29">
        <v>5.976</v>
      </c>
      <c r="L883" s="29" t="s">
        <v>383</v>
      </c>
      <c r="M883" s="29">
        <v>1</v>
      </c>
      <c r="N883" s="29">
        <v>0.6</v>
      </c>
      <c r="O883" s="29">
        <v>1</v>
      </c>
      <c r="P883" s="29">
        <v>5.976</v>
      </c>
      <c r="Q883" s="29" t="s">
        <v>384</v>
      </c>
    </row>
    <row r="884" spans="1:17" x14ac:dyDescent="0.3">
      <c r="B884" s="29">
        <v>2</v>
      </c>
      <c r="C884" s="29" t="s">
        <v>387</v>
      </c>
      <c r="D884" s="29" t="s">
        <v>1045</v>
      </c>
      <c r="E884" s="29">
        <v>500</v>
      </c>
      <c r="G884" s="29" t="s">
        <v>292</v>
      </c>
      <c r="H884" s="29">
        <v>1</v>
      </c>
      <c r="I884" s="29">
        <v>9.9600000000000009</v>
      </c>
      <c r="J884" s="29">
        <v>4.9800000000000004</v>
      </c>
      <c r="K884" s="29">
        <v>4.9800000000000004</v>
      </c>
      <c r="L884" s="29" t="s">
        <v>383</v>
      </c>
      <c r="M884" s="29">
        <v>1</v>
      </c>
      <c r="N884" s="29">
        <v>0.5</v>
      </c>
      <c r="O884" s="29">
        <v>1</v>
      </c>
      <c r="P884" s="29">
        <v>4.9800000000000004</v>
      </c>
      <c r="Q884" s="29" t="s">
        <v>384</v>
      </c>
    </row>
    <row r="885" spans="1:17" x14ac:dyDescent="0.3">
      <c r="A885" s="29" t="s">
        <v>629</v>
      </c>
      <c r="B885" s="29">
        <v>1</v>
      </c>
      <c r="C885" s="29" t="s">
        <v>387</v>
      </c>
      <c r="D885" s="29" t="s">
        <v>1045</v>
      </c>
      <c r="E885" s="29">
        <v>1400</v>
      </c>
      <c r="G885" s="29" t="s">
        <v>292</v>
      </c>
      <c r="H885" s="29">
        <v>1</v>
      </c>
      <c r="I885" s="29">
        <v>9.9600000000000009</v>
      </c>
      <c r="J885" s="29">
        <v>13.944000000000001</v>
      </c>
      <c r="K885" s="29">
        <v>13.944000000000001</v>
      </c>
      <c r="L885" s="29" t="s">
        <v>383</v>
      </c>
      <c r="M885" s="29">
        <v>1</v>
      </c>
      <c r="N885" s="29">
        <v>1.4</v>
      </c>
      <c r="O885" s="29">
        <v>1</v>
      </c>
      <c r="P885" s="29">
        <v>13.944000000000001</v>
      </c>
      <c r="Q885" s="29" t="s">
        <v>384</v>
      </c>
    </row>
    <row r="886" spans="1:17" x14ac:dyDescent="0.3">
      <c r="B886" s="29">
        <v>2</v>
      </c>
      <c r="C886" s="29" t="s">
        <v>387</v>
      </c>
      <c r="D886" s="30" t="s">
        <v>1045</v>
      </c>
      <c r="E886" s="29">
        <v>500</v>
      </c>
      <c r="G886" s="29" t="s">
        <v>292</v>
      </c>
      <c r="H886" s="29">
        <v>1</v>
      </c>
      <c r="I886" s="29">
        <v>9.9600000000000009</v>
      </c>
      <c r="J886" s="29">
        <v>4.9800000000000004</v>
      </c>
      <c r="K886" s="29">
        <v>4.9800000000000004</v>
      </c>
      <c r="L886" s="29" t="s">
        <v>383</v>
      </c>
      <c r="M886" s="29">
        <v>1</v>
      </c>
      <c r="N886" s="29">
        <v>0.5</v>
      </c>
      <c r="O886" s="29">
        <v>1</v>
      </c>
      <c r="P886" s="29">
        <v>4.9800000000000004</v>
      </c>
      <c r="Q886" s="29" t="s">
        <v>384</v>
      </c>
    </row>
    <row r="887" spans="1:17" x14ac:dyDescent="0.3">
      <c r="A887" s="29" t="s">
        <v>630</v>
      </c>
      <c r="B887" s="29">
        <v>1</v>
      </c>
      <c r="C887" s="29" t="s">
        <v>387</v>
      </c>
      <c r="D887" s="30" t="s">
        <v>1045</v>
      </c>
      <c r="E887" s="29">
        <v>800</v>
      </c>
      <c r="G887" s="29" t="s">
        <v>292</v>
      </c>
      <c r="H887" s="29">
        <v>1</v>
      </c>
      <c r="I887" s="29">
        <v>9.9600000000000009</v>
      </c>
      <c r="J887" s="29">
        <v>7.9680000000000009</v>
      </c>
      <c r="K887" s="29">
        <v>7.9680000000000009</v>
      </c>
      <c r="L887" s="29" t="s">
        <v>383</v>
      </c>
      <c r="M887" s="29">
        <v>1</v>
      </c>
      <c r="N887" s="29">
        <v>0.8</v>
      </c>
      <c r="O887" s="29">
        <v>1</v>
      </c>
      <c r="P887" s="29">
        <v>7.9680000000000009</v>
      </c>
      <c r="Q887" s="29" t="s">
        <v>384</v>
      </c>
    </row>
    <row r="888" spans="1:17" x14ac:dyDescent="0.3">
      <c r="B888" s="29">
        <v>2</v>
      </c>
      <c r="C888" s="29" t="s">
        <v>387</v>
      </c>
      <c r="D888" s="29" t="s">
        <v>1045</v>
      </c>
      <c r="E888" s="29">
        <v>700</v>
      </c>
      <c r="G888" s="29" t="s">
        <v>292</v>
      </c>
      <c r="H888" s="29">
        <v>1</v>
      </c>
      <c r="I888" s="29">
        <v>9.9600000000000009</v>
      </c>
      <c r="J888" s="29">
        <v>6.9720000000000004</v>
      </c>
      <c r="K888" s="29">
        <v>6.9720000000000004</v>
      </c>
      <c r="L888" s="29" t="s">
        <v>383</v>
      </c>
      <c r="M888" s="29">
        <v>1</v>
      </c>
      <c r="N888" s="29">
        <v>0.7</v>
      </c>
      <c r="O888" s="29">
        <v>1</v>
      </c>
      <c r="P888" s="29">
        <v>6.9720000000000004</v>
      </c>
      <c r="Q888" s="29" t="s">
        <v>384</v>
      </c>
    </row>
    <row r="889" spans="1:17" x14ac:dyDescent="0.3">
      <c r="A889" s="29" t="s">
        <v>631</v>
      </c>
      <c r="B889" s="29">
        <v>1</v>
      </c>
      <c r="C889" s="29" t="s">
        <v>387</v>
      </c>
      <c r="D889" s="29" t="s">
        <v>1045</v>
      </c>
      <c r="E889" s="29">
        <v>800</v>
      </c>
      <c r="G889" s="29" t="s">
        <v>292</v>
      </c>
      <c r="H889" s="29">
        <v>1</v>
      </c>
      <c r="I889" s="29">
        <v>9.9600000000000009</v>
      </c>
      <c r="J889" s="29">
        <v>7.9680000000000009</v>
      </c>
      <c r="K889" s="29">
        <v>7.9680000000000009</v>
      </c>
      <c r="L889" s="29" t="s">
        <v>383</v>
      </c>
      <c r="M889" s="29">
        <v>1</v>
      </c>
      <c r="N889" s="29">
        <v>0.8</v>
      </c>
      <c r="O889" s="29">
        <v>1</v>
      </c>
      <c r="P889" s="29">
        <v>7.9680000000000009</v>
      </c>
      <c r="Q889" s="29" t="s">
        <v>384</v>
      </c>
    </row>
    <row r="890" spans="1:17" x14ac:dyDescent="0.3">
      <c r="B890" s="29">
        <v>2</v>
      </c>
      <c r="C890" s="29" t="s">
        <v>387</v>
      </c>
      <c r="D890" s="29" t="s">
        <v>1045</v>
      </c>
      <c r="E890" s="29">
        <v>800</v>
      </c>
      <c r="G890" s="29" t="s">
        <v>292</v>
      </c>
      <c r="H890" s="29">
        <v>1</v>
      </c>
      <c r="I890" s="29">
        <v>9.9600000000000009</v>
      </c>
      <c r="J890" s="29">
        <v>7.9680000000000009</v>
      </c>
      <c r="K890" s="29">
        <v>7.9680000000000009</v>
      </c>
      <c r="L890" s="29" t="s">
        <v>383</v>
      </c>
      <c r="M890" s="29">
        <v>1</v>
      </c>
      <c r="N890" s="29">
        <v>0.8</v>
      </c>
      <c r="O890" s="29">
        <v>1</v>
      </c>
      <c r="P890" s="29">
        <v>7.9680000000000009</v>
      </c>
      <c r="Q890" s="29" t="s">
        <v>384</v>
      </c>
    </row>
    <row r="891" spans="1:17" x14ac:dyDescent="0.3">
      <c r="A891" s="29" t="s">
        <v>631</v>
      </c>
      <c r="B891" s="29">
        <v>1</v>
      </c>
      <c r="C891" s="29" t="s">
        <v>387</v>
      </c>
      <c r="D891" s="30" t="s">
        <v>1045</v>
      </c>
      <c r="E891" s="29">
        <v>800</v>
      </c>
      <c r="G891" s="29" t="s">
        <v>292</v>
      </c>
      <c r="H891" s="29">
        <v>1</v>
      </c>
      <c r="I891" s="29">
        <v>9.9600000000000009</v>
      </c>
      <c r="J891" s="29">
        <v>7.9680000000000009</v>
      </c>
      <c r="K891" s="29">
        <v>7.9680000000000009</v>
      </c>
      <c r="L891" s="29" t="s">
        <v>383</v>
      </c>
      <c r="M891" s="29">
        <v>1</v>
      </c>
      <c r="N891" s="29">
        <v>0.8</v>
      </c>
      <c r="O891" s="29">
        <v>1</v>
      </c>
      <c r="P891" s="29">
        <v>7.9680000000000009</v>
      </c>
      <c r="Q891" s="29" t="s">
        <v>384</v>
      </c>
    </row>
    <row r="892" spans="1:17" x14ac:dyDescent="0.3">
      <c r="B892" s="29">
        <v>2</v>
      </c>
      <c r="C892" s="29" t="s">
        <v>387</v>
      </c>
      <c r="D892" s="30" t="s">
        <v>1045</v>
      </c>
      <c r="E892" s="29">
        <v>800</v>
      </c>
      <c r="G892" s="29" t="s">
        <v>292</v>
      </c>
      <c r="H892" s="29">
        <v>1</v>
      </c>
      <c r="I892" s="29">
        <v>9.9600000000000009</v>
      </c>
      <c r="J892" s="29">
        <v>7.9680000000000009</v>
      </c>
      <c r="K892" s="29">
        <v>7.9680000000000009</v>
      </c>
      <c r="L892" s="29" t="s">
        <v>383</v>
      </c>
      <c r="M892" s="29">
        <v>1</v>
      </c>
      <c r="N892" s="29">
        <v>0.8</v>
      </c>
      <c r="O892" s="29">
        <v>1</v>
      </c>
      <c r="P892" s="29">
        <v>7.9680000000000009</v>
      </c>
      <c r="Q892" s="29" t="s">
        <v>384</v>
      </c>
    </row>
    <row r="893" spans="1:17" x14ac:dyDescent="0.3">
      <c r="A893" s="29" t="s">
        <v>632</v>
      </c>
      <c r="B893" s="29">
        <v>1</v>
      </c>
      <c r="C893" s="29" t="s">
        <v>387</v>
      </c>
      <c r="D893" s="29" t="s">
        <v>1045</v>
      </c>
      <c r="E893" s="29">
        <v>1400</v>
      </c>
      <c r="G893" s="29" t="s">
        <v>292</v>
      </c>
      <c r="H893" s="29">
        <v>1</v>
      </c>
      <c r="I893" s="29">
        <v>9.9600000000000009</v>
      </c>
      <c r="J893" s="29">
        <v>13.944000000000001</v>
      </c>
      <c r="K893" s="29">
        <v>13.944000000000001</v>
      </c>
      <c r="L893" s="29" t="s">
        <v>383</v>
      </c>
      <c r="M893" s="29">
        <v>1</v>
      </c>
      <c r="N893" s="29">
        <v>1.4</v>
      </c>
      <c r="O893" s="29">
        <v>1</v>
      </c>
      <c r="P893" s="29">
        <v>13.944000000000001</v>
      </c>
      <c r="Q893" s="29" t="s">
        <v>384</v>
      </c>
    </row>
    <row r="894" spans="1:17" x14ac:dyDescent="0.3">
      <c r="B894" s="29">
        <v>2</v>
      </c>
      <c r="C894" s="29" t="s">
        <v>387</v>
      </c>
      <c r="D894" s="29" t="s">
        <v>1045</v>
      </c>
      <c r="E894" s="29">
        <v>800</v>
      </c>
      <c r="G894" s="29" t="s">
        <v>292</v>
      </c>
      <c r="H894" s="29">
        <v>1</v>
      </c>
      <c r="I894" s="29">
        <v>9.9600000000000009</v>
      </c>
      <c r="J894" s="29">
        <v>7.9680000000000009</v>
      </c>
      <c r="K894" s="29">
        <v>7.9680000000000009</v>
      </c>
      <c r="L894" s="29" t="s">
        <v>383</v>
      </c>
      <c r="M894" s="29">
        <v>1</v>
      </c>
      <c r="N894" s="29">
        <v>0.8</v>
      </c>
      <c r="O894" s="29">
        <v>1</v>
      </c>
      <c r="P894" s="29">
        <v>7.9680000000000009</v>
      </c>
      <c r="Q894" s="29" t="s">
        <v>384</v>
      </c>
    </row>
    <row r="895" spans="1:17" x14ac:dyDescent="0.3">
      <c r="A895" s="29" t="s">
        <v>633</v>
      </c>
      <c r="B895" s="29">
        <v>1</v>
      </c>
      <c r="C895" s="29" t="s">
        <v>387</v>
      </c>
      <c r="D895" s="30" t="s">
        <v>1045</v>
      </c>
      <c r="E895" s="29">
        <v>800</v>
      </c>
      <c r="G895" s="29" t="s">
        <v>292</v>
      </c>
      <c r="H895" s="29">
        <v>1</v>
      </c>
      <c r="I895" s="29">
        <v>9.9600000000000009</v>
      </c>
      <c r="J895" s="29">
        <v>7.9680000000000009</v>
      </c>
      <c r="K895" s="29">
        <v>7.9680000000000009</v>
      </c>
      <c r="L895" s="29" t="s">
        <v>383</v>
      </c>
      <c r="M895" s="29">
        <v>1</v>
      </c>
      <c r="N895" s="29">
        <v>0.8</v>
      </c>
      <c r="O895" s="29">
        <v>1</v>
      </c>
      <c r="P895" s="29">
        <v>7.9680000000000009</v>
      </c>
      <c r="Q895" s="29" t="s">
        <v>384</v>
      </c>
    </row>
    <row r="896" spans="1:17" x14ac:dyDescent="0.3">
      <c r="B896" s="29">
        <v>2</v>
      </c>
      <c r="C896" s="29" t="s">
        <v>387</v>
      </c>
      <c r="D896" s="29" t="s">
        <v>1045</v>
      </c>
      <c r="E896" s="29">
        <v>900</v>
      </c>
      <c r="G896" s="29" t="s">
        <v>292</v>
      </c>
      <c r="H896" s="29">
        <v>1</v>
      </c>
      <c r="I896" s="29">
        <v>9.9600000000000009</v>
      </c>
      <c r="J896" s="29">
        <v>8.9640000000000004</v>
      </c>
      <c r="K896" s="29">
        <v>8.9640000000000004</v>
      </c>
      <c r="L896" s="29" t="s">
        <v>383</v>
      </c>
      <c r="M896" s="29">
        <v>1</v>
      </c>
      <c r="N896" s="29">
        <v>0.9</v>
      </c>
      <c r="O896" s="29">
        <v>1</v>
      </c>
      <c r="P896" s="29">
        <v>8.9640000000000004</v>
      </c>
      <c r="Q896" s="29" t="s">
        <v>384</v>
      </c>
    </row>
    <row r="897" spans="1:17" x14ac:dyDescent="0.3">
      <c r="A897" s="29" t="s">
        <v>633</v>
      </c>
      <c r="B897" s="29">
        <v>1</v>
      </c>
      <c r="C897" s="29" t="s">
        <v>387</v>
      </c>
      <c r="D897" s="29" t="s">
        <v>1045</v>
      </c>
      <c r="E897" s="29">
        <v>800</v>
      </c>
      <c r="G897" s="29" t="s">
        <v>292</v>
      </c>
      <c r="H897" s="29">
        <v>1</v>
      </c>
      <c r="I897" s="29">
        <v>9.9600000000000009</v>
      </c>
      <c r="J897" s="29">
        <v>7.9680000000000009</v>
      </c>
      <c r="K897" s="29">
        <v>7.9680000000000009</v>
      </c>
      <c r="L897" s="29" t="s">
        <v>383</v>
      </c>
      <c r="M897" s="29">
        <v>1</v>
      </c>
      <c r="N897" s="29">
        <v>0.8</v>
      </c>
      <c r="O897" s="29">
        <v>1</v>
      </c>
      <c r="P897" s="29">
        <v>7.9680000000000009</v>
      </c>
      <c r="Q897" s="29" t="s">
        <v>384</v>
      </c>
    </row>
    <row r="898" spans="1:17" x14ac:dyDescent="0.3">
      <c r="B898" s="29">
        <v>2</v>
      </c>
      <c r="C898" s="29" t="s">
        <v>387</v>
      </c>
      <c r="D898" s="30" t="s">
        <v>1045</v>
      </c>
      <c r="E898" s="29">
        <v>900</v>
      </c>
      <c r="G898" s="29" t="s">
        <v>292</v>
      </c>
      <c r="H898" s="29">
        <v>1</v>
      </c>
      <c r="I898" s="29">
        <v>9.9600000000000009</v>
      </c>
      <c r="J898" s="29">
        <v>8.9640000000000004</v>
      </c>
      <c r="K898" s="29">
        <v>8.9640000000000004</v>
      </c>
      <c r="L898" s="29" t="s">
        <v>383</v>
      </c>
      <c r="M898" s="29">
        <v>1</v>
      </c>
      <c r="N898" s="29">
        <v>0.9</v>
      </c>
      <c r="O898" s="29">
        <v>1</v>
      </c>
      <c r="P898" s="29">
        <v>8.9640000000000004</v>
      </c>
      <c r="Q898" s="29" t="s">
        <v>384</v>
      </c>
    </row>
    <row r="899" spans="1:17" x14ac:dyDescent="0.3">
      <c r="A899" s="29" t="s">
        <v>634</v>
      </c>
      <c r="B899" s="29">
        <v>1</v>
      </c>
      <c r="C899" s="29" t="s">
        <v>387</v>
      </c>
      <c r="D899" s="29" t="s">
        <v>1045</v>
      </c>
      <c r="E899" s="29">
        <v>1200</v>
      </c>
      <c r="G899" s="29" t="s">
        <v>292</v>
      </c>
      <c r="H899" s="29">
        <v>1</v>
      </c>
      <c r="I899" s="29">
        <v>9.9600000000000009</v>
      </c>
      <c r="J899" s="29">
        <v>11.952</v>
      </c>
      <c r="K899" s="29">
        <v>11.952</v>
      </c>
      <c r="L899" s="29" t="s">
        <v>383</v>
      </c>
      <c r="M899" s="29">
        <v>1</v>
      </c>
      <c r="N899" s="29">
        <v>1.2</v>
      </c>
      <c r="O899" s="29">
        <v>1</v>
      </c>
      <c r="P899" s="29">
        <v>11.952</v>
      </c>
      <c r="Q899" s="29" t="s">
        <v>384</v>
      </c>
    </row>
    <row r="900" spans="1:17" x14ac:dyDescent="0.3">
      <c r="B900" s="29">
        <v>2</v>
      </c>
      <c r="C900" s="29" t="s">
        <v>387</v>
      </c>
      <c r="D900" s="29" t="s">
        <v>1045</v>
      </c>
      <c r="E900" s="29">
        <v>900</v>
      </c>
      <c r="G900" s="29" t="s">
        <v>292</v>
      </c>
      <c r="H900" s="29">
        <v>1</v>
      </c>
      <c r="I900" s="29">
        <v>9.9600000000000009</v>
      </c>
      <c r="J900" s="29">
        <v>8.9640000000000004</v>
      </c>
      <c r="K900" s="29">
        <v>8.9640000000000004</v>
      </c>
      <c r="L900" s="29" t="s">
        <v>383</v>
      </c>
      <c r="M900" s="29">
        <v>1</v>
      </c>
      <c r="N900" s="29">
        <v>0.9</v>
      </c>
      <c r="O900" s="29">
        <v>1</v>
      </c>
      <c r="P900" s="29">
        <v>8.9640000000000004</v>
      </c>
      <c r="Q900" s="29" t="s">
        <v>384</v>
      </c>
    </row>
    <row r="901" spans="1:17" x14ac:dyDescent="0.3">
      <c r="A901" s="29" t="s">
        <v>635</v>
      </c>
      <c r="B901" s="29" t="s">
        <v>65</v>
      </c>
      <c r="D901" s="30"/>
    </row>
    <row r="902" spans="1:17" x14ac:dyDescent="0.3">
      <c r="A902" s="29" t="s">
        <v>636</v>
      </c>
      <c r="B902" s="29" t="s">
        <v>65</v>
      </c>
    </row>
    <row r="903" spans="1:17" x14ac:dyDescent="0.3">
      <c r="A903" s="29" t="s">
        <v>637</v>
      </c>
      <c r="B903" s="29">
        <v>1</v>
      </c>
      <c r="C903" s="29" t="s">
        <v>1047</v>
      </c>
      <c r="D903" s="29" t="s">
        <v>1048</v>
      </c>
      <c r="E903" s="29">
        <v>685</v>
      </c>
      <c r="G903" s="29" t="s">
        <v>292</v>
      </c>
      <c r="H903" s="29">
        <v>1</v>
      </c>
      <c r="I903" s="29">
        <v>31.1</v>
      </c>
      <c r="J903" s="29">
        <v>21.303500000000003</v>
      </c>
      <c r="K903" s="29">
        <v>21.303500000000003</v>
      </c>
      <c r="L903" s="29" t="s">
        <v>383</v>
      </c>
      <c r="M903" s="29">
        <v>1</v>
      </c>
      <c r="N903" s="29">
        <v>0.68500000000000005</v>
      </c>
      <c r="O903" s="29">
        <v>1</v>
      </c>
      <c r="P903" s="29">
        <v>21.303500000000003</v>
      </c>
      <c r="Q903" s="29" t="s">
        <v>384</v>
      </c>
    </row>
    <row r="904" spans="1:17" x14ac:dyDescent="0.3">
      <c r="B904" s="29">
        <v>2</v>
      </c>
      <c r="C904" s="29" t="s">
        <v>1049</v>
      </c>
      <c r="D904" s="30">
        <v>16</v>
      </c>
      <c r="E904" s="29">
        <v>500</v>
      </c>
      <c r="F904" s="29">
        <v>500</v>
      </c>
      <c r="G904" s="29" t="s">
        <v>292</v>
      </c>
      <c r="H904" s="29">
        <v>1</v>
      </c>
      <c r="J904" s="29">
        <v>31.4</v>
      </c>
      <c r="K904" s="29">
        <v>31.4</v>
      </c>
      <c r="L904" s="29" t="s">
        <v>293</v>
      </c>
      <c r="M904" s="29">
        <v>1</v>
      </c>
      <c r="O904" s="29">
        <v>1</v>
      </c>
      <c r="P904" s="29">
        <v>31.4</v>
      </c>
      <c r="Q904" s="29" t="s">
        <v>294</v>
      </c>
    </row>
    <row r="905" spans="1:17" x14ac:dyDescent="0.3">
      <c r="B905" s="29">
        <v>3</v>
      </c>
      <c r="C905" s="29" t="s">
        <v>390</v>
      </c>
      <c r="D905" s="30" t="s">
        <v>296</v>
      </c>
      <c r="G905" s="29" t="s">
        <v>382</v>
      </c>
      <c r="H905" s="29">
        <v>4</v>
      </c>
      <c r="J905" s="29">
        <v>1</v>
      </c>
      <c r="K905" s="29">
        <v>4</v>
      </c>
      <c r="L905" s="29" t="s">
        <v>391</v>
      </c>
      <c r="M905" s="29">
        <v>1</v>
      </c>
      <c r="O905" s="29">
        <v>4</v>
      </c>
      <c r="P905" s="29">
        <v>4</v>
      </c>
      <c r="Q905" s="29" t="s">
        <v>392</v>
      </c>
    </row>
    <row r="906" spans="1:17" x14ac:dyDescent="0.3">
      <c r="B906" s="29">
        <v>4</v>
      </c>
      <c r="C906" s="29" t="s">
        <v>1050</v>
      </c>
      <c r="D906" s="29">
        <v>9</v>
      </c>
      <c r="E906" s="29">
        <v>200</v>
      </c>
      <c r="F906" s="29">
        <v>100</v>
      </c>
      <c r="G906" s="29" t="s">
        <v>292</v>
      </c>
      <c r="H906" s="29">
        <v>1</v>
      </c>
      <c r="J906" s="29">
        <v>1.4129999999999998</v>
      </c>
      <c r="K906" s="29">
        <v>1.4129999999999998</v>
      </c>
      <c r="L906" s="29" t="s">
        <v>293</v>
      </c>
      <c r="M906" s="29">
        <v>1</v>
      </c>
      <c r="O906" s="29">
        <v>1</v>
      </c>
      <c r="P906" s="29">
        <v>1.4129999999999998</v>
      </c>
      <c r="Q906" s="29" t="s">
        <v>294</v>
      </c>
    </row>
    <row r="907" spans="1:17" x14ac:dyDescent="0.3">
      <c r="A907" s="29" t="s">
        <v>638</v>
      </c>
      <c r="B907" s="29">
        <v>1</v>
      </c>
      <c r="C907" s="29" t="s">
        <v>1047</v>
      </c>
      <c r="D907" s="30" t="s">
        <v>1048</v>
      </c>
      <c r="E907" s="29">
        <v>885</v>
      </c>
      <c r="G907" s="29" t="s">
        <v>292</v>
      </c>
      <c r="H907" s="29">
        <v>1</v>
      </c>
      <c r="I907" s="29">
        <v>31.1</v>
      </c>
      <c r="J907" s="29">
        <v>27.523500000000002</v>
      </c>
      <c r="K907" s="29">
        <v>27.523500000000002</v>
      </c>
      <c r="L907" s="29" t="s">
        <v>383</v>
      </c>
      <c r="M907" s="29">
        <v>1</v>
      </c>
      <c r="N907" s="29">
        <v>0.88500000000000001</v>
      </c>
      <c r="O907" s="29">
        <v>1</v>
      </c>
      <c r="P907" s="29">
        <v>27.523500000000002</v>
      </c>
      <c r="Q907" s="29" t="s">
        <v>384</v>
      </c>
    </row>
    <row r="908" spans="1:17" x14ac:dyDescent="0.3">
      <c r="B908" s="29">
        <v>2</v>
      </c>
      <c r="C908" s="29" t="s">
        <v>1049</v>
      </c>
      <c r="D908" s="29">
        <v>16</v>
      </c>
      <c r="E908" s="29">
        <v>500</v>
      </c>
      <c r="F908" s="29">
        <v>500</v>
      </c>
      <c r="G908" s="29" t="s">
        <v>292</v>
      </c>
      <c r="H908" s="29">
        <v>1</v>
      </c>
      <c r="J908" s="29">
        <v>31.4</v>
      </c>
      <c r="K908" s="29">
        <v>31.4</v>
      </c>
      <c r="L908" s="29" t="s">
        <v>293</v>
      </c>
      <c r="M908" s="29">
        <v>1</v>
      </c>
      <c r="O908" s="29">
        <v>1</v>
      </c>
      <c r="P908" s="29">
        <v>31.4</v>
      </c>
      <c r="Q908" s="29" t="s">
        <v>294</v>
      </c>
    </row>
    <row r="909" spans="1:17" x14ac:dyDescent="0.3">
      <c r="B909" s="29">
        <v>3</v>
      </c>
      <c r="C909" s="29" t="s">
        <v>390</v>
      </c>
      <c r="D909" s="30" t="s">
        <v>296</v>
      </c>
      <c r="G909" s="29" t="s">
        <v>382</v>
      </c>
      <c r="H909" s="29">
        <v>4</v>
      </c>
      <c r="J909" s="29">
        <v>1</v>
      </c>
      <c r="K909" s="29">
        <v>4</v>
      </c>
      <c r="L909" s="29" t="s">
        <v>391</v>
      </c>
      <c r="M909" s="29">
        <v>1</v>
      </c>
      <c r="O909" s="29">
        <v>4</v>
      </c>
      <c r="P909" s="29">
        <v>4</v>
      </c>
      <c r="Q909" s="29" t="s">
        <v>392</v>
      </c>
    </row>
    <row r="910" spans="1:17" x14ac:dyDescent="0.3">
      <c r="B910" s="29">
        <v>4</v>
      </c>
      <c r="C910" s="29" t="s">
        <v>1050</v>
      </c>
      <c r="D910" s="30">
        <v>9</v>
      </c>
      <c r="E910" s="29">
        <v>200</v>
      </c>
      <c r="F910" s="29">
        <v>100</v>
      </c>
      <c r="G910" s="29" t="s">
        <v>292</v>
      </c>
      <c r="H910" s="29">
        <v>1</v>
      </c>
      <c r="J910" s="29">
        <v>1.4129999999999998</v>
      </c>
      <c r="K910" s="29">
        <v>1.4129999999999998</v>
      </c>
      <c r="L910" s="29" t="s">
        <v>293</v>
      </c>
      <c r="M910" s="29">
        <v>1</v>
      </c>
      <c r="O910" s="29">
        <v>1</v>
      </c>
      <c r="P910" s="29">
        <v>1.4129999999999998</v>
      </c>
      <c r="Q910" s="29" t="s">
        <v>294</v>
      </c>
    </row>
    <row r="911" spans="1:17" x14ac:dyDescent="0.3">
      <c r="A911" s="29" t="s">
        <v>639</v>
      </c>
      <c r="B911" s="29">
        <v>1</v>
      </c>
      <c r="C911" s="29" t="s">
        <v>1047</v>
      </c>
      <c r="D911" s="29" t="s">
        <v>1048</v>
      </c>
      <c r="E911" s="29">
        <v>885</v>
      </c>
      <c r="G911" s="29" t="s">
        <v>292</v>
      </c>
      <c r="H911" s="29">
        <v>1</v>
      </c>
      <c r="I911" s="29">
        <v>31.1</v>
      </c>
      <c r="J911" s="29">
        <v>27.523500000000002</v>
      </c>
      <c r="K911" s="29">
        <v>27.523500000000002</v>
      </c>
      <c r="L911" s="29" t="s">
        <v>383</v>
      </c>
      <c r="M911" s="29">
        <v>1</v>
      </c>
      <c r="N911" s="29">
        <v>0.88500000000000001</v>
      </c>
      <c r="O911" s="29">
        <v>1</v>
      </c>
      <c r="P911" s="29">
        <v>27.523500000000002</v>
      </c>
      <c r="Q911" s="29" t="s">
        <v>384</v>
      </c>
    </row>
    <row r="912" spans="1:17" x14ac:dyDescent="0.3">
      <c r="B912" s="29">
        <v>2</v>
      </c>
      <c r="C912" s="29" t="s">
        <v>1049</v>
      </c>
      <c r="D912" s="29">
        <v>16</v>
      </c>
      <c r="E912" s="29">
        <v>500</v>
      </c>
      <c r="F912" s="29">
        <v>500</v>
      </c>
      <c r="G912" s="29" t="s">
        <v>292</v>
      </c>
      <c r="H912" s="29">
        <v>1</v>
      </c>
      <c r="J912" s="29">
        <v>31.4</v>
      </c>
      <c r="K912" s="29">
        <v>31.4</v>
      </c>
      <c r="L912" s="29" t="s">
        <v>293</v>
      </c>
      <c r="M912" s="29">
        <v>1</v>
      </c>
      <c r="O912" s="29">
        <v>1</v>
      </c>
      <c r="P912" s="29">
        <v>31.4</v>
      </c>
      <c r="Q912" s="29" t="s">
        <v>294</v>
      </c>
    </row>
    <row r="913" spans="1:17" x14ac:dyDescent="0.3">
      <c r="B913" s="29">
        <v>3</v>
      </c>
      <c r="C913" s="29" t="s">
        <v>390</v>
      </c>
      <c r="D913" s="30" t="s">
        <v>296</v>
      </c>
      <c r="G913" s="29" t="s">
        <v>382</v>
      </c>
      <c r="H913" s="29">
        <v>4</v>
      </c>
      <c r="J913" s="29">
        <v>1</v>
      </c>
      <c r="K913" s="29">
        <v>4</v>
      </c>
      <c r="L913" s="29" t="s">
        <v>391</v>
      </c>
      <c r="M913" s="29">
        <v>1</v>
      </c>
      <c r="O913" s="29">
        <v>4</v>
      </c>
      <c r="P913" s="29">
        <v>4</v>
      </c>
      <c r="Q913" s="29" t="s">
        <v>392</v>
      </c>
    </row>
    <row r="914" spans="1:17" x14ac:dyDescent="0.3">
      <c r="B914" s="29">
        <v>4</v>
      </c>
      <c r="C914" s="29" t="s">
        <v>1050</v>
      </c>
      <c r="D914" s="29">
        <v>9</v>
      </c>
      <c r="E914" s="29">
        <v>200</v>
      </c>
      <c r="F914" s="29">
        <v>100</v>
      </c>
      <c r="G914" s="29" t="s">
        <v>292</v>
      </c>
      <c r="H914" s="29">
        <v>1</v>
      </c>
      <c r="J914" s="29">
        <v>1.4129999999999998</v>
      </c>
      <c r="K914" s="29">
        <v>1.4129999999999998</v>
      </c>
      <c r="L914" s="29" t="s">
        <v>293</v>
      </c>
      <c r="M914" s="29">
        <v>1</v>
      </c>
      <c r="O914" s="29">
        <v>1</v>
      </c>
      <c r="P914" s="29">
        <v>1.4129999999999998</v>
      </c>
      <c r="Q914" s="29" t="s">
        <v>294</v>
      </c>
    </row>
    <row r="915" spans="1:17" x14ac:dyDescent="0.3">
      <c r="A915" s="29" t="s">
        <v>640</v>
      </c>
      <c r="B915" s="29">
        <v>1</v>
      </c>
      <c r="C915" s="29" t="s">
        <v>1047</v>
      </c>
      <c r="D915" s="29" t="s">
        <v>1048</v>
      </c>
      <c r="E915" s="29">
        <v>985</v>
      </c>
      <c r="G915" s="29" t="s">
        <v>292</v>
      </c>
      <c r="H915" s="29">
        <v>1</v>
      </c>
      <c r="I915" s="29">
        <v>31.1</v>
      </c>
      <c r="J915" s="29">
        <v>30.633500000000002</v>
      </c>
      <c r="K915" s="29">
        <v>30.633500000000002</v>
      </c>
      <c r="L915" s="29" t="s">
        <v>383</v>
      </c>
      <c r="M915" s="29">
        <v>1</v>
      </c>
      <c r="N915" s="29">
        <v>0.98499999999999999</v>
      </c>
      <c r="O915" s="29">
        <v>1</v>
      </c>
      <c r="P915" s="29">
        <v>30.633500000000002</v>
      </c>
      <c r="Q915" s="29" t="s">
        <v>384</v>
      </c>
    </row>
    <row r="916" spans="1:17" x14ac:dyDescent="0.3">
      <c r="B916" s="29">
        <v>2</v>
      </c>
      <c r="C916" s="29" t="s">
        <v>1050</v>
      </c>
      <c r="D916" s="30">
        <v>9</v>
      </c>
      <c r="E916" s="29">
        <v>200</v>
      </c>
      <c r="F916" s="29">
        <v>100</v>
      </c>
      <c r="G916" s="29" t="s">
        <v>292</v>
      </c>
      <c r="H916" s="29">
        <v>1</v>
      </c>
      <c r="J916" s="29">
        <v>1.4129999999999998</v>
      </c>
      <c r="K916" s="29">
        <v>1.4129999999999998</v>
      </c>
      <c r="L916" s="29" t="s">
        <v>293</v>
      </c>
      <c r="M916" s="29">
        <v>1</v>
      </c>
      <c r="O916" s="29">
        <v>1</v>
      </c>
      <c r="P916" s="29">
        <v>1.4129999999999998</v>
      </c>
      <c r="Q916" s="29" t="s">
        <v>294</v>
      </c>
    </row>
    <row r="917" spans="1:17" x14ac:dyDescent="0.3">
      <c r="A917" s="29" t="s">
        <v>641</v>
      </c>
      <c r="B917" s="29">
        <v>1</v>
      </c>
      <c r="C917" s="29" t="s">
        <v>387</v>
      </c>
      <c r="D917" s="29" t="s">
        <v>1044</v>
      </c>
      <c r="E917" s="29">
        <v>385</v>
      </c>
      <c r="G917" s="29" t="s">
        <v>292</v>
      </c>
      <c r="H917" s="29">
        <v>1</v>
      </c>
      <c r="I917" s="29">
        <v>4.43</v>
      </c>
      <c r="J917" s="29">
        <v>1.7055499999999999</v>
      </c>
      <c r="K917" s="29">
        <v>1.7055499999999999</v>
      </c>
      <c r="L917" s="29" t="s">
        <v>383</v>
      </c>
      <c r="M917" s="29">
        <v>1</v>
      </c>
      <c r="N917" s="29">
        <v>0.38500000000000001</v>
      </c>
      <c r="O917" s="29">
        <v>1</v>
      </c>
      <c r="P917" s="29">
        <v>1.7055499999999999</v>
      </c>
      <c r="Q917" s="29" t="s">
        <v>384</v>
      </c>
    </row>
    <row r="918" spans="1:17" x14ac:dyDescent="0.3">
      <c r="B918" s="29">
        <v>2</v>
      </c>
      <c r="C918" s="29" t="s">
        <v>1049</v>
      </c>
      <c r="D918" s="29">
        <v>9</v>
      </c>
      <c r="E918" s="29">
        <v>180</v>
      </c>
      <c r="F918" s="29">
        <v>180</v>
      </c>
      <c r="G918" s="29" t="s">
        <v>292</v>
      </c>
      <c r="H918" s="29">
        <v>1</v>
      </c>
      <c r="J918" s="29">
        <v>2.2890600000000001</v>
      </c>
      <c r="K918" s="29">
        <v>2.2890600000000001</v>
      </c>
      <c r="L918" s="29" t="s">
        <v>293</v>
      </c>
      <c r="M918" s="29">
        <v>1</v>
      </c>
      <c r="O918" s="29">
        <v>1</v>
      </c>
      <c r="P918" s="29">
        <v>2.2890600000000001</v>
      </c>
      <c r="Q918" s="29" t="s">
        <v>294</v>
      </c>
    </row>
    <row r="919" spans="1:17" x14ac:dyDescent="0.3">
      <c r="B919" s="29">
        <v>3</v>
      </c>
      <c r="C919" s="29" t="s">
        <v>390</v>
      </c>
      <c r="D919" s="30" t="s">
        <v>295</v>
      </c>
      <c r="G919" s="29" t="s">
        <v>382</v>
      </c>
      <c r="H919" s="29">
        <v>4</v>
      </c>
      <c r="J919" s="29">
        <v>1</v>
      </c>
      <c r="K919" s="29">
        <v>4</v>
      </c>
      <c r="L919" s="29" t="s">
        <v>391</v>
      </c>
      <c r="M919" s="29">
        <v>1</v>
      </c>
      <c r="O919" s="29">
        <v>4</v>
      </c>
      <c r="P919" s="29">
        <v>4</v>
      </c>
      <c r="Q919" s="29" t="s">
        <v>392</v>
      </c>
    </row>
    <row r="920" spans="1:17" x14ac:dyDescent="0.3">
      <c r="A920" s="29" t="s">
        <v>642</v>
      </c>
      <c r="B920" s="29">
        <v>1</v>
      </c>
      <c r="C920" s="29" t="s">
        <v>387</v>
      </c>
      <c r="D920" s="29" t="s">
        <v>1044</v>
      </c>
      <c r="E920" s="29">
        <v>685</v>
      </c>
      <c r="G920" s="29" t="s">
        <v>292</v>
      </c>
      <c r="H920" s="29">
        <v>1</v>
      </c>
      <c r="I920" s="29">
        <v>4.43</v>
      </c>
      <c r="J920" s="29">
        <v>3.0345499999999999</v>
      </c>
      <c r="K920" s="29">
        <v>3.0345499999999999</v>
      </c>
      <c r="L920" s="29" t="s">
        <v>383</v>
      </c>
      <c r="M920" s="29">
        <v>1</v>
      </c>
      <c r="N920" s="29">
        <v>0.68500000000000005</v>
      </c>
      <c r="O920" s="29">
        <v>1</v>
      </c>
      <c r="P920" s="29">
        <v>3.0345499999999999</v>
      </c>
      <c r="Q920" s="29" t="s">
        <v>384</v>
      </c>
    </row>
    <row r="921" spans="1:17" x14ac:dyDescent="0.3">
      <c r="B921" s="29">
        <v>2</v>
      </c>
      <c r="C921" s="29" t="s">
        <v>1049</v>
      </c>
      <c r="D921" s="29">
        <v>9</v>
      </c>
      <c r="E921" s="29">
        <v>180</v>
      </c>
      <c r="F921" s="29">
        <v>180</v>
      </c>
      <c r="G921" s="29" t="s">
        <v>292</v>
      </c>
      <c r="H921" s="29">
        <v>1</v>
      </c>
      <c r="J921" s="29">
        <v>2.2890600000000001</v>
      </c>
      <c r="K921" s="29">
        <v>2.2890600000000001</v>
      </c>
      <c r="L921" s="29" t="s">
        <v>293</v>
      </c>
      <c r="M921" s="29">
        <v>1</v>
      </c>
      <c r="O921" s="29">
        <v>1</v>
      </c>
      <c r="P921" s="29">
        <v>2.2890600000000001</v>
      </c>
      <c r="Q921" s="29" t="s">
        <v>294</v>
      </c>
    </row>
    <row r="922" spans="1:17" x14ac:dyDescent="0.3">
      <c r="B922" s="29">
        <v>3</v>
      </c>
      <c r="C922" s="29" t="s">
        <v>390</v>
      </c>
      <c r="D922" s="30" t="s">
        <v>295</v>
      </c>
      <c r="G922" s="29" t="s">
        <v>382</v>
      </c>
      <c r="H922" s="29">
        <v>4</v>
      </c>
      <c r="J922" s="29">
        <v>1</v>
      </c>
      <c r="K922" s="29">
        <v>4</v>
      </c>
      <c r="L922" s="29" t="s">
        <v>391</v>
      </c>
      <c r="M922" s="29">
        <v>1</v>
      </c>
      <c r="O922" s="29">
        <v>4</v>
      </c>
      <c r="P922" s="29">
        <v>4</v>
      </c>
      <c r="Q922" s="29" t="s">
        <v>392</v>
      </c>
    </row>
    <row r="923" spans="1:17" x14ac:dyDescent="0.3">
      <c r="A923" s="29" t="s">
        <v>643</v>
      </c>
      <c r="B923" s="29">
        <v>1</v>
      </c>
      <c r="C923" s="29" t="s">
        <v>387</v>
      </c>
      <c r="D923" s="29" t="s">
        <v>1044</v>
      </c>
      <c r="E923" s="29">
        <v>685</v>
      </c>
      <c r="G923" s="29" t="s">
        <v>292</v>
      </c>
      <c r="H923" s="29">
        <v>1</v>
      </c>
      <c r="I923" s="29">
        <v>4.43</v>
      </c>
      <c r="J923" s="29">
        <v>3.0345499999999999</v>
      </c>
      <c r="K923" s="29">
        <v>3.0345499999999999</v>
      </c>
      <c r="L923" s="29" t="s">
        <v>383</v>
      </c>
      <c r="M923" s="29">
        <v>1</v>
      </c>
      <c r="N923" s="29">
        <v>0.68500000000000005</v>
      </c>
      <c r="O923" s="29">
        <v>1</v>
      </c>
      <c r="P923" s="29">
        <v>3.0345499999999999</v>
      </c>
      <c r="Q923" s="29" t="s">
        <v>384</v>
      </c>
    </row>
    <row r="924" spans="1:17" x14ac:dyDescent="0.3">
      <c r="B924" s="29">
        <v>2</v>
      </c>
      <c r="C924" s="29" t="s">
        <v>1049</v>
      </c>
      <c r="D924" s="29">
        <v>9</v>
      </c>
      <c r="E924" s="29">
        <v>180</v>
      </c>
      <c r="F924" s="29">
        <v>180</v>
      </c>
      <c r="G924" s="29" t="s">
        <v>292</v>
      </c>
      <c r="H924" s="29">
        <v>1</v>
      </c>
      <c r="J924" s="29">
        <v>2.2890600000000001</v>
      </c>
      <c r="K924" s="29">
        <v>2.2890600000000001</v>
      </c>
      <c r="L924" s="29" t="s">
        <v>293</v>
      </c>
      <c r="M924" s="29">
        <v>1</v>
      </c>
      <c r="O924" s="29">
        <v>1</v>
      </c>
      <c r="P924" s="29">
        <v>2.2890600000000001</v>
      </c>
      <c r="Q924" s="29" t="s">
        <v>294</v>
      </c>
    </row>
    <row r="925" spans="1:17" x14ac:dyDescent="0.3">
      <c r="B925" s="29">
        <v>3</v>
      </c>
      <c r="C925" s="29" t="s">
        <v>390</v>
      </c>
      <c r="D925" s="30" t="s">
        <v>295</v>
      </c>
      <c r="G925" s="29" t="s">
        <v>382</v>
      </c>
      <c r="H925" s="29">
        <v>4</v>
      </c>
      <c r="J925" s="29">
        <v>1</v>
      </c>
      <c r="K925" s="29">
        <v>4</v>
      </c>
      <c r="L925" s="29" t="s">
        <v>391</v>
      </c>
      <c r="M925" s="29">
        <v>1</v>
      </c>
      <c r="O925" s="29">
        <v>4</v>
      </c>
      <c r="P925" s="29">
        <v>4</v>
      </c>
      <c r="Q925" s="29" t="s">
        <v>392</v>
      </c>
    </row>
    <row r="926" spans="1:17" x14ac:dyDescent="0.3">
      <c r="A926" s="29" t="s">
        <v>644</v>
      </c>
      <c r="B926" s="29">
        <v>1</v>
      </c>
      <c r="C926" s="29" t="s">
        <v>387</v>
      </c>
      <c r="D926" s="29" t="s">
        <v>1044</v>
      </c>
      <c r="E926" s="29">
        <v>885</v>
      </c>
      <c r="G926" s="29" t="s">
        <v>292</v>
      </c>
      <c r="H926" s="29">
        <v>1</v>
      </c>
      <c r="I926" s="29">
        <v>4.43</v>
      </c>
      <c r="J926" s="29">
        <v>3.92055</v>
      </c>
      <c r="K926" s="29">
        <v>3.92055</v>
      </c>
      <c r="L926" s="29" t="s">
        <v>383</v>
      </c>
      <c r="M926" s="29">
        <v>1</v>
      </c>
      <c r="N926" s="29">
        <v>0.88500000000000001</v>
      </c>
      <c r="O926" s="29">
        <v>1</v>
      </c>
      <c r="P926" s="29">
        <v>3.92055</v>
      </c>
      <c r="Q926" s="29" t="s">
        <v>384</v>
      </c>
    </row>
    <row r="927" spans="1:17" x14ac:dyDescent="0.3">
      <c r="B927" s="29">
        <v>2</v>
      </c>
      <c r="C927" s="29" t="s">
        <v>1049</v>
      </c>
      <c r="D927" s="29">
        <v>9</v>
      </c>
      <c r="E927" s="29">
        <v>180</v>
      </c>
      <c r="F927" s="29">
        <v>180</v>
      </c>
      <c r="G927" s="29" t="s">
        <v>292</v>
      </c>
      <c r="H927" s="29">
        <v>1</v>
      </c>
      <c r="J927" s="29">
        <v>2.2890600000000001</v>
      </c>
      <c r="K927" s="29">
        <v>2.2890600000000001</v>
      </c>
      <c r="L927" s="29" t="s">
        <v>293</v>
      </c>
      <c r="M927" s="29">
        <v>1</v>
      </c>
      <c r="O927" s="29">
        <v>1</v>
      </c>
      <c r="P927" s="29">
        <v>2.2890600000000001</v>
      </c>
      <c r="Q927" s="29" t="s">
        <v>294</v>
      </c>
    </row>
    <row r="928" spans="1:17" x14ac:dyDescent="0.3">
      <c r="B928" s="29">
        <v>3</v>
      </c>
      <c r="C928" s="29" t="s">
        <v>390</v>
      </c>
      <c r="D928" s="30" t="s">
        <v>295</v>
      </c>
      <c r="G928" s="29" t="s">
        <v>382</v>
      </c>
      <c r="H928" s="29">
        <v>4</v>
      </c>
      <c r="J928" s="29">
        <v>1</v>
      </c>
      <c r="K928" s="29">
        <v>4</v>
      </c>
      <c r="L928" s="29" t="s">
        <v>391</v>
      </c>
      <c r="M928" s="29">
        <v>1</v>
      </c>
      <c r="O928" s="29">
        <v>4</v>
      </c>
      <c r="P928" s="29">
        <v>4</v>
      </c>
      <c r="Q928" s="29" t="s">
        <v>392</v>
      </c>
    </row>
    <row r="929" spans="1:17" x14ac:dyDescent="0.3">
      <c r="A929" s="29" t="s">
        <v>644</v>
      </c>
      <c r="B929" s="29">
        <v>1</v>
      </c>
      <c r="C929" s="29" t="s">
        <v>387</v>
      </c>
      <c r="D929" s="29" t="s">
        <v>1044</v>
      </c>
      <c r="E929" s="29">
        <v>885</v>
      </c>
      <c r="G929" s="29" t="s">
        <v>292</v>
      </c>
      <c r="H929" s="29">
        <v>1</v>
      </c>
      <c r="I929" s="29">
        <v>4.43</v>
      </c>
      <c r="J929" s="29">
        <v>3.92055</v>
      </c>
      <c r="K929" s="29">
        <v>3.92055</v>
      </c>
      <c r="L929" s="29" t="s">
        <v>383</v>
      </c>
      <c r="M929" s="29">
        <v>1</v>
      </c>
      <c r="N929" s="29">
        <v>0.88500000000000001</v>
      </c>
      <c r="O929" s="29">
        <v>1</v>
      </c>
      <c r="P929" s="29">
        <v>3.92055</v>
      </c>
      <c r="Q929" s="29" t="s">
        <v>384</v>
      </c>
    </row>
    <row r="930" spans="1:17" x14ac:dyDescent="0.3">
      <c r="B930" s="29">
        <v>2</v>
      </c>
      <c r="C930" s="29" t="s">
        <v>1049</v>
      </c>
      <c r="D930" s="29">
        <v>9</v>
      </c>
      <c r="E930" s="29">
        <v>180</v>
      </c>
      <c r="F930" s="29">
        <v>180</v>
      </c>
      <c r="G930" s="29" t="s">
        <v>292</v>
      </c>
      <c r="H930" s="29">
        <v>1</v>
      </c>
      <c r="J930" s="29">
        <v>2.2890600000000001</v>
      </c>
      <c r="K930" s="29">
        <v>2.2890600000000001</v>
      </c>
      <c r="L930" s="29" t="s">
        <v>293</v>
      </c>
      <c r="M930" s="29">
        <v>1</v>
      </c>
      <c r="O930" s="29">
        <v>1</v>
      </c>
      <c r="P930" s="29">
        <v>2.2890600000000001</v>
      </c>
      <c r="Q930" s="29" t="s">
        <v>294</v>
      </c>
    </row>
    <row r="931" spans="1:17" x14ac:dyDescent="0.3">
      <c r="B931" s="29">
        <v>3</v>
      </c>
      <c r="C931" s="29" t="s">
        <v>390</v>
      </c>
      <c r="D931" s="30" t="s">
        <v>295</v>
      </c>
      <c r="G931" s="29" t="s">
        <v>382</v>
      </c>
      <c r="H931" s="29">
        <v>4</v>
      </c>
      <c r="J931" s="29">
        <v>1</v>
      </c>
      <c r="K931" s="29">
        <v>4</v>
      </c>
      <c r="L931" s="29" t="s">
        <v>391</v>
      </c>
      <c r="M931" s="29">
        <v>1</v>
      </c>
      <c r="O931" s="29">
        <v>4</v>
      </c>
      <c r="P931" s="29">
        <v>4</v>
      </c>
      <c r="Q931" s="29" t="s">
        <v>392</v>
      </c>
    </row>
    <row r="932" spans="1:17" x14ac:dyDescent="0.3">
      <c r="A932" s="29" t="s">
        <v>645</v>
      </c>
      <c r="B932" s="29">
        <v>1</v>
      </c>
      <c r="C932" s="29" t="s">
        <v>387</v>
      </c>
      <c r="D932" s="29" t="s">
        <v>1045</v>
      </c>
      <c r="E932" s="29">
        <v>585</v>
      </c>
      <c r="G932" s="29" t="s">
        <v>292</v>
      </c>
      <c r="H932" s="29">
        <v>1</v>
      </c>
      <c r="I932" s="29">
        <v>9.9600000000000009</v>
      </c>
      <c r="J932" s="29">
        <v>5.8266</v>
      </c>
      <c r="K932" s="29">
        <v>5.8266</v>
      </c>
      <c r="L932" s="29" t="s">
        <v>383</v>
      </c>
      <c r="M932" s="29">
        <v>1</v>
      </c>
      <c r="N932" s="29">
        <v>0.58499999999999996</v>
      </c>
      <c r="O932" s="29">
        <v>1</v>
      </c>
      <c r="P932" s="29">
        <v>5.8266</v>
      </c>
      <c r="Q932" s="29" t="s">
        <v>384</v>
      </c>
    </row>
    <row r="933" spans="1:17" x14ac:dyDescent="0.3">
      <c r="B933" s="29">
        <v>2</v>
      </c>
      <c r="C933" s="29" t="s">
        <v>1049</v>
      </c>
      <c r="D933" s="29">
        <v>9</v>
      </c>
      <c r="E933" s="29">
        <v>260</v>
      </c>
      <c r="F933" s="29">
        <v>260</v>
      </c>
      <c r="G933" s="29" t="s">
        <v>292</v>
      </c>
      <c r="H933" s="29">
        <v>1</v>
      </c>
      <c r="J933" s="29">
        <v>4.7759399999999994</v>
      </c>
      <c r="K933" s="29">
        <v>4.7759399999999994</v>
      </c>
      <c r="L933" s="29" t="s">
        <v>293</v>
      </c>
      <c r="M933" s="29">
        <v>1</v>
      </c>
      <c r="O933" s="29">
        <v>1</v>
      </c>
      <c r="P933" s="29">
        <v>4.7759399999999994</v>
      </c>
      <c r="Q933" s="29" t="s">
        <v>294</v>
      </c>
    </row>
    <row r="934" spans="1:17" x14ac:dyDescent="0.3">
      <c r="B934" s="29">
        <v>3</v>
      </c>
      <c r="C934" s="29" t="s">
        <v>390</v>
      </c>
      <c r="D934" s="30" t="s">
        <v>295</v>
      </c>
      <c r="G934" s="29" t="s">
        <v>382</v>
      </c>
      <c r="H934" s="29">
        <v>4</v>
      </c>
      <c r="J934" s="29">
        <v>1</v>
      </c>
      <c r="K934" s="29">
        <v>4</v>
      </c>
      <c r="L934" s="29" t="s">
        <v>391</v>
      </c>
      <c r="M934" s="29">
        <v>1</v>
      </c>
      <c r="O934" s="29">
        <v>4</v>
      </c>
      <c r="P934" s="29">
        <v>4</v>
      </c>
      <c r="Q934" s="29" t="s">
        <v>392</v>
      </c>
    </row>
    <row r="935" spans="1:17" x14ac:dyDescent="0.3">
      <c r="A935" s="29" t="s">
        <v>646</v>
      </c>
      <c r="B935" s="29">
        <v>1</v>
      </c>
      <c r="C935" s="29" t="s">
        <v>387</v>
      </c>
      <c r="D935" s="29" t="s">
        <v>1045</v>
      </c>
      <c r="E935" s="29">
        <v>985</v>
      </c>
      <c r="G935" s="29" t="s">
        <v>292</v>
      </c>
      <c r="H935" s="29">
        <v>1</v>
      </c>
      <c r="I935" s="29">
        <v>9.9600000000000009</v>
      </c>
      <c r="J935" s="29">
        <v>9.8106000000000009</v>
      </c>
      <c r="K935" s="29">
        <v>9.8106000000000009</v>
      </c>
      <c r="L935" s="29" t="s">
        <v>383</v>
      </c>
      <c r="M935" s="29">
        <v>1</v>
      </c>
      <c r="N935" s="29">
        <v>0.98499999999999999</v>
      </c>
      <c r="O935" s="29">
        <v>1</v>
      </c>
      <c r="P935" s="29">
        <v>9.8106000000000009</v>
      </c>
      <c r="Q935" s="29" t="s">
        <v>384</v>
      </c>
    </row>
    <row r="936" spans="1:17" x14ac:dyDescent="0.3">
      <c r="B936" s="29">
        <v>2</v>
      </c>
      <c r="C936" s="29" t="s">
        <v>1049</v>
      </c>
      <c r="D936" s="29">
        <v>9</v>
      </c>
      <c r="E936" s="29">
        <v>260</v>
      </c>
      <c r="F936" s="29">
        <v>260</v>
      </c>
      <c r="G936" s="29" t="s">
        <v>292</v>
      </c>
      <c r="H936" s="29">
        <v>1</v>
      </c>
      <c r="J936" s="29">
        <v>4.7759399999999994</v>
      </c>
      <c r="K936" s="29">
        <v>4.7759399999999994</v>
      </c>
      <c r="L936" s="29" t="s">
        <v>293</v>
      </c>
      <c r="M936" s="29">
        <v>1</v>
      </c>
      <c r="O936" s="29">
        <v>1</v>
      </c>
      <c r="P936" s="29">
        <v>4.7759399999999994</v>
      </c>
      <c r="Q936" s="29" t="s">
        <v>294</v>
      </c>
    </row>
    <row r="937" spans="1:17" x14ac:dyDescent="0.3">
      <c r="B937" s="29">
        <v>3</v>
      </c>
      <c r="C937" s="29" t="s">
        <v>390</v>
      </c>
      <c r="D937" s="30" t="s">
        <v>295</v>
      </c>
      <c r="G937" s="29" t="s">
        <v>382</v>
      </c>
      <c r="H937" s="29">
        <v>4</v>
      </c>
      <c r="J937" s="29">
        <v>1</v>
      </c>
      <c r="K937" s="29">
        <v>4</v>
      </c>
      <c r="L937" s="29" t="s">
        <v>391</v>
      </c>
      <c r="M937" s="29">
        <v>1</v>
      </c>
      <c r="O937" s="29">
        <v>4</v>
      </c>
      <c r="P937" s="29">
        <v>4</v>
      </c>
      <c r="Q937" s="29" t="s">
        <v>392</v>
      </c>
    </row>
    <row r="938" spans="1:17" x14ac:dyDescent="0.3">
      <c r="A938" s="29" t="s">
        <v>647</v>
      </c>
      <c r="B938" s="29">
        <v>1</v>
      </c>
      <c r="C938" s="29" t="s">
        <v>387</v>
      </c>
      <c r="D938" s="29" t="s">
        <v>1045</v>
      </c>
      <c r="E938" s="29">
        <v>1585</v>
      </c>
      <c r="G938" s="29" t="s">
        <v>292</v>
      </c>
      <c r="H938" s="29">
        <v>1</v>
      </c>
      <c r="I938" s="29">
        <v>9.9600000000000009</v>
      </c>
      <c r="J938" s="29">
        <v>15.786600000000002</v>
      </c>
      <c r="K938" s="29">
        <v>15.786600000000002</v>
      </c>
      <c r="L938" s="29" t="s">
        <v>383</v>
      </c>
      <c r="M938" s="29">
        <v>1</v>
      </c>
      <c r="N938" s="29">
        <v>1.585</v>
      </c>
      <c r="O938" s="29">
        <v>1</v>
      </c>
      <c r="P938" s="29">
        <v>15.786600000000002</v>
      </c>
      <c r="Q938" s="29" t="s">
        <v>384</v>
      </c>
    </row>
    <row r="939" spans="1:17" x14ac:dyDescent="0.3">
      <c r="B939" s="29">
        <v>2</v>
      </c>
      <c r="C939" s="29" t="s">
        <v>1049</v>
      </c>
      <c r="D939" s="29">
        <v>9</v>
      </c>
      <c r="E939" s="29">
        <v>260</v>
      </c>
      <c r="F939" s="29">
        <v>260</v>
      </c>
      <c r="G939" s="29" t="s">
        <v>292</v>
      </c>
      <c r="H939" s="29">
        <v>1</v>
      </c>
      <c r="J939" s="29">
        <v>4.7759399999999994</v>
      </c>
      <c r="K939" s="29">
        <v>4.7759399999999994</v>
      </c>
      <c r="L939" s="29" t="s">
        <v>293</v>
      </c>
      <c r="M939" s="29">
        <v>1</v>
      </c>
      <c r="O939" s="29">
        <v>1</v>
      </c>
      <c r="P939" s="29">
        <v>4.7759399999999994</v>
      </c>
      <c r="Q939" s="29" t="s">
        <v>294</v>
      </c>
    </row>
    <row r="940" spans="1:17" x14ac:dyDescent="0.3">
      <c r="B940" s="29">
        <v>3</v>
      </c>
      <c r="C940" s="29" t="s">
        <v>390</v>
      </c>
      <c r="D940" s="30" t="s">
        <v>295</v>
      </c>
      <c r="G940" s="29" t="s">
        <v>382</v>
      </c>
      <c r="H940" s="29">
        <v>4</v>
      </c>
      <c r="J940" s="29">
        <v>1</v>
      </c>
      <c r="K940" s="29">
        <v>4</v>
      </c>
      <c r="L940" s="29" t="s">
        <v>391</v>
      </c>
      <c r="M940" s="29">
        <v>1</v>
      </c>
      <c r="O940" s="29">
        <v>4</v>
      </c>
      <c r="P940" s="29">
        <v>4</v>
      </c>
      <c r="Q940" s="29" t="s">
        <v>392</v>
      </c>
    </row>
    <row r="941" spans="1:17" x14ac:dyDescent="0.3">
      <c r="A941" s="29" t="s">
        <v>648</v>
      </c>
      <c r="B941" s="29">
        <v>1</v>
      </c>
      <c r="C941" s="29" t="s">
        <v>1029</v>
      </c>
      <c r="D941" s="29" t="s">
        <v>1030</v>
      </c>
      <c r="E941" s="29">
        <v>2614</v>
      </c>
      <c r="G941" s="29" t="s">
        <v>292</v>
      </c>
      <c r="H941" s="29">
        <v>1</v>
      </c>
      <c r="I941" s="29">
        <v>13.4</v>
      </c>
      <c r="J941" s="29">
        <v>35.0276</v>
      </c>
      <c r="K941" s="29">
        <v>35.0276</v>
      </c>
      <c r="L941" s="29" t="s">
        <v>383</v>
      </c>
      <c r="M941" s="29">
        <v>1</v>
      </c>
      <c r="N941" s="29">
        <v>2.6139999999999999</v>
      </c>
      <c r="O941" s="29">
        <v>1</v>
      </c>
      <c r="P941" s="29">
        <v>35.0276</v>
      </c>
      <c r="Q941" s="29" t="s">
        <v>384</v>
      </c>
    </row>
    <row r="942" spans="1:17" x14ac:dyDescent="0.3">
      <c r="B942" s="29">
        <v>2</v>
      </c>
      <c r="C942" s="29" t="s">
        <v>1049</v>
      </c>
      <c r="D942" s="29">
        <v>16</v>
      </c>
      <c r="E942" s="29">
        <v>380</v>
      </c>
      <c r="F942" s="29">
        <v>380</v>
      </c>
      <c r="G942" s="29" t="s">
        <v>292</v>
      </c>
      <c r="H942" s="29">
        <v>1</v>
      </c>
      <c r="J942" s="29">
        <v>18.13664</v>
      </c>
      <c r="K942" s="29">
        <v>18.13664</v>
      </c>
      <c r="L942" s="29" t="s">
        <v>293</v>
      </c>
      <c r="M942" s="29">
        <v>1</v>
      </c>
      <c r="O942" s="29">
        <v>1</v>
      </c>
      <c r="P942" s="29">
        <v>18.13664</v>
      </c>
      <c r="Q942" s="29" t="s">
        <v>294</v>
      </c>
    </row>
    <row r="943" spans="1:17" x14ac:dyDescent="0.3">
      <c r="B943" s="29">
        <v>3</v>
      </c>
      <c r="C943" s="29" t="s">
        <v>390</v>
      </c>
      <c r="D943" s="30" t="s">
        <v>1051</v>
      </c>
      <c r="G943" s="29" t="s">
        <v>382</v>
      </c>
      <c r="H943" s="29">
        <v>4</v>
      </c>
      <c r="J943" s="29">
        <v>1</v>
      </c>
      <c r="K943" s="29">
        <v>4</v>
      </c>
      <c r="L943" s="29" t="s">
        <v>391</v>
      </c>
      <c r="M943" s="29">
        <v>1</v>
      </c>
      <c r="O943" s="29">
        <v>4</v>
      </c>
      <c r="P943" s="29">
        <v>4</v>
      </c>
      <c r="Q943" s="29" t="s">
        <v>392</v>
      </c>
    </row>
    <row r="944" spans="1:17" x14ac:dyDescent="0.3">
      <c r="A944" s="29" t="s">
        <v>649</v>
      </c>
      <c r="B944" s="29">
        <v>1</v>
      </c>
      <c r="C944" s="29" t="s">
        <v>387</v>
      </c>
      <c r="D944" s="29" t="s">
        <v>1045</v>
      </c>
      <c r="E944" s="29">
        <v>3009</v>
      </c>
      <c r="G944" s="29" t="s">
        <v>292</v>
      </c>
      <c r="H944" s="29">
        <v>1</v>
      </c>
      <c r="I944" s="29">
        <v>9.9600000000000009</v>
      </c>
      <c r="J944" s="29">
        <v>29.969640000000002</v>
      </c>
      <c r="K944" s="29">
        <v>29.969640000000002</v>
      </c>
      <c r="L944" s="29" t="s">
        <v>383</v>
      </c>
      <c r="M944" s="29">
        <v>1</v>
      </c>
      <c r="N944" s="29">
        <v>3.0089999999999999</v>
      </c>
      <c r="O944" s="29">
        <v>1</v>
      </c>
      <c r="P944" s="29">
        <v>29.969640000000002</v>
      </c>
      <c r="Q944" s="29" t="s">
        <v>384</v>
      </c>
    </row>
    <row r="945" spans="1:17" x14ac:dyDescent="0.3">
      <c r="B945" s="29">
        <v>2</v>
      </c>
      <c r="C945" s="29" t="s">
        <v>1049</v>
      </c>
      <c r="D945" s="29">
        <v>9</v>
      </c>
      <c r="E945" s="29">
        <v>260</v>
      </c>
      <c r="F945" s="29">
        <v>260</v>
      </c>
      <c r="G945" s="29" t="s">
        <v>292</v>
      </c>
      <c r="H945" s="29">
        <v>1</v>
      </c>
      <c r="J945" s="29">
        <v>4.7759399999999994</v>
      </c>
      <c r="K945" s="29">
        <v>4.7759399999999994</v>
      </c>
      <c r="L945" s="29" t="s">
        <v>293</v>
      </c>
      <c r="M945" s="29">
        <v>1</v>
      </c>
      <c r="O945" s="29">
        <v>1</v>
      </c>
      <c r="P945" s="29">
        <v>4.7759399999999994</v>
      </c>
      <c r="Q945" s="29" t="s">
        <v>294</v>
      </c>
    </row>
    <row r="946" spans="1:17" x14ac:dyDescent="0.3">
      <c r="B946" s="29">
        <v>3</v>
      </c>
      <c r="C946" s="29" t="s">
        <v>390</v>
      </c>
      <c r="D946" s="30" t="s">
        <v>295</v>
      </c>
      <c r="G946" s="29" t="s">
        <v>382</v>
      </c>
      <c r="H946" s="29">
        <v>4</v>
      </c>
      <c r="J946" s="29">
        <v>1</v>
      </c>
      <c r="K946" s="29">
        <v>4</v>
      </c>
      <c r="L946" s="29" t="s">
        <v>391</v>
      </c>
      <c r="M946" s="29">
        <v>1</v>
      </c>
      <c r="O946" s="29">
        <v>4</v>
      </c>
      <c r="P946" s="29">
        <v>4</v>
      </c>
      <c r="Q946" s="29" t="s">
        <v>392</v>
      </c>
    </row>
    <row r="947" spans="1:17" x14ac:dyDescent="0.3">
      <c r="A947" s="29" t="s">
        <v>650</v>
      </c>
      <c r="B947" s="29">
        <v>1</v>
      </c>
      <c r="C947" s="29" t="s">
        <v>1029</v>
      </c>
      <c r="D947" s="29" t="s">
        <v>1030</v>
      </c>
      <c r="E947" s="29">
        <v>1700</v>
      </c>
      <c r="G947" s="29" t="s">
        <v>292</v>
      </c>
      <c r="H947" s="29">
        <v>1</v>
      </c>
      <c r="I947" s="29">
        <v>13.4</v>
      </c>
      <c r="J947" s="29">
        <v>22.78</v>
      </c>
      <c r="K947" s="29">
        <v>22.78</v>
      </c>
      <c r="L947" s="29" t="s">
        <v>383</v>
      </c>
      <c r="M947" s="29">
        <v>1</v>
      </c>
      <c r="N947" s="29">
        <v>1.7</v>
      </c>
      <c r="O947" s="29">
        <v>1</v>
      </c>
      <c r="P947" s="29">
        <v>22.78</v>
      </c>
      <c r="Q947" s="29" t="s">
        <v>384</v>
      </c>
    </row>
    <row r="948" spans="1:17" x14ac:dyDescent="0.3">
      <c r="A948" s="29" t="s">
        <v>651</v>
      </c>
      <c r="B948" s="29">
        <v>1</v>
      </c>
      <c r="C948" s="29" t="s">
        <v>1029</v>
      </c>
      <c r="D948" s="29" t="s">
        <v>1030</v>
      </c>
      <c r="E948" s="29">
        <v>1785</v>
      </c>
      <c r="G948" s="29" t="s">
        <v>292</v>
      </c>
      <c r="H948" s="29">
        <v>1</v>
      </c>
      <c r="I948" s="29">
        <v>13.4</v>
      </c>
      <c r="J948" s="29">
        <v>23.919</v>
      </c>
      <c r="K948" s="29">
        <v>23.919</v>
      </c>
      <c r="L948" s="29" t="s">
        <v>383</v>
      </c>
      <c r="M948" s="29">
        <v>1</v>
      </c>
      <c r="N948" s="29">
        <v>1.7849999999999999</v>
      </c>
      <c r="O948" s="29">
        <v>1</v>
      </c>
      <c r="P948" s="29">
        <v>23.919</v>
      </c>
      <c r="Q948" s="29" t="s">
        <v>384</v>
      </c>
    </row>
    <row r="949" spans="1:17" x14ac:dyDescent="0.3">
      <c r="A949" s="29" t="s">
        <v>652</v>
      </c>
      <c r="B949" s="29">
        <v>1</v>
      </c>
      <c r="C949" s="29" t="s">
        <v>1029</v>
      </c>
      <c r="D949" s="29" t="s">
        <v>1052</v>
      </c>
      <c r="E949" s="29">
        <v>1400</v>
      </c>
      <c r="G949" s="29" t="s">
        <v>292</v>
      </c>
      <c r="H949" s="29">
        <v>1</v>
      </c>
      <c r="I949" s="29">
        <v>24</v>
      </c>
      <c r="J949" s="29">
        <v>33.599999999999994</v>
      </c>
      <c r="K949" s="29">
        <v>33.599999999999994</v>
      </c>
      <c r="L949" s="29" t="s">
        <v>383</v>
      </c>
      <c r="M949" s="29">
        <v>1</v>
      </c>
      <c r="N949" s="29">
        <v>1.4</v>
      </c>
      <c r="O949" s="29">
        <v>1</v>
      </c>
      <c r="P949" s="29">
        <v>33.599999999999994</v>
      </c>
      <c r="Q949" s="29" t="s">
        <v>384</v>
      </c>
    </row>
    <row r="950" spans="1:17" x14ac:dyDescent="0.3">
      <c r="A950" s="29" t="s">
        <v>653</v>
      </c>
      <c r="B950" s="29">
        <v>1</v>
      </c>
      <c r="C950" s="29" t="s">
        <v>1029</v>
      </c>
      <c r="D950" s="29" t="s">
        <v>1052</v>
      </c>
      <c r="E950" s="29">
        <v>2000</v>
      </c>
      <c r="G950" s="29" t="s">
        <v>292</v>
      </c>
      <c r="H950" s="29">
        <v>1</v>
      </c>
      <c r="I950" s="29">
        <v>24</v>
      </c>
      <c r="J950" s="29">
        <v>48</v>
      </c>
      <c r="K950" s="29">
        <v>48</v>
      </c>
      <c r="L950" s="29" t="s">
        <v>383</v>
      </c>
      <c r="M950" s="29">
        <v>1</v>
      </c>
      <c r="N950" s="29">
        <v>2</v>
      </c>
      <c r="O950" s="29">
        <v>1</v>
      </c>
      <c r="P950" s="29">
        <v>48</v>
      </c>
      <c r="Q950" s="29" t="s">
        <v>384</v>
      </c>
    </row>
    <row r="951" spans="1:17" x14ac:dyDescent="0.3">
      <c r="A951" s="29" t="s">
        <v>654</v>
      </c>
      <c r="B951" s="29">
        <v>1</v>
      </c>
      <c r="C951" s="29" t="s">
        <v>1029</v>
      </c>
      <c r="D951" s="29" t="s">
        <v>1052</v>
      </c>
      <c r="E951" s="29">
        <v>2300</v>
      </c>
      <c r="G951" s="29" t="s">
        <v>292</v>
      </c>
      <c r="H951" s="29">
        <v>1</v>
      </c>
      <c r="I951" s="29">
        <v>24</v>
      </c>
      <c r="J951" s="29">
        <v>55.199999999999996</v>
      </c>
      <c r="K951" s="29">
        <v>55.199999999999996</v>
      </c>
      <c r="L951" s="29" t="s">
        <v>383</v>
      </c>
      <c r="M951" s="29">
        <v>1</v>
      </c>
      <c r="N951" s="29">
        <v>2.2999999999999998</v>
      </c>
      <c r="O951" s="29">
        <v>1</v>
      </c>
      <c r="P951" s="29">
        <v>55.199999999999996</v>
      </c>
      <c r="Q951" s="29" t="s">
        <v>384</v>
      </c>
    </row>
    <row r="952" spans="1:17" x14ac:dyDescent="0.3">
      <c r="A952" s="29" t="s">
        <v>655</v>
      </c>
      <c r="B952" s="29">
        <v>1</v>
      </c>
      <c r="C952" s="29" t="s">
        <v>1029</v>
      </c>
      <c r="D952" s="29" t="s">
        <v>1052</v>
      </c>
      <c r="E952" s="29">
        <v>1285</v>
      </c>
      <c r="G952" s="29" t="s">
        <v>292</v>
      </c>
      <c r="H952" s="29">
        <v>1</v>
      </c>
      <c r="I952" s="29">
        <v>24</v>
      </c>
      <c r="J952" s="29">
        <v>30.839999999999996</v>
      </c>
      <c r="K952" s="29">
        <v>30.839999999999996</v>
      </c>
      <c r="L952" s="29" t="s">
        <v>383</v>
      </c>
      <c r="M952" s="29">
        <v>1</v>
      </c>
      <c r="N952" s="29">
        <v>1.2849999999999999</v>
      </c>
      <c r="O952" s="29">
        <v>1</v>
      </c>
      <c r="P952" s="29">
        <v>30.839999999999996</v>
      </c>
      <c r="Q952" s="29" t="s">
        <v>384</v>
      </c>
    </row>
    <row r="953" spans="1:17" x14ac:dyDescent="0.3">
      <c r="A953" s="29" t="s">
        <v>656</v>
      </c>
      <c r="B953" s="29">
        <v>1</v>
      </c>
      <c r="C953" s="29" t="s">
        <v>387</v>
      </c>
      <c r="D953" s="29" t="s">
        <v>1044</v>
      </c>
      <c r="E953" s="29">
        <v>400</v>
      </c>
      <c r="G953" s="29" t="s">
        <v>292</v>
      </c>
      <c r="H953" s="29">
        <v>1</v>
      </c>
      <c r="I953" s="29">
        <v>4.43</v>
      </c>
      <c r="J953" s="29">
        <v>1.772</v>
      </c>
      <c r="K953" s="29">
        <v>1.772</v>
      </c>
      <c r="L953" s="29" t="s">
        <v>383</v>
      </c>
      <c r="M953" s="29">
        <v>1</v>
      </c>
      <c r="N953" s="29">
        <v>0.4</v>
      </c>
      <c r="O953" s="29">
        <v>1</v>
      </c>
      <c r="P953" s="29">
        <v>1.772</v>
      </c>
      <c r="Q953" s="29" t="s">
        <v>384</v>
      </c>
    </row>
    <row r="954" spans="1:17" x14ac:dyDescent="0.3">
      <c r="A954" s="29" t="s">
        <v>656</v>
      </c>
      <c r="B954" s="29">
        <v>1</v>
      </c>
      <c r="C954" s="29" t="s">
        <v>387</v>
      </c>
      <c r="D954" s="29" t="s">
        <v>1044</v>
      </c>
      <c r="E954" s="29">
        <v>400</v>
      </c>
      <c r="G954" s="29" t="s">
        <v>292</v>
      </c>
      <c r="H954" s="29">
        <v>1</v>
      </c>
      <c r="I954" s="29">
        <v>4.43</v>
      </c>
      <c r="J954" s="29">
        <v>1.772</v>
      </c>
      <c r="K954" s="29">
        <v>1.772</v>
      </c>
      <c r="L954" s="29" t="s">
        <v>383</v>
      </c>
      <c r="M954" s="29">
        <v>1</v>
      </c>
      <c r="N954" s="29">
        <v>0.4</v>
      </c>
      <c r="O954" s="29">
        <v>1</v>
      </c>
      <c r="P954" s="29">
        <v>1.772</v>
      </c>
      <c r="Q954" s="29" t="s">
        <v>384</v>
      </c>
    </row>
    <row r="955" spans="1:17" x14ac:dyDescent="0.3">
      <c r="A955" s="29" t="s">
        <v>657</v>
      </c>
      <c r="B955" s="29">
        <v>1</v>
      </c>
      <c r="C955" s="29" t="s">
        <v>387</v>
      </c>
      <c r="D955" s="29" t="s">
        <v>1044</v>
      </c>
      <c r="E955" s="29">
        <v>500</v>
      </c>
      <c r="G955" s="29" t="s">
        <v>292</v>
      </c>
      <c r="H955" s="29">
        <v>1</v>
      </c>
      <c r="I955" s="29">
        <v>4.43</v>
      </c>
      <c r="J955" s="29">
        <v>2.2149999999999999</v>
      </c>
      <c r="K955" s="29">
        <v>2.2149999999999999</v>
      </c>
      <c r="L955" s="29" t="s">
        <v>383</v>
      </c>
      <c r="M955" s="29">
        <v>1</v>
      </c>
      <c r="N955" s="29">
        <v>0.5</v>
      </c>
      <c r="O955" s="29">
        <v>1</v>
      </c>
      <c r="P955" s="29">
        <v>2.2149999999999999</v>
      </c>
      <c r="Q955" s="29" t="s">
        <v>384</v>
      </c>
    </row>
    <row r="956" spans="1:17" x14ac:dyDescent="0.3">
      <c r="A956" s="29" t="s">
        <v>657</v>
      </c>
      <c r="B956" s="29">
        <v>1</v>
      </c>
      <c r="C956" s="29" t="s">
        <v>387</v>
      </c>
      <c r="D956" s="29" t="s">
        <v>1044</v>
      </c>
      <c r="E956" s="29">
        <v>500</v>
      </c>
      <c r="G956" s="29" t="s">
        <v>292</v>
      </c>
      <c r="H956" s="29">
        <v>1</v>
      </c>
      <c r="I956" s="29">
        <v>4.43</v>
      </c>
      <c r="J956" s="29">
        <v>2.2149999999999999</v>
      </c>
      <c r="K956" s="29">
        <v>2.2149999999999999</v>
      </c>
      <c r="L956" s="29" t="s">
        <v>383</v>
      </c>
      <c r="M956" s="29">
        <v>1</v>
      </c>
      <c r="N956" s="29">
        <v>0.5</v>
      </c>
      <c r="O956" s="29">
        <v>1</v>
      </c>
      <c r="P956" s="29">
        <v>2.2149999999999999</v>
      </c>
      <c r="Q956" s="29" t="s">
        <v>384</v>
      </c>
    </row>
    <row r="957" spans="1:17" x14ac:dyDescent="0.3">
      <c r="A957" s="29" t="s">
        <v>657</v>
      </c>
      <c r="B957" s="29">
        <v>1</v>
      </c>
      <c r="C957" s="29" t="s">
        <v>387</v>
      </c>
      <c r="D957" s="29" t="s">
        <v>1044</v>
      </c>
      <c r="E957" s="29">
        <v>500</v>
      </c>
      <c r="G957" s="29" t="s">
        <v>292</v>
      </c>
      <c r="H957" s="29">
        <v>1</v>
      </c>
      <c r="I957" s="29">
        <v>4.43</v>
      </c>
      <c r="J957" s="29">
        <v>2.2149999999999999</v>
      </c>
      <c r="K957" s="29">
        <v>2.2149999999999999</v>
      </c>
      <c r="L957" s="29" t="s">
        <v>383</v>
      </c>
      <c r="M957" s="29">
        <v>1</v>
      </c>
      <c r="N957" s="29">
        <v>0.5</v>
      </c>
      <c r="O957" s="29">
        <v>1</v>
      </c>
      <c r="P957" s="29">
        <v>2.2149999999999999</v>
      </c>
      <c r="Q957" s="29" t="s">
        <v>384</v>
      </c>
    </row>
    <row r="958" spans="1:17" x14ac:dyDescent="0.3">
      <c r="A958" s="29" t="s">
        <v>657</v>
      </c>
      <c r="B958" s="29">
        <v>1</v>
      </c>
      <c r="C958" s="29" t="s">
        <v>387</v>
      </c>
      <c r="D958" s="29" t="s">
        <v>1044</v>
      </c>
      <c r="E958" s="29">
        <v>500</v>
      </c>
      <c r="G958" s="29" t="s">
        <v>292</v>
      </c>
      <c r="H958" s="29">
        <v>1</v>
      </c>
      <c r="I958" s="29">
        <v>4.43</v>
      </c>
      <c r="J958" s="29">
        <v>2.2149999999999999</v>
      </c>
      <c r="K958" s="29">
        <v>2.2149999999999999</v>
      </c>
      <c r="L958" s="29" t="s">
        <v>383</v>
      </c>
      <c r="M958" s="29">
        <v>1</v>
      </c>
      <c r="N958" s="29">
        <v>0.5</v>
      </c>
      <c r="O958" s="29">
        <v>1</v>
      </c>
      <c r="P958" s="29">
        <v>2.2149999999999999</v>
      </c>
      <c r="Q958" s="29" t="s">
        <v>384</v>
      </c>
    </row>
    <row r="959" spans="1:17" x14ac:dyDescent="0.3">
      <c r="A959" s="29" t="s">
        <v>658</v>
      </c>
      <c r="B959" s="29">
        <v>1</v>
      </c>
      <c r="C959" s="29" t="s">
        <v>387</v>
      </c>
      <c r="D959" s="29" t="s">
        <v>1044</v>
      </c>
      <c r="E959" s="29">
        <v>600</v>
      </c>
      <c r="G959" s="29" t="s">
        <v>292</v>
      </c>
      <c r="H959" s="29">
        <v>1</v>
      </c>
      <c r="I959" s="29">
        <v>4.43</v>
      </c>
      <c r="J959" s="29">
        <v>2.6579999999999999</v>
      </c>
      <c r="K959" s="29">
        <v>2.6579999999999999</v>
      </c>
      <c r="L959" s="29" t="s">
        <v>383</v>
      </c>
      <c r="M959" s="29">
        <v>1</v>
      </c>
      <c r="N959" s="29">
        <v>0.6</v>
      </c>
      <c r="O959" s="29">
        <v>1</v>
      </c>
      <c r="P959" s="29">
        <v>2.6579999999999999</v>
      </c>
      <c r="Q959" s="29" t="s">
        <v>384</v>
      </c>
    </row>
    <row r="960" spans="1:17" x14ac:dyDescent="0.3">
      <c r="A960" s="29" t="s">
        <v>659</v>
      </c>
      <c r="B960" s="29">
        <v>1</v>
      </c>
      <c r="C960" s="29" t="s">
        <v>387</v>
      </c>
      <c r="D960" s="29" t="s">
        <v>1044</v>
      </c>
      <c r="E960" s="29">
        <v>800</v>
      </c>
      <c r="G960" s="29" t="s">
        <v>292</v>
      </c>
      <c r="H960" s="29">
        <v>1</v>
      </c>
      <c r="I960" s="29">
        <v>4.43</v>
      </c>
      <c r="J960" s="29">
        <v>3.544</v>
      </c>
      <c r="K960" s="29">
        <v>3.544</v>
      </c>
      <c r="L960" s="29" t="s">
        <v>383</v>
      </c>
      <c r="M960" s="29">
        <v>1</v>
      </c>
      <c r="N960" s="29">
        <v>0.8</v>
      </c>
      <c r="O960" s="29">
        <v>1</v>
      </c>
      <c r="P960" s="29">
        <v>3.544</v>
      </c>
      <c r="Q960" s="29" t="s">
        <v>384</v>
      </c>
    </row>
    <row r="961" spans="1:17" x14ac:dyDescent="0.3">
      <c r="A961" s="29" t="s">
        <v>660</v>
      </c>
      <c r="B961" s="29">
        <v>1</v>
      </c>
      <c r="C961" s="29" t="s">
        <v>387</v>
      </c>
      <c r="D961" s="29" t="s">
        <v>1044</v>
      </c>
      <c r="E961" s="29">
        <v>700</v>
      </c>
      <c r="G961" s="29" t="s">
        <v>292</v>
      </c>
      <c r="H961" s="29">
        <v>1</v>
      </c>
      <c r="I961" s="29">
        <v>4.43</v>
      </c>
      <c r="J961" s="29">
        <v>3.1009999999999995</v>
      </c>
      <c r="K961" s="29">
        <v>3.1009999999999995</v>
      </c>
      <c r="L961" s="29" t="s">
        <v>383</v>
      </c>
      <c r="M961" s="29">
        <v>1</v>
      </c>
      <c r="N961" s="29">
        <v>0.7</v>
      </c>
      <c r="O961" s="29">
        <v>1</v>
      </c>
      <c r="P961" s="29">
        <v>3.1009999999999995</v>
      </c>
      <c r="Q961" s="29" t="s">
        <v>384</v>
      </c>
    </row>
    <row r="962" spans="1:17" x14ac:dyDescent="0.3">
      <c r="A962" s="29" t="s">
        <v>661</v>
      </c>
      <c r="B962" s="29">
        <v>1</v>
      </c>
      <c r="C962" s="29" t="s">
        <v>387</v>
      </c>
      <c r="D962" s="29" t="s">
        <v>1045</v>
      </c>
      <c r="E962" s="29">
        <v>500</v>
      </c>
      <c r="G962" s="29" t="s">
        <v>292</v>
      </c>
      <c r="H962" s="29">
        <v>1</v>
      </c>
      <c r="I962" s="29">
        <v>9.9600000000000009</v>
      </c>
      <c r="J962" s="29">
        <v>4.9800000000000004</v>
      </c>
      <c r="K962" s="29">
        <v>4.9800000000000004</v>
      </c>
      <c r="L962" s="29" t="s">
        <v>383</v>
      </c>
      <c r="M962" s="29">
        <v>1</v>
      </c>
      <c r="N962" s="29">
        <v>0.5</v>
      </c>
      <c r="O962" s="29">
        <v>1</v>
      </c>
      <c r="P962" s="29">
        <v>4.9800000000000004</v>
      </c>
      <c r="Q962" s="29" t="s">
        <v>384</v>
      </c>
    </row>
    <row r="963" spans="1:17" x14ac:dyDescent="0.3">
      <c r="A963" s="29" t="s">
        <v>662</v>
      </c>
      <c r="B963" s="29">
        <v>1</v>
      </c>
      <c r="C963" s="29" t="s">
        <v>387</v>
      </c>
      <c r="D963" s="29" t="s">
        <v>1045</v>
      </c>
      <c r="E963" s="29">
        <v>700</v>
      </c>
      <c r="G963" s="29" t="s">
        <v>292</v>
      </c>
      <c r="H963" s="29">
        <v>1</v>
      </c>
      <c r="I963" s="29">
        <v>9.9600000000000009</v>
      </c>
      <c r="J963" s="29">
        <v>6.9720000000000004</v>
      </c>
      <c r="K963" s="29">
        <v>6.9720000000000004</v>
      </c>
      <c r="L963" s="29" t="s">
        <v>383</v>
      </c>
      <c r="M963" s="29">
        <v>1</v>
      </c>
      <c r="N963" s="29">
        <v>0.7</v>
      </c>
      <c r="O963" s="29">
        <v>1</v>
      </c>
      <c r="P963" s="29">
        <v>6.9720000000000004</v>
      </c>
      <c r="Q963" s="29" t="s">
        <v>384</v>
      </c>
    </row>
    <row r="964" spans="1:17" x14ac:dyDescent="0.3">
      <c r="A964" s="29" t="s">
        <v>663</v>
      </c>
      <c r="B964" s="29">
        <v>1</v>
      </c>
      <c r="C964" s="29" t="s">
        <v>387</v>
      </c>
      <c r="D964" s="29" t="s">
        <v>1045</v>
      </c>
      <c r="E964" s="29">
        <v>1000</v>
      </c>
      <c r="G964" s="29" t="s">
        <v>292</v>
      </c>
      <c r="H964" s="29">
        <v>1</v>
      </c>
      <c r="I964" s="29">
        <v>9.9600000000000009</v>
      </c>
      <c r="J964" s="29">
        <v>9.9600000000000009</v>
      </c>
      <c r="K964" s="29">
        <v>9.9600000000000009</v>
      </c>
      <c r="L964" s="29" t="s">
        <v>383</v>
      </c>
      <c r="M964" s="29">
        <v>1</v>
      </c>
      <c r="N964" s="29">
        <v>1</v>
      </c>
      <c r="O964" s="29">
        <v>1</v>
      </c>
      <c r="P964" s="29">
        <v>9.9600000000000009</v>
      </c>
      <c r="Q964" s="29" t="s">
        <v>384</v>
      </c>
    </row>
    <row r="965" spans="1:17" x14ac:dyDescent="0.3">
      <c r="A965" s="29" t="s">
        <v>664</v>
      </c>
      <c r="B965" s="29">
        <v>1</v>
      </c>
      <c r="C965" s="29" t="s">
        <v>387</v>
      </c>
      <c r="D965" s="29" t="s">
        <v>1045</v>
      </c>
      <c r="E965" s="29">
        <v>500</v>
      </c>
      <c r="G965" s="29" t="s">
        <v>292</v>
      </c>
      <c r="H965" s="29">
        <v>1</v>
      </c>
      <c r="I965" s="29">
        <v>9.9600000000000009</v>
      </c>
      <c r="J965" s="29">
        <v>4.9800000000000004</v>
      </c>
      <c r="K965" s="29">
        <v>4.9800000000000004</v>
      </c>
      <c r="L965" s="29" t="s">
        <v>383</v>
      </c>
      <c r="M965" s="29">
        <v>1</v>
      </c>
      <c r="N965" s="29">
        <v>0.5</v>
      </c>
      <c r="O965" s="29">
        <v>1</v>
      </c>
      <c r="P965" s="29">
        <v>4.9800000000000004</v>
      </c>
      <c r="Q965" s="29" t="s">
        <v>384</v>
      </c>
    </row>
    <row r="966" spans="1:17" x14ac:dyDescent="0.3">
      <c r="A966" s="29" t="s">
        <v>665</v>
      </c>
      <c r="B966" s="29">
        <v>1</v>
      </c>
      <c r="C966" s="29" t="s">
        <v>387</v>
      </c>
      <c r="D966" s="29" t="s">
        <v>1045</v>
      </c>
      <c r="E966" s="29">
        <v>600</v>
      </c>
      <c r="G966" s="29" t="s">
        <v>292</v>
      </c>
      <c r="H966" s="29">
        <v>1</v>
      </c>
      <c r="I966" s="29">
        <v>9.9600000000000009</v>
      </c>
      <c r="J966" s="29">
        <v>5.976</v>
      </c>
      <c r="K966" s="29">
        <v>5.976</v>
      </c>
      <c r="L966" s="29" t="s">
        <v>383</v>
      </c>
      <c r="M966" s="29">
        <v>1</v>
      </c>
      <c r="N966" s="29">
        <v>0.6</v>
      </c>
      <c r="O966" s="29">
        <v>1</v>
      </c>
      <c r="P966" s="29">
        <v>5.976</v>
      </c>
      <c r="Q966" s="29" t="s">
        <v>384</v>
      </c>
    </row>
    <row r="967" spans="1:17" x14ac:dyDescent="0.3">
      <c r="A967" s="29" t="s">
        <v>665</v>
      </c>
      <c r="B967" s="29">
        <v>1</v>
      </c>
      <c r="C967" s="29" t="s">
        <v>387</v>
      </c>
      <c r="D967" s="29" t="s">
        <v>1045</v>
      </c>
      <c r="E967" s="29">
        <v>600</v>
      </c>
      <c r="G967" s="29" t="s">
        <v>292</v>
      </c>
      <c r="H967" s="29">
        <v>1</v>
      </c>
      <c r="I967" s="29">
        <v>9.9600000000000009</v>
      </c>
      <c r="J967" s="29">
        <v>5.976</v>
      </c>
      <c r="K967" s="29">
        <v>5.976</v>
      </c>
      <c r="L967" s="29" t="s">
        <v>383</v>
      </c>
      <c r="M967" s="29">
        <v>1</v>
      </c>
      <c r="N967" s="29">
        <v>0.6</v>
      </c>
      <c r="O967" s="29">
        <v>1</v>
      </c>
      <c r="P967" s="29">
        <v>5.976</v>
      </c>
      <c r="Q967" s="29" t="s">
        <v>384</v>
      </c>
    </row>
    <row r="968" spans="1:17" x14ac:dyDescent="0.3">
      <c r="A968" s="29" t="s">
        <v>666</v>
      </c>
      <c r="B968" s="29">
        <v>1</v>
      </c>
      <c r="C968" s="29" t="s">
        <v>387</v>
      </c>
      <c r="D968" s="29" t="s">
        <v>1045</v>
      </c>
      <c r="E968" s="29">
        <v>800</v>
      </c>
      <c r="G968" s="29" t="s">
        <v>292</v>
      </c>
      <c r="H968" s="29">
        <v>1</v>
      </c>
      <c r="I968" s="29">
        <v>9.9600000000000009</v>
      </c>
      <c r="J968" s="29">
        <v>7.9680000000000009</v>
      </c>
      <c r="K968" s="29">
        <v>7.9680000000000009</v>
      </c>
      <c r="L968" s="29" t="s">
        <v>383</v>
      </c>
      <c r="M968" s="29">
        <v>1</v>
      </c>
      <c r="N968" s="29">
        <v>0.8</v>
      </c>
      <c r="O968" s="29">
        <v>1</v>
      </c>
      <c r="P968" s="29">
        <v>7.9680000000000009</v>
      </c>
      <c r="Q968" s="29" t="s">
        <v>384</v>
      </c>
    </row>
    <row r="969" spans="1:17" x14ac:dyDescent="0.3">
      <c r="A969" s="29" t="s">
        <v>666</v>
      </c>
      <c r="B969" s="29">
        <v>1</v>
      </c>
      <c r="C969" s="29" t="s">
        <v>387</v>
      </c>
      <c r="D969" s="29" t="s">
        <v>1045</v>
      </c>
      <c r="E969" s="29">
        <v>800</v>
      </c>
      <c r="G969" s="29" t="s">
        <v>292</v>
      </c>
      <c r="H969" s="29">
        <v>1</v>
      </c>
      <c r="I969" s="29">
        <v>9.9600000000000009</v>
      </c>
      <c r="J969" s="29">
        <v>7.9680000000000009</v>
      </c>
      <c r="K969" s="29">
        <v>7.9680000000000009</v>
      </c>
      <c r="L969" s="29" t="s">
        <v>383</v>
      </c>
      <c r="M969" s="29">
        <v>1</v>
      </c>
      <c r="N969" s="29">
        <v>0.8</v>
      </c>
      <c r="O969" s="29">
        <v>1</v>
      </c>
      <c r="P969" s="29">
        <v>7.9680000000000009</v>
      </c>
      <c r="Q969" s="29" t="s">
        <v>384</v>
      </c>
    </row>
    <row r="970" spans="1:17" x14ac:dyDescent="0.3">
      <c r="A970" s="29" t="s">
        <v>667</v>
      </c>
      <c r="B970" s="29">
        <v>1</v>
      </c>
      <c r="C970" s="29" t="s">
        <v>387</v>
      </c>
      <c r="D970" s="29" t="s">
        <v>1045</v>
      </c>
      <c r="E970" s="29">
        <v>1300</v>
      </c>
      <c r="G970" s="29" t="s">
        <v>292</v>
      </c>
      <c r="H970" s="29">
        <v>1</v>
      </c>
      <c r="I970" s="29">
        <v>9.9600000000000009</v>
      </c>
      <c r="J970" s="29">
        <v>12.948000000000002</v>
      </c>
      <c r="K970" s="29">
        <v>12.948000000000002</v>
      </c>
      <c r="L970" s="29" t="s">
        <v>383</v>
      </c>
      <c r="M970" s="29">
        <v>1</v>
      </c>
      <c r="N970" s="29">
        <v>1.3</v>
      </c>
      <c r="O970" s="29">
        <v>1</v>
      </c>
      <c r="P970" s="29">
        <v>12.948000000000002</v>
      </c>
      <c r="Q970" s="29" t="s">
        <v>384</v>
      </c>
    </row>
    <row r="971" spans="1:17" x14ac:dyDescent="0.3">
      <c r="A971" s="29" t="s">
        <v>667</v>
      </c>
      <c r="B971" s="29">
        <v>1</v>
      </c>
      <c r="C971" s="29" t="s">
        <v>387</v>
      </c>
      <c r="D971" s="29" t="s">
        <v>1045</v>
      </c>
      <c r="E971" s="29">
        <v>1300</v>
      </c>
      <c r="G971" s="29" t="s">
        <v>292</v>
      </c>
      <c r="H971" s="29">
        <v>1</v>
      </c>
      <c r="I971" s="29">
        <v>9.9600000000000009</v>
      </c>
      <c r="J971" s="29">
        <v>12.948000000000002</v>
      </c>
      <c r="K971" s="29">
        <v>12.948000000000002</v>
      </c>
      <c r="L971" s="29" t="s">
        <v>383</v>
      </c>
      <c r="M971" s="29">
        <v>1</v>
      </c>
      <c r="N971" s="29">
        <v>1.3</v>
      </c>
      <c r="O971" s="29">
        <v>1</v>
      </c>
      <c r="P971" s="29">
        <v>12.948000000000002</v>
      </c>
      <c r="Q971" s="29" t="s">
        <v>384</v>
      </c>
    </row>
    <row r="972" spans="1:17" x14ac:dyDescent="0.3">
      <c r="A972" s="29" t="s">
        <v>668</v>
      </c>
      <c r="B972" s="29">
        <v>1</v>
      </c>
      <c r="C972" s="29" t="s">
        <v>387</v>
      </c>
      <c r="D972" s="29" t="s">
        <v>1045</v>
      </c>
      <c r="E972" s="29">
        <v>1400</v>
      </c>
      <c r="G972" s="29" t="s">
        <v>292</v>
      </c>
      <c r="H972" s="29">
        <v>1</v>
      </c>
      <c r="I972" s="29">
        <v>9.9600000000000009</v>
      </c>
      <c r="J972" s="29">
        <v>13.944000000000001</v>
      </c>
      <c r="K972" s="29">
        <v>13.944000000000001</v>
      </c>
      <c r="L972" s="29" t="s">
        <v>383</v>
      </c>
      <c r="M972" s="29">
        <v>1</v>
      </c>
      <c r="N972" s="29">
        <v>1.4</v>
      </c>
      <c r="O972" s="29">
        <v>1</v>
      </c>
      <c r="P972" s="29">
        <v>13.944000000000001</v>
      </c>
      <c r="Q972" s="29" t="s">
        <v>384</v>
      </c>
    </row>
    <row r="973" spans="1:17" x14ac:dyDescent="0.3">
      <c r="A973" s="29" t="s">
        <v>669</v>
      </c>
      <c r="B973" s="29">
        <v>1</v>
      </c>
      <c r="C973" s="29" t="s">
        <v>387</v>
      </c>
      <c r="D973" s="29" t="s">
        <v>1045</v>
      </c>
      <c r="E973" s="29">
        <v>600</v>
      </c>
      <c r="G973" s="29" t="s">
        <v>292</v>
      </c>
      <c r="H973" s="29">
        <v>1</v>
      </c>
      <c r="I973" s="29">
        <v>9.9600000000000009</v>
      </c>
      <c r="J973" s="29">
        <v>5.976</v>
      </c>
      <c r="K973" s="29">
        <v>5.976</v>
      </c>
      <c r="L973" s="29" t="s">
        <v>383</v>
      </c>
      <c r="M973" s="29">
        <v>1</v>
      </c>
      <c r="N973" s="29">
        <v>0.6</v>
      </c>
      <c r="O973" s="29">
        <v>1</v>
      </c>
      <c r="P973" s="29">
        <v>5.976</v>
      </c>
      <c r="Q973" s="29" t="s">
        <v>384</v>
      </c>
    </row>
    <row r="974" spans="1:17" x14ac:dyDescent="0.3">
      <c r="A974" s="29" t="s">
        <v>670</v>
      </c>
      <c r="B974" s="29">
        <v>1</v>
      </c>
      <c r="C974" s="29" t="s">
        <v>387</v>
      </c>
      <c r="D974" s="29" t="s">
        <v>1045</v>
      </c>
      <c r="E974" s="29">
        <v>700</v>
      </c>
      <c r="G974" s="29" t="s">
        <v>292</v>
      </c>
      <c r="H974" s="29">
        <v>1</v>
      </c>
      <c r="I974" s="29">
        <v>9.9600000000000009</v>
      </c>
      <c r="J974" s="29">
        <v>6.9720000000000004</v>
      </c>
      <c r="K974" s="29">
        <v>6.9720000000000004</v>
      </c>
      <c r="L974" s="29" t="s">
        <v>383</v>
      </c>
      <c r="M974" s="29">
        <v>1</v>
      </c>
      <c r="N974" s="29">
        <v>0.7</v>
      </c>
      <c r="O974" s="29">
        <v>1</v>
      </c>
      <c r="P974" s="29">
        <v>6.9720000000000004</v>
      </c>
      <c r="Q974" s="29" t="s">
        <v>384</v>
      </c>
    </row>
    <row r="975" spans="1:17" x14ac:dyDescent="0.3">
      <c r="A975" s="29" t="s">
        <v>671</v>
      </c>
      <c r="B975" s="29">
        <v>1</v>
      </c>
      <c r="C975" s="29" t="s">
        <v>387</v>
      </c>
      <c r="D975" s="29" t="s">
        <v>1045</v>
      </c>
      <c r="E975" s="29">
        <v>900</v>
      </c>
      <c r="G975" s="29" t="s">
        <v>292</v>
      </c>
      <c r="H975" s="29">
        <v>1</v>
      </c>
      <c r="I975" s="29">
        <v>9.9600000000000009</v>
      </c>
      <c r="J975" s="29">
        <v>8.9640000000000004</v>
      </c>
      <c r="K975" s="29">
        <v>8.9640000000000004</v>
      </c>
      <c r="L975" s="29" t="s">
        <v>383</v>
      </c>
      <c r="M975" s="29">
        <v>1</v>
      </c>
      <c r="N975" s="29">
        <v>0.9</v>
      </c>
      <c r="O975" s="29">
        <v>1</v>
      </c>
      <c r="P975" s="29">
        <v>8.9640000000000004</v>
      </c>
      <c r="Q975" s="29" t="s">
        <v>384</v>
      </c>
    </row>
    <row r="976" spans="1:17" x14ac:dyDescent="0.3">
      <c r="A976" s="29" t="s">
        <v>672</v>
      </c>
      <c r="B976" s="29">
        <v>1</v>
      </c>
      <c r="C976" s="29" t="s">
        <v>387</v>
      </c>
      <c r="D976" s="29" t="s">
        <v>1045</v>
      </c>
      <c r="E976" s="29">
        <v>900</v>
      </c>
      <c r="G976" s="29" t="s">
        <v>292</v>
      </c>
      <c r="H976" s="29">
        <v>1</v>
      </c>
      <c r="I976" s="29">
        <v>9.9600000000000009</v>
      </c>
      <c r="J976" s="29">
        <v>8.9640000000000004</v>
      </c>
      <c r="K976" s="29">
        <v>8.9640000000000004</v>
      </c>
      <c r="L976" s="29" t="s">
        <v>383</v>
      </c>
      <c r="M976" s="29">
        <v>1</v>
      </c>
      <c r="N976" s="29">
        <v>0.9</v>
      </c>
      <c r="O976" s="29">
        <v>1</v>
      </c>
      <c r="P976" s="29">
        <v>8.9640000000000004</v>
      </c>
      <c r="Q976" s="29" t="s">
        <v>384</v>
      </c>
    </row>
    <row r="977" spans="1:17" x14ac:dyDescent="0.3">
      <c r="A977" s="29" t="s">
        <v>673</v>
      </c>
      <c r="B977" s="29">
        <v>1</v>
      </c>
      <c r="C977" s="29" t="s">
        <v>387</v>
      </c>
      <c r="D977" s="29" t="s">
        <v>1045</v>
      </c>
      <c r="E977" s="29">
        <v>1300</v>
      </c>
      <c r="G977" s="29" t="s">
        <v>292</v>
      </c>
      <c r="H977" s="29">
        <v>1</v>
      </c>
      <c r="I977" s="29">
        <v>9.9600000000000009</v>
      </c>
      <c r="J977" s="29">
        <v>12.948000000000002</v>
      </c>
      <c r="K977" s="29">
        <v>12.948000000000002</v>
      </c>
      <c r="L977" s="29" t="s">
        <v>383</v>
      </c>
      <c r="M977" s="29">
        <v>1</v>
      </c>
      <c r="N977" s="29">
        <v>1.3</v>
      </c>
      <c r="O977" s="29">
        <v>1</v>
      </c>
      <c r="P977" s="29">
        <v>12.948000000000002</v>
      </c>
      <c r="Q977" s="29" t="s">
        <v>384</v>
      </c>
    </row>
    <row r="978" spans="1:17" x14ac:dyDescent="0.3">
      <c r="A978" s="29" t="s">
        <v>674</v>
      </c>
      <c r="B978" s="29">
        <v>1</v>
      </c>
      <c r="C978" s="29" t="s">
        <v>387</v>
      </c>
      <c r="D978" s="29" t="s">
        <v>1045</v>
      </c>
      <c r="E978" s="29">
        <v>900</v>
      </c>
      <c r="G978" s="29" t="s">
        <v>292</v>
      </c>
      <c r="H978" s="29">
        <v>1</v>
      </c>
      <c r="I978" s="29">
        <v>9.9600000000000009</v>
      </c>
      <c r="J978" s="29">
        <v>8.9640000000000004</v>
      </c>
      <c r="K978" s="29">
        <v>8.9640000000000004</v>
      </c>
      <c r="L978" s="29" t="s">
        <v>383</v>
      </c>
      <c r="M978" s="29">
        <v>1</v>
      </c>
      <c r="N978" s="29">
        <v>0.9</v>
      </c>
      <c r="O978" s="29">
        <v>1</v>
      </c>
      <c r="P978" s="29">
        <v>8.9640000000000004</v>
      </c>
      <c r="Q978" s="29" t="s">
        <v>384</v>
      </c>
    </row>
    <row r="979" spans="1:17" x14ac:dyDescent="0.3">
      <c r="A979" s="29" t="s">
        <v>675</v>
      </c>
      <c r="B979" s="29">
        <v>1</v>
      </c>
      <c r="C979" s="29" t="s">
        <v>387</v>
      </c>
      <c r="D979" s="29" t="s">
        <v>1045</v>
      </c>
      <c r="E979" s="29">
        <v>1000</v>
      </c>
      <c r="G979" s="29" t="s">
        <v>292</v>
      </c>
      <c r="H979" s="29">
        <v>1</v>
      </c>
      <c r="I979" s="29">
        <v>9.9600000000000009</v>
      </c>
      <c r="J979" s="29">
        <v>9.9600000000000009</v>
      </c>
      <c r="K979" s="29">
        <v>9.9600000000000009</v>
      </c>
      <c r="L979" s="29" t="s">
        <v>383</v>
      </c>
      <c r="M979" s="29">
        <v>1</v>
      </c>
      <c r="N979" s="29">
        <v>1</v>
      </c>
      <c r="O979" s="29">
        <v>1</v>
      </c>
      <c r="P979" s="29">
        <v>9.9600000000000009</v>
      </c>
      <c r="Q979" s="29" t="s">
        <v>384</v>
      </c>
    </row>
    <row r="980" spans="1:17" x14ac:dyDescent="0.3">
      <c r="A980" s="29" t="s">
        <v>676</v>
      </c>
      <c r="B980" s="29">
        <v>1</v>
      </c>
      <c r="C980" s="29" t="s">
        <v>387</v>
      </c>
      <c r="D980" s="29" t="s">
        <v>1045</v>
      </c>
      <c r="E980" s="29">
        <v>1000</v>
      </c>
      <c r="G980" s="29" t="s">
        <v>292</v>
      </c>
      <c r="H980" s="29">
        <v>1</v>
      </c>
      <c r="I980" s="29">
        <v>9.9600000000000009</v>
      </c>
      <c r="J980" s="29">
        <v>9.9600000000000009</v>
      </c>
      <c r="K980" s="29">
        <v>9.9600000000000009</v>
      </c>
      <c r="L980" s="29" t="s">
        <v>383</v>
      </c>
      <c r="M980" s="29">
        <v>1</v>
      </c>
      <c r="N980" s="29">
        <v>1</v>
      </c>
      <c r="O980" s="29">
        <v>1</v>
      </c>
      <c r="P980" s="29">
        <v>9.9600000000000009</v>
      </c>
      <c r="Q980" s="29" t="s">
        <v>384</v>
      </c>
    </row>
    <row r="981" spans="1:17" x14ac:dyDescent="0.3">
      <c r="A981" s="29" t="s">
        <v>676</v>
      </c>
      <c r="B981" s="29">
        <v>1</v>
      </c>
      <c r="C981" s="29" t="s">
        <v>387</v>
      </c>
      <c r="D981" s="29" t="s">
        <v>1045</v>
      </c>
      <c r="E981" s="29">
        <v>1000</v>
      </c>
      <c r="G981" s="29" t="s">
        <v>292</v>
      </c>
      <c r="H981" s="29">
        <v>1</v>
      </c>
      <c r="I981" s="29">
        <v>9.9600000000000009</v>
      </c>
      <c r="J981" s="29">
        <v>9.9600000000000009</v>
      </c>
      <c r="K981" s="29">
        <v>9.9600000000000009</v>
      </c>
      <c r="L981" s="29" t="s">
        <v>383</v>
      </c>
      <c r="M981" s="29">
        <v>1</v>
      </c>
      <c r="N981" s="29">
        <v>1</v>
      </c>
      <c r="O981" s="29">
        <v>1</v>
      </c>
      <c r="P981" s="29">
        <v>9.9600000000000009</v>
      </c>
      <c r="Q981" s="29" t="s">
        <v>384</v>
      </c>
    </row>
    <row r="982" spans="1:17" x14ac:dyDescent="0.3">
      <c r="A982" s="29" t="s">
        <v>677</v>
      </c>
      <c r="B982" s="29">
        <v>1</v>
      </c>
      <c r="C982" s="29" t="s">
        <v>387</v>
      </c>
      <c r="D982" s="29" t="s">
        <v>1045</v>
      </c>
      <c r="E982" s="29">
        <v>1100</v>
      </c>
      <c r="G982" s="29" t="s">
        <v>292</v>
      </c>
      <c r="H982" s="29">
        <v>1</v>
      </c>
      <c r="I982" s="29">
        <v>9.9600000000000009</v>
      </c>
      <c r="J982" s="29">
        <v>10.956000000000001</v>
      </c>
      <c r="K982" s="29">
        <v>10.956000000000001</v>
      </c>
      <c r="L982" s="29" t="s">
        <v>383</v>
      </c>
      <c r="M982" s="29">
        <v>1</v>
      </c>
      <c r="N982" s="29">
        <v>1.1000000000000001</v>
      </c>
      <c r="O982" s="29">
        <v>1</v>
      </c>
      <c r="P982" s="29">
        <v>10.956000000000001</v>
      </c>
      <c r="Q982" s="29" t="s">
        <v>384</v>
      </c>
    </row>
    <row r="983" spans="1:17" x14ac:dyDescent="0.3">
      <c r="A983" s="29" t="s">
        <v>678</v>
      </c>
      <c r="B983" s="29">
        <v>1</v>
      </c>
      <c r="C983" s="29" t="s">
        <v>387</v>
      </c>
      <c r="D983" s="29" t="s">
        <v>1045</v>
      </c>
      <c r="E983" s="29">
        <v>1085</v>
      </c>
      <c r="G983" s="29" t="s">
        <v>292</v>
      </c>
      <c r="H983" s="29">
        <v>1</v>
      </c>
      <c r="I983" s="29">
        <v>9.9600000000000009</v>
      </c>
      <c r="J983" s="29">
        <v>10.806600000000001</v>
      </c>
      <c r="K983" s="29">
        <v>10.806600000000001</v>
      </c>
      <c r="L983" s="29" t="s">
        <v>383</v>
      </c>
      <c r="M983" s="29">
        <v>1</v>
      </c>
      <c r="N983" s="29">
        <v>1.085</v>
      </c>
      <c r="O983" s="29">
        <v>1</v>
      </c>
      <c r="P983" s="29">
        <v>10.806600000000001</v>
      </c>
      <c r="Q983" s="29" t="s">
        <v>384</v>
      </c>
    </row>
    <row r="984" spans="1:17" x14ac:dyDescent="0.3">
      <c r="A984" s="29" t="s">
        <v>679</v>
      </c>
      <c r="B984" s="29">
        <v>1</v>
      </c>
      <c r="C984" s="29" t="s">
        <v>387</v>
      </c>
      <c r="D984" s="29" t="s">
        <v>1045</v>
      </c>
      <c r="E984" s="29">
        <v>1185</v>
      </c>
      <c r="G984" s="29" t="s">
        <v>292</v>
      </c>
      <c r="H984" s="29">
        <v>1</v>
      </c>
      <c r="I984" s="29">
        <v>9.9600000000000009</v>
      </c>
      <c r="J984" s="29">
        <v>11.802600000000002</v>
      </c>
      <c r="K984" s="29">
        <v>11.802600000000002</v>
      </c>
      <c r="L984" s="29" t="s">
        <v>383</v>
      </c>
      <c r="M984" s="29">
        <v>1</v>
      </c>
      <c r="N984" s="29">
        <v>1.1850000000000001</v>
      </c>
      <c r="O984" s="29">
        <v>1</v>
      </c>
      <c r="P984" s="29">
        <v>11.802600000000002</v>
      </c>
      <c r="Q984" s="29" t="s">
        <v>384</v>
      </c>
    </row>
    <row r="985" spans="1:17" x14ac:dyDescent="0.3">
      <c r="A985" s="29" t="s">
        <v>680</v>
      </c>
      <c r="B985" s="29">
        <v>1</v>
      </c>
      <c r="C985" s="29" t="s">
        <v>387</v>
      </c>
      <c r="D985" s="29" t="s">
        <v>1045</v>
      </c>
      <c r="E985" s="29">
        <v>1400</v>
      </c>
      <c r="G985" s="29" t="s">
        <v>292</v>
      </c>
      <c r="H985" s="29">
        <v>1</v>
      </c>
      <c r="I985" s="29">
        <v>9.9600000000000009</v>
      </c>
      <c r="J985" s="29">
        <v>13.944000000000001</v>
      </c>
      <c r="K985" s="29">
        <v>13.944000000000001</v>
      </c>
      <c r="L985" s="29" t="s">
        <v>383</v>
      </c>
      <c r="M985" s="29">
        <v>1</v>
      </c>
      <c r="N985" s="29">
        <v>1.4</v>
      </c>
      <c r="O985" s="29">
        <v>1</v>
      </c>
      <c r="P985" s="29">
        <v>13.944000000000001</v>
      </c>
      <c r="Q985" s="29" t="s">
        <v>384</v>
      </c>
    </row>
    <row r="986" spans="1:17" x14ac:dyDescent="0.3">
      <c r="A986" s="29" t="s">
        <v>681</v>
      </c>
      <c r="B986" s="29">
        <v>1</v>
      </c>
      <c r="C986" s="29" t="s">
        <v>387</v>
      </c>
      <c r="D986" s="29" t="s">
        <v>1045</v>
      </c>
      <c r="E986" s="29">
        <v>1700</v>
      </c>
      <c r="G986" s="29" t="s">
        <v>292</v>
      </c>
      <c r="H986" s="29">
        <v>1</v>
      </c>
      <c r="I986" s="29">
        <v>9.9600000000000009</v>
      </c>
      <c r="J986" s="29">
        <v>16.932000000000002</v>
      </c>
      <c r="K986" s="29">
        <v>16.932000000000002</v>
      </c>
      <c r="L986" s="29" t="s">
        <v>383</v>
      </c>
      <c r="M986" s="29">
        <v>1</v>
      </c>
      <c r="N986" s="29">
        <v>1.7</v>
      </c>
      <c r="O986" s="29">
        <v>1</v>
      </c>
      <c r="P986" s="29">
        <v>16.932000000000002</v>
      </c>
      <c r="Q986" s="29" t="s">
        <v>384</v>
      </c>
    </row>
    <row r="987" spans="1:17" x14ac:dyDescent="0.3">
      <c r="A987" s="29" t="s">
        <v>682</v>
      </c>
      <c r="B987" s="29">
        <v>1</v>
      </c>
      <c r="C987" s="29" t="s">
        <v>387</v>
      </c>
      <c r="D987" s="29" t="s">
        <v>1045</v>
      </c>
      <c r="E987" s="29">
        <v>1200</v>
      </c>
      <c r="G987" s="29" t="s">
        <v>292</v>
      </c>
      <c r="H987" s="29">
        <v>1</v>
      </c>
      <c r="I987" s="29">
        <v>9.9600000000000009</v>
      </c>
      <c r="J987" s="29">
        <v>11.952</v>
      </c>
      <c r="K987" s="29">
        <v>11.952</v>
      </c>
      <c r="L987" s="29" t="s">
        <v>383</v>
      </c>
      <c r="M987" s="29">
        <v>1</v>
      </c>
      <c r="N987" s="29">
        <v>1.2</v>
      </c>
      <c r="O987" s="29">
        <v>1</v>
      </c>
      <c r="P987" s="29">
        <v>11.952</v>
      </c>
      <c r="Q987" s="29" t="s">
        <v>384</v>
      </c>
    </row>
    <row r="988" spans="1:17" x14ac:dyDescent="0.3">
      <c r="A988" s="29" t="s">
        <v>682</v>
      </c>
      <c r="B988" s="29">
        <v>1</v>
      </c>
      <c r="C988" s="29" t="s">
        <v>387</v>
      </c>
      <c r="D988" s="29" t="s">
        <v>1045</v>
      </c>
      <c r="E988" s="29">
        <v>1200</v>
      </c>
      <c r="G988" s="29" t="s">
        <v>292</v>
      </c>
      <c r="H988" s="29">
        <v>1</v>
      </c>
      <c r="I988" s="29">
        <v>9.9600000000000009</v>
      </c>
      <c r="J988" s="29">
        <v>11.952</v>
      </c>
      <c r="K988" s="29">
        <v>11.952</v>
      </c>
      <c r="L988" s="29" t="s">
        <v>383</v>
      </c>
      <c r="M988" s="29">
        <v>1</v>
      </c>
      <c r="N988" s="29">
        <v>1.2</v>
      </c>
      <c r="O988" s="29">
        <v>1</v>
      </c>
      <c r="P988" s="29">
        <v>11.952</v>
      </c>
      <c r="Q988" s="29" t="s">
        <v>384</v>
      </c>
    </row>
    <row r="989" spans="1:17" x14ac:dyDescent="0.3">
      <c r="A989" s="29" t="s">
        <v>683</v>
      </c>
      <c r="B989" s="29">
        <v>1</v>
      </c>
      <c r="C989" s="29" t="s">
        <v>387</v>
      </c>
      <c r="D989" s="29" t="s">
        <v>1045</v>
      </c>
      <c r="E989" s="29">
        <v>1400</v>
      </c>
      <c r="G989" s="29" t="s">
        <v>292</v>
      </c>
      <c r="H989" s="29">
        <v>1</v>
      </c>
      <c r="I989" s="29">
        <v>9.9600000000000009</v>
      </c>
      <c r="J989" s="29">
        <v>13.944000000000001</v>
      </c>
      <c r="K989" s="29">
        <v>13.944000000000001</v>
      </c>
      <c r="L989" s="29" t="s">
        <v>383</v>
      </c>
      <c r="M989" s="29">
        <v>1</v>
      </c>
      <c r="N989" s="29">
        <v>1.4</v>
      </c>
      <c r="O989" s="29">
        <v>1</v>
      </c>
      <c r="P989" s="29">
        <v>13.944000000000001</v>
      </c>
      <c r="Q989" s="29" t="s">
        <v>384</v>
      </c>
    </row>
    <row r="990" spans="1:17" x14ac:dyDescent="0.3">
      <c r="A990" s="29" t="s">
        <v>684</v>
      </c>
      <c r="B990" s="29">
        <v>1</v>
      </c>
      <c r="C990" s="29" t="s">
        <v>387</v>
      </c>
      <c r="D990" s="29" t="s">
        <v>1045</v>
      </c>
      <c r="E990" s="29">
        <v>1700</v>
      </c>
      <c r="G990" s="29" t="s">
        <v>292</v>
      </c>
      <c r="H990" s="29">
        <v>1</v>
      </c>
      <c r="I990" s="29">
        <v>9.9600000000000009</v>
      </c>
      <c r="J990" s="29">
        <v>16.932000000000002</v>
      </c>
      <c r="K990" s="29">
        <v>16.932000000000002</v>
      </c>
      <c r="L990" s="29" t="s">
        <v>383</v>
      </c>
      <c r="M990" s="29">
        <v>1</v>
      </c>
      <c r="N990" s="29">
        <v>1.7</v>
      </c>
      <c r="O990" s="29">
        <v>1</v>
      </c>
      <c r="P990" s="29">
        <v>16.932000000000002</v>
      </c>
      <c r="Q990" s="29" t="s">
        <v>384</v>
      </c>
    </row>
    <row r="991" spans="1:17" x14ac:dyDescent="0.3">
      <c r="A991" s="29" t="s">
        <v>685</v>
      </c>
      <c r="B991" s="29">
        <v>1</v>
      </c>
      <c r="C991" s="29" t="s">
        <v>387</v>
      </c>
      <c r="D991" s="29" t="s">
        <v>1045</v>
      </c>
      <c r="E991" s="29">
        <v>2200</v>
      </c>
      <c r="G991" s="29" t="s">
        <v>292</v>
      </c>
      <c r="H991" s="29">
        <v>1</v>
      </c>
      <c r="I991" s="29">
        <v>9.9600000000000009</v>
      </c>
      <c r="J991" s="29">
        <v>21.912000000000003</v>
      </c>
      <c r="K991" s="29">
        <v>21.912000000000003</v>
      </c>
      <c r="L991" s="29" t="s">
        <v>383</v>
      </c>
      <c r="M991" s="29">
        <v>1</v>
      </c>
      <c r="N991" s="29">
        <v>2.2000000000000002</v>
      </c>
      <c r="O991" s="29">
        <v>1</v>
      </c>
      <c r="P991" s="29">
        <v>21.912000000000003</v>
      </c>
      <c r="Q991" s="29" t="s">
        <v>384</v>
      </c>
    </row>
    <row r="992" spans="1:17" x14ac:dyDescent="0.3">
      <c r="A992" s="29" t="s">
        <v>686</v>
      </c>
      <c r="B992" s="29">
        <v>1</v>
      </c>
      <c r="C992" s="29" t="s">
        <v>387</v>
      </c>
      <c r="D992" s="29" t="s">
        <v>1045</v>
      </c>
      <c r="E992" s="29">
        <v>2400</v>
      </c>
      <c r="G992" s="29" t="s">
        <v>292</v>
      </c>
      <c r="H992" s="29">
        <v>1</v>
      </c>
      <c r="I992" s="29">
        <v>9.9600000000000009</v>
      </c>
      <c r="J992" s="29">
        <v>23.904</v>
      </c>
      <c r="K992" s="29">
        <v>23.904</v>
      </c>
      <c r="L992" s="29" t="s">
        <v>383</v>
      </c>
      <c r="M992" s="29">
        <v>1</v>
      </c>
      <c r="N992" s="29">
        <v>2.4</v>
      </c>
      <c r="O992" s="29">
        <v>1</v>
      </c>
      <c r="P992" s="29">
        <v>23.904</v>
      </c>
      <c r="Q992" s="29" t="s">
        <v>384</v>
      </c>
    </row>
    <row r="993" spans="1:17" x14ac:dyDescent="0.3">
      <c r="A993" s="29" t="s">
        <v>687</v>
      </c>
      <c r="B993" s="29">
        <v>1</v>
      </c>
      <c r="C993" s="29" t="s">
        <v>387</v>
      </c>
      <c r="D993" s="29" t="s">
        <v>1045</v>
      </c>
      <c r="E993" s="29">
        <v>2800</v>
      </c>
      <c r="G993" s="29" t="s">
        <v>292</v>
      </c>
      <c r="H993" s="29">
        <v>1</v>
      </c>
      <c r="I993" s="29">
        <v>9.9600000000000009</v>
      </c>
      <c r="J993" s="29">
        <v>27.888000000000002</v>
      </c>
      <c r="K993" s="29">
        <v>27.888000000000002</v>
      </c>
      <c r="L993" s="29" t="s">
        <v>383</v>
      </c>
      <c r="M993" s="29">
        <v>1</v>
      </c>
      <c r="N993" s="29">
        <v>2.8</v>
      </c>
      <c r="O993" s="29">
        <v>1</v>
      </c>
      <c r="P993" s="29">
        <v>27.888000000000002</v>
      </c>
      <c r="Q993" s="29" t="s">
        <v>384</v>
      </c>
    </row>
    <row r="994" spans="1:17" x14ac:dyDescent="0.3">
      <c r="A994" s="29" t="s">
        <v>688</v>
      </c>
      <c r="B994" s="29">
        <v>1</v>
      </c>
      <c r="C994" s="29" t="s">
        <v>387</v>
      </c>
      <c r="D994" s="29" t="s">
        <v>1045</v>
      </c>
      <c r="E994" s="29">
        <v>3300</v>
      </c>
      <c r="G994" s="29" t="s">
        <v>292</v>
      </c>
      <c r="H994" s="29">
        <v>1</v>
      </c>
      <c r="I994" s="29">
        <v>9.9600000000000009</v>
      </c>
      <c r="J994" s="29">
        <v>32.868000000000002</v>
      </c>
      <c r="K994" s="29">
        <v>32.868000000000002</v>
      </c>
      <c r="L994" s="29" t="s">
        <v>383</v>
      </c>
      <c r="M994" s="29">
        <v>1</v>
      </c>
      <c r="N994" s="29">
        <v>3.3</v>
      </c>
      <c r="O994" s="29">
        <v>1</v>
      </c>
      <c r="P994" s="29">
        <v>32.868000000000002</v>
      </c>
      <c r="Q994" s="29" t="s">
        <v>384</v>
      </c>
    </row>
    <row r="995" spans="1:17" x14ac:dyDescent="0.3">
      <c r="A995" s="29" t="s">
        <v>689</v>
      </c>
      <c r="B995" s="29">
        <v>1</v>
      </c>
      <c r="C995" s="29" t="s">
        <v>1029</v>
      </c>
      <c r="D995" s="29" t="s">
        <v>1052</v>
      </c>
      <c r="E995" s="29">
        <v>1400</v>
      </c>
      <c r="G995" s="29" t="s">
        <v>292</v>
      </c>
      <c r="H995" s="29">
        <v>1</v>
      </c>
      <c r="I995" s="29">
        <v>24</v>
      </c>
      <c r="J995" s="29">
        <v>33.599999999999994</v>
      </c>
      <c r="K995" s="29">
        <v>33.599999999999994</v>
      </c>
      <c r="L995" s="29" t="s">
        <v>383</v>
      </c>
      <c r="M995" s="29">
        <v>1</v>
      </c>
      <c r="N995" s="29">
        <v>1.4</v>
      </c>
      <c r="O995" s="29">
        <v>1</v>
      </c>
      <c r="P995" s="29">
        <v>33.599999999999994</v>
      </c>
      <c r="Q995" s="29" t="s">
        <v>384</v>
      </c>
    </row>
    <row r="996" spans="1:17" x14ac:dyDescent="0.3">
      <c r="B996" s="29">
        <v>2</v>
      </c>
      <c r="C996" s="29" t="s">
        <v>1029</v>
      </c>
      <c r="D996" s="29" t="s">
        <v>1052</v>
      </c>
      <c r="E996" s="29">
        <v>400</v>
      </c>
      <c r="G996" s="29" t="s">
        <v>292</v>
      </c>
      <c r="H996" s="29">
        <v>1</v>
      </c>
      <c r="I996" s="29">
        <v>24</v>
      </c>
      <c r="J996" s="29">
        <v>9.6000000000000014</v>
      </c>
      <c r="K996" s="29">
        <v>9.6000000000000014</v>
      </c>
      <c r="L996" s="29" t="s">
        <v>383</v>
      </c>
      <c r="M996" s="29">
        <v>1</v>
      </c>
      <c r="N996" s="29">
        <v>0.4</v>
      </c>
      <c r="O996" s="29">
        <v>1</v>
      </c>
      <c r="P996" s="29">
        <v>9.6000000000000014</v>
      </c>
      <c r="Q996" s="29" t="s">
        <v>384</v>
      </c>
    </row>
    <row r="997" spans="1:17" x14ac:dyDescent="0.3">
      <c r="A997" s="29" t="s">
        <v>690</v>
      </c>
      <c r="B997" s="29">
        <v>1</v>
      </c>
      <c r="C997" s="29" t="s">
        <v>1029</v>
      </c>
      <c r="D997" s="29" t="s">
        <v>1052</v>
      </c>
      <c r="E997" s="29">
        <v>1000</v>
      </c>
      <c r="G997" s="29" t="s">
        <v>292</v>
      </c>
      <c r="H997" s="29">
        <v>1</v>
      </c>
      <c r="I997" s="29">
        <v>24</v>
      </c>
      <c r="J997" s="29">
        <v>24</v>
      </c>
      <c r="K997" s="29">
        <v>24</v>
      </c>
      <c r="L997" s="29" t="s">
        <v>383</v>
      </c>
      <c r="M997" s="29">
        <v>1</v>
      </c>
      <c r="N997" s="29">
        <v>1</v>
      </c>
      <c r="O997" s="29">
        <v>1</v>
      </c>
      <c r="P997" s="29">
        <v>24</v>
      </c>
      <c r="Q997" s="29" t="s">
        <v>384</v>
      </c>
    </row>
    <row r="998" spans="1:17" x14ac:dyDescent="0.3">
      <c r="B998" s="29">
        <v>2</v>
      </c>
      <c r="C998" s="29" t="s">
        <v>1029</v>
      </c>
      <c r="D998" s="29" t="s">
        <v>1052</v>
      </c>
      <c r="E998" s="29">
        <v>500</v>
      </c>
      <c r="G998" s="29" t="s">
        <v>292</v>
      </c>
      <c r="H998" s="29">
        <v>1</v>
      </c>
      <c r="I998" s="29">
        <v>24</v>
      </c>
      <c r="J998" s="29">
        <v>12</v>
      </c>
      <c r="K998" s="29">
        <v>12</v>
      </c>
      <c r="L998" s="29" t="s">
        <v>383</v>
      </c>
      <c r="M998" s="29">
        <v>1</v>
      </c>
      <c r="N998" s="29">
        <v>0.5</v>
      </c>
      <c r="O998" s="29">
        <v>1</v>
      </c>
      <c r="P998" s="29">
        <v>12</v>
      </c>
      <c r="Q998" s="29" t="s">
        <v>384</v>
      </c>
    </row>
    <row r="999" spans="1:17" x14ac:dyDescent="0.3">
      <c r="A999" s="29" t="s">
        <v>691</v>
      </c>
      <c r="B999" s="29">
        <v>1</v>
      </c>
      <c r="C999" s="29" t="s">
        <v>1029</v>
      </c>
      <c r="D999" s="29" t="s">
        <v>1052</v>
      </c>
      <c r="E999" s="29">
        <v>1800</v>
      </c>
      <c r="G999" s="29" t="s">
        <v>292</v>
      </c>
      <c r="H999" s="29">
        <v>1</v>
      </c>
      <c r="I999" s="29">
        <v>24</v>
      </c>
      <c r="J999" s="29">
        <v>43.2</v>
      </c>
      <c r="K999" s="29">
        <v>43.2</v>
      </c>
      <c r="L999" s="29" t="s">
        <v>383</v>
      </c>
      <c r="M999" s="29">
        <v>1</v>
      </c>
      <c r="N999" s="29">
        <v>1.8</v>
      </c>
      <c r="O999" s="29">
        <v>1</v>
      </c>
      <c r="P999" s="29">
        <v>43.2</v>
      </c>
      <c r="Q999" s="29" t="s">
        <v>384</v>
      </c>
    </row>
    <row r="1000" spans="1:17" x14ac:dyDescent="0.3">
      <c r="B1000" s="29">
        <v>2</v>
      </c>
      <c r="C1000" s="29" t="s">
        <v>1029</v>
      </c>
      <c r="D1000" s="29" t="s">
        <v>1052</v>
      </c>
      <c r="E1000" s="29">
        <v>500</v>
      </c>
      <c r="G1000" s="29" t="s">
        <v>292</v>
      </c>
      <c r="H1000" s="29">
        <v>1</v>
      </c>
      <c r="I1000" s="29">
        <v>24</v>
      </c>
      <c r="J1000" s="29">
        <v>12</v>
      </c>
      <c r="K1000" s="29">
        <v>12</v>
      </c>
      <c r="L1000" s="29" t="s">
        <v>383</v>
      </c>
      <c r="M1000" s="29">
        <v>1</v>
      </c>
      <c r="N1000" s="29">
        <v>0.5</v>
      </c>
      <c r="O1000" s="29">
        <v>1</v>
      </c>
      <c r="P1000" s="29">
        <v>12</v>
      </c>
      <c r="Q1000" s="29" t="s">
        <v>384</v>
      </c>
    </row>
    <row r="1001" spans="1:17" x14ac:dyDescent="0.3">
      <c r="A1001" s="29" t="s">
        <v>692</v>
      </c>
      <c r="B1001" s="29">
        <v>1</v>
      </c>
      <c r="C1001" s="29" t="s">
        <v>1029</v>
      </c>
      <c r="D1001" s="29" t="s">
        <v>1052</v>
      </c>
      <c r="E1001" s="29">
        <v>1400</v>
      </c>
      <c r="G1001" s="29" t="s">
        <v>292</v>
      </c>
      <c r="H1001" s="29">
        <v>1</v>
      </c>
      <c r="I1001" s="29">
        <v>24</v>
      </c>
      <c r="J1001" s="29">
        <v>33.599999999999994</v>
      </c>
      <c r="K1001" s="29">
        <v>33.599999999999994</v>
      </c>
      <c r="L1001" s="29" t="s">
        <v>383</v>
      </c>
      <c r="M1001" s="29">
        <v>1</v>
      </c>
      <c r="N1001" s="29">
        <v>1.4</v>
      </c>
      <c r="O1001" s="29">
        <v>1</v>
      </c>
      <c r="P1001" s="29">
        <v>33.599999999999994</v>
      </c>
      <c r="Q1001" s="29" t="s">
        <v>384</v>
      </c>
    </row>
    <row r="1002" spans="1:17" x14ac:dyDescent="0.3">
      <c r="B1002" s="29">
        <v>2</v>
      </c>
      <c r="C1002" s="29" t="s">
        <v>1029</v>
      </c>
      <c r="D1002" s="29" t="s">
        <v>1052</v>
      </c>
      <c r="E1002" s="29">
        <v>700</v>
      </c>
      <c r="G1002" s="29" t="s">
        <v>292</v>
      </c>
      <c r="H1002" s="29">
        <v>1</v>
      </c>
      <c r="I1002" s="29">
        <v>24</v>
      </c>
      <c r="J1002" s="29">
        <v>16.799999999999997</v>
      </c>
      <c r="K1002" s="29">
        <v>16.799999999999997</v>
      </c>
      <c r="L1002" s="29" t="s">
        <v>383</v>
      </c>
      <c r="M1002" s="29">
        <v>1</v>
      </c>
      <c r="N1002" s="29">
        <v>0.7</v>
      </c>
      <c r="O1002" s="29">
        <v>1</v>
      </c>
      <c r="P1002" s="29">
        <v>16.799999999999997</v>
      </c>
      <c r="Q1002" s="29" t="s">
        <v>384</v>
      </c>
    </row>
    <row r="1003" spans="1:17" x14ac:dyDescent="0.3">
      <c r="A1003" s="29" t="s">
        <v>693</v>
      </c>
      <c r="B1003" s="29">
        <v>1</v>
      </c>
      <c r="C1003" s="29" t="s">
        <v>387</v>
      </c>
      <c r="D1003" s="29" t="s">
        <v>1044</v>
      </c>
      <c r="E1003" s="29">
        <v>1000</v>
      </c>
      <c r="G1003" s="29" t="s">
        <v>292</v>
      </c>
      <c r="H1003" s="29">
        <v>1</v>
      </c>
      <c r="I1003" s="29">
        <v>4.43</v>
      </c>
      <c r="J1003" s="29">
        <v>4.43</v>
      </c>
      <c r="K1003" s="29">
        <v>4.43</v>
      </c>
      <c r="L1003" s="29" t="s">
        <v>383</v>
      </c>
      <c r="M1003" s="29">
        <v>1</v>
      </c>
      <c r="N1003" s="29">
        <v>1</v>
      </c>
      <c r="O1003" s="29">
        <v>1</v>
      </c>
      <c r="P1003" s="29">
        <v>4.43</v>
      </c>
      <c r="Q1003" s="29" t="s">
        <v>384</v>
      </c>
    </row>
    <row r="1004" spans="1:17" x14ac:dyDescent="0.3">
      <c r="B1004" s="29">
        <v>2</v>
      </c>
      <c r="C1004" s="29" t="s">
        <v>387</v>
      </c>
      <c r="D1004" s="29" t="s">
        <v>1044</v>
      </c>
      <c r="E1004" s="29">
        <v>400</v>
      </c>
      <c r="G1004" s="29" t="s">
        <v>292</v>
      </c>
      <c r="H1004" s="29">
        <v>1</v>
      </c>
      <c r="I1004" s="29">
        <v>4.43</v>
      </c>
      <c r="J1004" s="29">
        <v>1.772</v>
      </c>
      <c r="K1004" s="29">
        <v>1.772</v>
      </c>
      <c r="L1004" s="29" t="s">
        <v>383</v>
      </c>
      <c r="M1004" s="29">
        <v>1</v>
      </c>
      <c r="N1004" s="29">
        <v>0.4</v>
      </c>
      <c r="O1004" s="29">
        <v>1</v>
      </c>
      <c r="P1004" s="29">
        <v>1.772</v>
      </c>
      <c r="Q1004" s="29" t="s">
        <v>384</v>
      </c>
    </row>
    <row r="1005" spans="1:17" x14ac:dyDescent="0.3">
      <c r="A1005" s="29" t="s">
        <v>694</v>
      </c>
      <c r="B1005" s="29">
        <v>1</v>
      </c>
      <c r="C1005" s="29" t="s">
        <v>387</v>
      </c>
      <c r="D1005" s="29" t="s">
        <v>1045</v>
      </c>
      <c r="E1005" s="29">
        <v>1000</v>
      </c>
      <c r="G1005" s="29" t="s">
        <v>292</v>
      </c>
      <c r="H1005" s="29">
        <v>1</v>
      </c>
      <c r="I1005" s="29">
        <v>9.9600000000000009</v>
      </c>
      <c r="J1005" s="29">
        <v>9.9600000000000009</v>
      </c>
      <c r="K1005" s="29">
        <v>9.9600000000000009</v>
      </c>
      <c r="L1005" s="29" t="s">
        <v>383</v>
      </c>
      <c r="M1005" s="29">
        <v>1</v>
      </c>
      <c r="N1005" s="29">
        <v>1</v>
      </c>
      <c r="O1005" s="29">
        <v>1</v>
      </c>
      <c r="P1005" s="29">
        <v>9.9600000000000009</v>
      </c>
      <c r="Q1005" s="29" t="s">
        <v>384</v>
      </c>
    </row>
    <row r="1006" spans="1:17" x14ac:dyDescent="0.3">
      <c r="B1006" s="29">
        <v>2</v>
      </c>
      <c r="C1006" s="29" t="s">
        <v>387</v>
      </c>
      <c r="D1006" s="29" t="s">
        <v>1045</v>
      </c>
      <c r="E1006" s="29">
        <v>400</v>
      </c>
      <c r="G1006" s="29" t="s">
        <v>292</v>
      </c>
      <c r="H1006" s="29">
        <v>1</v>
      </c>
      <c r="I1006" s="29">
        <v>9.9600000000000009</v>
      </c>
      <c r="J1006" s="29">
        <v>3.9840000000000004</v>
      </c>
      <c r="K1006" s="29">
        <v>3.9840000000000004</v>
      </c>
      <c r="L1006" s="29" t="s">
        <v>383</v>
      </c>
      <c r="M1006" s="29">
        <v>1</v>
      </c>
      <c r="N1006" s="29">
        <v>0.4</v>
      </c>
      <c r="O1006" s="29">
        <v>1</v>
      </c>
      <c r="P1006" s="29">
        <v>3.9840000000000004</v>
      </c>
      <c r="Q1006" s="29" t="s">
        <v>384</v>
      </c>
    </row>
    <row r="1007" spans="1:17" x14ac:dyDescent="0.3">
      <c r="A1007" s="29" t="s">
        <v>695</v>
      </c>
      <c r="B1007" s="29">
        <v>1</v>
      </c>
      <c r="C1007" s="29" t="s">
        <v>387</v>
      </c>
      <c r="D1007" s="29" t="s">
        <v>1045</v>
      </c>
      <c r="E1007" s="29">
        <v>600</v>
      </c>
      <c r="G1007" s="29" t="s">
        <v>292</v>
      </c>
      <c r="H1007" s="29">
        <v>1</v>
      </c>
      <c r="I1007" s="29">
        <v>9.9600000000000009</v>
      </c>
      <c r="J1007" s="29">
        <v>5.976</v>
      </c>
      <c r="K1007" s="29">
        <v>5.976</v>
      </c>
      <c r="L1007" s="29" t="s">
        <v>383</v>
      </c>
      <c r="M1007" s="29">
        <v>1</v>
      </c>
      <c r="N1007" s="29">
        <v>0.6</v>
      </c>
      <c r="O1007" s="29">
        <v>1</v>
      </c>
      <c r="P1007" s="29">
        <v>5.976</v>
      </c>
      <c r="Q1007" s="29" t="s">
        <v>384</v>
      </c>
    </row>
    <row r="1008" spans="1:17" x14ac:dyDescent="0.3">
      <c r="B1008" s="29">
        <v>2</v>
      </c>
      <c r="C1008" s="29" t="s">
        <v>387</v>
      </c>
      <c r="D1008" s="29" t="s">
        <v>1045</v>
      </c>
      <c r="E1008" s="29">
        <v>500</v>
      </c>
      <c r="G1008" s="29" t="s">
        <v>292</v>
      </c>
      <c r="H1008" s="29">
        <v>1</v>
      </c>
      <c r="I1008" s="29">
        <v>9.9600000000000009</v>
      </c>
      <c r="J1008" s="29">
        <v>4.9800000000000004</v>
      </c>
      <c r="K1008" s="29">
        <v>4.9800000000000004</v>
      </c>
      <c r="L1008" s="29" t="s">
        <v>383</v>
      </c>
      <c r="M1008" s="29">
        <v>1</v>
      </c>
      <c r="N1008" s="29">
        <v>0.5</v>
      </c>
      <c r="O1008" s="29">
        <v>1</v>
      </c>
      <c r="P1008" s="29">
        <v>4.9800000000000004</v>
      </c>
      <c r="Q1008" s="29" t="s">
        <v>384</v>
      </c>
    </row>
    <row r="1009" spans="1:17" x14ac:dyDescent="0.3">
      <c r="A1009" s="29" t="s">
        <v>696</v>
      </c>
      <c r="B1009" s="29">
        <v>1</v>
      </c>
      <c r="C1009" s="29" t="s">
        <v>387</v>
      </c>
      <c r="D1009" s="29" t="s">
        <v>1045</v>
      </c>
      <c r="E1009" s="29">
        <v>2200</v>
      </c>
      <c r="G1009" s="29" t="s">
        <v>292</v>
      </c>
      <c r="H1009" s="29">
        <v>1</v>
      </c>
      <c r="I1009" s="29">
        <v>9.9600000000000009</v>
      </c>
      <c r="J1009" s="29">
        <v>21.912000000000003</v>
      </c>
      <c r="K1009" s="29">
        <v>21.912000000000003</v>
      </c>
      <c r="L1009" s="29" t="s">
        <v>383</v>
      </c>
      <c r="M1009" s="29">
        <v>1</v>
      </c>
      <c r="N1009" s="29">
        <v>2.2000000000000002</v>
      </c>
      <c r="O1009" s="29">
        <v>1</v>
      </c>
      <c r="P1009" s="29">
        <v>21.912000000000003</v>
      </c>
      <c r="Q1009" s="29" t="s">
        <v>384</v>
      </c>
    </row>
    <row r="1010" spans="1:17" x14ac:dyDescent="0.3">
      <c r="B1010" s="29">
        <v>2</v>
      </c>
      <c r="C1010" s="29" t="s">
        <v>387</v>
      </c>
      <c r="D1010" s="29" t="s">
        <v>1045</v>
      </c>
      <c r="E1010" s="29">
        <v>500</v>
      </c>
      <c r="G1010" s="29" t="s">
        <v>292</v>
      </c>
      <c r="H1010" s="29">
        <v>1</v>
      </c>
      <c r="I1010" s="29">
        <v>9.9600000000000009</v>
      </c>
      <c r="J1010" s="29">
        <v>4.9800000000000004</v>
      </c>
      <c r="K1010" s="29">
        <v>4.9800000000000004</v>
      </c>
      <c r="L1010" s="29" t="s">
        <v>383</v>
      </c>
      <c r="M1010" s="29">
        <v>1</v>
      </c>
      <c r="N1010" s="29">
        <v>0.5</v>
      </c>
      <c r="O1010" s="29">
        <v>1</v>
      </c>
      <c r="P1010" s="29">
        <v>4.9800000000000004</v>
      </c>
      <c r="Q1010" s="29" t="s">
        <v>384</v>
      </c>
    </row>
    <row r="1011" spans="1:17" x14ac:dyDescent="0.3">
      <c r="A1011" s="29" t="s">
        <v>697</v>
      </c>
      <c r="B1011" s="29">
        <v>1</v>
      </c>
      <c r="C1011" s="29" t="s">
        <v>387</v>
      </c>
      <c r="D1011" s="29" t="s">
        <v>1045</v>
      </c>
      <c r="E1011" s="29">
        <v>800</v>
      </c>
      <c r="G1011" s="29" t="s">
        <v>292</v>
      </c>
      <c r="H1011" s="29">
        <v>1</v>
      </c>
      <c r="I1011" s="29">
        <v>9.9600000000000009</v>
      </c>
      <c r="J1011" s="29">
        <v>7.9680000000000009</v>
      </c>
      <c r="K1011" s="29">
        <v>7.9680000000000009</v>
      </c>
      <c r="L1011" s="29" t="s">
        <v>383</v>
      </c>
      <c r="M1011" s="29">
        <v>1</v>
      </c>
      <c r="N1011" s="29">
        <v>0.8</v>
      </c>
      <c r="O1011" s="29">
        <v>1</v>
      </c>
      <c r="P1011" s="29">
        <v>7.9680000000000009</v>
      </c>
      <c r="Q1011" s="29" t="s">
        <v>384</v>
      </c>
    </row>
    <row r="1012" spans="1:17" x14ac:dyDescent="0.3">
      <c r="B1012" s="29">
        <v>2</v>
      </c>
      <c r="C1012" s="29" t="s">
        <v>387</v>
      </c>
      <c r="D1012" s="29" t="s">
        <v>1045</v>
      </c>
      <c r="E1012" s="29">
        <v>600</v>
      </c>
      <c r="G1012" s="29" t="s">
        <v>292</v>
      </c>
      <c r="H1012" s="29">
        <v>1</v>
      </c>
      <c r="I1012" s="29">
        <v>9.9600000000000009</v>
      </c>
      <c r="J1012" s="29">
        <v>5.976</v>
      </c>
      <c r="K1012" s="29">
        <v>5.976</v>
      </c>
      <c r="L1012" s="29" t="s">
        <v>383</v>
      </c>
      <c r="M1012" s="29">
        <v>1</v>
      </c>
      <c r="N1012" s="29">
        <v>0.6</v>
      </c>
      <c r="O1012" s="29">
        <v>1</v>
      </c>
      <c r="P1012" s="29">
        <v>5.976</v>
      </c>
      <c r="Q1012" s="29" t="s">
        <v>384</v>
      </c>
    </row>
    <row r="1013" spans="1:17" x14ac:dyDescent="0.3">
      <c r="A1013" s="29" t="s">
        <v>698</v>
      </c>
      <c r="B1013" s="29">
        <v>1</v>
      </c>
      <c r="C1013" s="29" t="s">
        <v>387</v>
      </c>
      <c r="D1013" s="29" t="s">
        <v>1045</v>
      </c>
      <c r="E1013" s="29">
        <v>800</v>
      </c>
      <c r="G1013" s="29" t="s">
        <v>292</v>
      </c>
      <c r="H1013" s="29">
        <v>1</v>
      </c>
      <c r="I1013" s="29">
        <v>9.9600000000000009</v>
      </c>
      <c r="J1013" s="29">
        <v>7.9680000000000009</v>
      </c>
      <c r="K1013" s="29">
        <v>7.9680000000000009</v>
      </c>
      <c r="L1013" s="29" t="s">
        <v>383</v>
      </c>
      <c r="M1013" s="29">
        <v>1</v>
      </c>
      <c r="N1013" s="29">
        <v>0.8</v>
      </c>
      <c r="O1013" s="29">
        <v>1</v>
      </c>
      <c r="P1013" s="29">
        <v>7.9680000000000009</v>
      </c>
      <c r="Q1013" s="29" t="s">
        <v>384</v>
      </c>
    </row>
    <row r="1014" spans="1:17" x14ac:dyDescent="0.3">
      <c r="B1014" s="29">
        <v>2</v>
      </c>
      <c r="C1014" s="29" t="s">
        <v>387</v>
      </c>
      <c r="D1014" s="29" t="s">
        <v>1045</v>
      </c>
      <c r="E1014" s="29">
        <v>800</v>
      </c>
      <c r="G1014" s="29" t="s">
        <v>292</v>
      </c>
      <c r="H1014" s="29">
        <v>1</v>
      </c>
      <c r="I1014" s="29">
        <v>9.9600000000000009</v>
      </c>
      <c r="J1014" s="29">
        <v>7.9680000000000009</v>
      </c>
      <c r="K1014" s="29">
        <v>7.9680000000000009</v>
      </c>
      <c r="L1014" s="29" t="s">
        <v>383</v>
      </c>
      <c r="M1014" s="29">
        <v>1</v>
      </c>
      <c r="N1014" s="29">
        <v>0.8</v>
      </c>
      <c r="O1014" s="29">
        <v>1</v>
      </c>
      <c r="P1014" s="29">
        <v>7.9680000000000009</v>
      </c>
      <c r="Q1014" s="29" t="s">
        <v>384</v>
      </c>
    </row>
    <row r="1015" spans="1:17" x14ac:dyDescent="0.3">
      <c r="A1015" s="29" t="s">
        <v>699</v>
      </c>
      <c r="B1015" s="29">
        <v>1</v>
      </c>
      <c r="C1015" s="29" t="s">
        <v>387</v>
      </c>
      <c r="D1015" s="29" t="s">
        <v>1045</v>
      </c>
      <c r="E1015" s="29">
        <v>800</v>
      </c>
      <c r="G1015" s="29" t="s">
        <v>292</v>
      </c>
      <c r="H1015" s="29">
        <v>1</v>
      </c>
      <c r="I1015" s="29">
        <v>9.9600000000000009</v>
      </c>
      <c r="J1015" s="29">
        <v>7.9680000000000009</v>
      </c>
      <c r="K1015" s="29">
        <v>7.9680000000000009</v>
      </c>
      <c r="L1015" s="29" t="s">
        <v>383</v>
      </c>
      <c r="M1015" s="29">
        <v>1</v>
      </c>
      <c r="N1015" s="29">
        <v>0.8</v>
      </c>
      <c r="O1015" s="29">
        <v>1</v>
      </c>
      <c r="P1015" s="29">
        <v>7.9680000000000009</v>
      </c>
      <c r="Q1015" s="29" t="s">
        <v>384</v>
      </c>
    </row>
    <row r="1016" spans="1:17" x14ac:dyDescent="0.3">
      <c r="B1016" s="29">
        <v>2</v>
      </c>
      <c r="C1016" s="29" t="s">
        <v>387</v>
      </c>
      <c r="D1016" s="29" t="s">
        <v>1045</v>
      </c>
      <c r="E1016" s="29">
        <v>900</v>
      </c>
      <c r="G1016" s="29" t="s">
        <v>292</v>
      </c>
      <c r="H1016" s="29">
        <v>1</v>
      </c>
      <c r="I1016" s="29">
        <v>9.9600000000000009</v>
      </c>
      <c r="J1016" s="29">
        <v>8.9640000000000004</v>
      </c>
      <c r="K1016" s="29">
        <v>8.9640000000000004</v>
      </c>
      <c r="L1016" s="29" t="s">
        <v>383</v>
      </c>
      <c r="M1016" s="29">
        <v>1</v>
      </c>
      <c r="N1016" s="29">
        <v>0.9</v>
      </c>
      <c r="O1016" s="29">
        <v>1</v>
      </c>
      <c r="P1016" s="29">
        <v>8.9640000000000004</v>
      </c>
      <c r="Q1016" s="29" t="s">
        <v>384</v>
      </c>
    </row>
    <row r="1017" spans="1:17" x14ac:dyDescent="0.3">
      <c r="A1017" s="29" t="s">
        <v>700</v>
      </c>
      <c r="B1017" s="29">
        <v>1</v>
      </c>
      <c r="C1017" s="29" t="s">
        <v>1029</v>
      </c>
      <c r="D1017" s="29" t="s">
        <v>1030</v>
      </c>
      <c r="E1017" s="29">
        <v>1900</v>
      </c>
      <c r="G1017" s="29" t="s">
        <v>292</v>
      </c>
      <c r="H1017" s="29">
        <v>1</v>
      </c>
      <c r="I1017" s="29">
        <v>13.4</v>
      </c>
      <c r="J1017" s="29">
        <v>25.46</v>
      </c>
      <c r="K1017" s="29">
        <v>25.46</v>
      </c>
      <c r="L1017" s="29" t="s">
        <v>383</v>
      </c>
      <c r="M1017" s="29">
        <v>1</v>
      </c>
      <c r="N1017" s="29">
        <v>1.9</v>
      </c>
      <c r="O1017" s="29">
        <v>1</v>
      </c>
      <c r="P1017" s="29">
        <v>25.46</v>
      </c>
      <c r="Q1017" s="29" t="s">
        <v>384</v>
      </c>
    </row>
    <row r="1018" spans="1:17" x14ac:dyDescent="0.3">
      <c r="A1018" s="29" t="s">
        <v>701</v>
      </c>
      <c r="B1018" s="29">
        <v>1</v>
      </c>
      <c r="C1018" s="29" t="s">
        <v>1029</v>
      </c>
      <c r="D1018" s="29" t="s">
        <v>1030</v>
      </c>
      <c r="E1018" s="29">
        <v>2600</v>
      </c>
      <c r="G1018" s="29" t="s">
        <v>292</v>
      </c>
      <c r="H1018" s="29">
        <v>1</v>
      </c>
      <c r="I1018" s="29">
        <v>13.4</v>
      </c>
      <c r="J1018" s="29">
        <v>34.840000000000003</v>
      </c>
      <c r="K1018" s="29">
        <v>34.840000000000003</v>
      </c>
      <c r="L1018" s="29" t="s">
        <v>383</v>
      </c>
      <c r="M1018" s="29">
        <v>1</v>
      </c>
      <c r="N1018" s="29">
        <v>2.6</v>
      </c>
      <c r="O1018" s="29">
        <v>1</v>
      </c>
      <c r="P1018" s="29">
        <v>34.840000000000003</v>
      </c>
      <c r="Q1018" s="29" t="s">
        <v>384</v>
      </c>
    </row>
    <row r="1019" spans="1:17" x14ac:dyDescent="0.3">
      <c r="A1019" s="29" t="s">
        <v>702</v>
      </c>
      <c r="B1019" s="29">
        <v>1</v>
      </c>
      <c r="C1019" s="29" t="s">
        <v>1029</v>
      </c>
      <c r="D1019" s="29" t="s">
        <v>1030</v>
      </c>
      <c r="E1019" s="29">
        <v>3000</v>
      </c>
      <c r="G1019" s="29" t="s">
        <v>292</v>
      </c>
      <c r="H1019" s="29">
        <v>1</v>
      </c>
      <c r="I1019" s="29">
        <v>13.4</v>
      </c>
      <c r="J1019" s="29">
        <v>40.200000000000003</v>
      </c>
      <c r="K1019" s="29">
        <v>40.200000000000003</v>
      </c>
      <c r="L1019" s="29" t="s">
        <v>383</v>
      </c>
      <c r="M1019" s="29">
        <v>1</v>
      </c>
      <c r="N1019" s="29">
        <v>3</v>
      </c>
      <c r="O1019" s="29">
        <v>1</v>
      </c>
      <c r="P1019" s="29">
        <v>40.200000000000003</v>
      </c>
      <c r="Q1019" s="29" t="s">
        <v>384</v>
      </c>
    </row>
    <row r="1020" spans="1:17" x14ac:dyDescent="0.3">
      <c r="A1020" s="29" t="s">
        <v>703</v>
      </c>
      <c r="B1020" s="29">
        <v>1</v>
      </c>
      <c r="C1020" s="29" t="s">
        <v>1029</v>
      </c>
      <c r="D1020" s="29" t="s">
        <v>1030</v>
      </c>
      <c r="E1020" s="29">
        <v>1700</v>
      </c>
      <c r="G1020" s="29" t="s">
        <v>292</v>
      </c>
      <c r="H1020" s="29">
        <v>1</v>
      </c>
      <c r="I1020" s="29">
        <v>13.4</v>
      </c>
      <c r="J1020" s="29">
        <v>22.78</v>
      </c>
      <c r="K1020" s="29">
        <v>22.78</v>
      </c>
      <c r="L1020" s="29" t="s">
        <v>383</v>
      </c>
      <c r="M1020" s="29">
        <v>1</v>
      </c>
      <c r="N1020" s="29">
        <v>1.7</v>
      </c>
      <c r="O1020" s="29">
        <v>1</v>
      </c>
      <c r="P1020" s="29">
        <v>22.78</v>
      </c>
      <c r="Q1020" s="29" t="s">
        <v>384</v>
      </c>
    </row>
    <row r="1021" spans="1:17" x14ac:dyDescent="0.3">
      <c r="A1021" s="29" t="s">
        <v>704</v>
      </c>
      <c r="B1021" s="29">
        <v>1</v>
      </c>
      <c r="C1021" s="29" t="s">
        <v>1029</v>
      </c>
      <c r="D1021" s="29" t="s">
        <v>1030</v>
      </c>
      <c r="E1021" s="29">
        <v>2100</v>
      </c>
      <c r="G1021" s="29" t="s">
        <v>292</v>
      </c>
      <c r="H1021" s="29">
        <v>1</v>
      </c>
      <c r="I1021" s="29">
        <v>13.4</v>
      </c>
      <c r="J1021" s="29">
        <v>28.14</v>
      </c>
      <c r="K1021" s="29">
        <v>28.14</v>
      </c>
      <c r="L1021" s="29" t="s">
        <v>383</v>
      </c>
      <c r="M1021" s="29">
        <v>1</v>
      </c>
      <c r="N1021" s="29">
        <v>2.1</v>
      </c>
      <c r="O1021" s="29">
        <v>1</v>
      </c>
      <c r="P1021" s="29">
        <v>28.14</v>
      </c>
      <c r="Q1021" s="29" t="s">
        <v>384</v>
      </c>
    </row>
    <row r="1022" spans="1:17" x14ac:dyDescent="0.3">
      <c r="A1022" s="29" t="s">
        <v>705</v>
      </c>
      <c r="B1022" s="29">
        <v>1</v>
      </c>
      <c r="C1022" s="29" t="s">
        <v>1029</v>
      </c>
      <c r="D1022" s="29" t="s">
        <v>1030</v>
      </c>
      <c r="E1022" s="29">
        <v>3900</v>
      </c>
      <c r="G1022" s="29" t="s">
        <v>292</v>
      </c>
      <c r="H1022" s="29">
        <v>1</v>
      </c>
      <c r="I1022" s="29">
        <v>13.4</v>
      </c>
      <c r="J1022" s="29">
        <v>52.26</v>
      </c>
      <c r="K1022" s="29">
        <v>52.26</v>
      </c>
      <c r="L1022" s="29" t="s">
        <v>383</v>
      </c>
      <c r="M1022" s="29">
        <v>1</v>
      </c>
      <c r="N1022" s="29">
        <v>3.9</v>
      </c>
      <c r="O1022" s="29">
        <v>1</v>
      </c>
      <c r="P1022" s="29">
        <v>52.26</v>
      </c>
      <c r="Q1022" s="29" t="s">
        <v>384</v>
      </c>
    </row>
    <row r="1023" spans="1:17" x14ac:dyDescent="0.3">
      <c r="A1023" s="29" t="s">
        <v>706</v>
      </c>
      <c r="B1023" s="29">
        <v>1</v>
      </c>
      <c r="C1023" s="29" t="s">
        <v>1029</v>
      </c>
      <c r="D1023" s="29" t="s">
        <v>1030</v>
      </c>
      <c r="E1023" s="29">
        <v>4100</v>
      </c>
      <c r="G1023" s="29" t="s">
        <v>292</v>
      </c>
      <c r="H1023" s="29">
        <v>1</v>
      </c>
      <c r="I1023" s="29">
        <v>13.4</v>
      </c>
      <c r="J1023" s="29">
        <v>54.94</v>
      </c>
      <c r="K1023" s="29">
        <v>54.94</v>
      </c>
      <c r="L1023" s="29" t="s">
        <v>383</v>
      </c>
      <c r="M1023" s="29">
        <v>1</v>
      </c>
      <c r="N1023" s="29">
        <v>4.0999999999999996</v>
      </c>
      <c r="O1023" s="29">
        <v>1</v>
      </c>
      <c r="P1023" s="29">
        <v>54.94</v>
      </c>
      <c r="Q1023" s="29" t="s">
        <v>384</v>
      </c>
    </row>
    <row r="1024" spans="1:17" x14ac:dyDescent="0.3">
      <c r="A1024" s="29" t="s">
        <v>707</v>
      </c>
      <c r="B1024" s="29">
        <v>1</v>
      </c>
      <c r="C1024" s="29" t="s">
        <v>1029</v>
      </c>
      <c r="D1024" s="29" t="s">
        <v>1030</v>
      </c>
      <c r="E1024" s="29">
        <v>2400</v>
      </c>
      <c r="G1024" s="29" t="s">
        <v>292</v>
      </c>
      <c r="H1024" s="29">
        <v>1</v>
      </c>
      <c r="I1024" s="29">
        <v>13.4</v>
      </c>
      <c r="J1024" s="29">
        <v>32.159999999999997</v>
      </c>
      <c r="K1024" s="29">
        <v>32.159999999999997</v>
      </c>
      <c r="L1024" s="29" t="s">
        <v>383</v>
      </c>
      <c r="M1024" s="29">
        <v>1</v>
      </c>
      <c r="N1024" s="29">
        <v>2.4</v>
      </c>
      <c r="O1024" s="29">
        <v>1</v>
      </c>
      <c r="P1024" s="29">
        <v>32.159999999999997</v>
      </c>
      <c r="Q1024" s="29" t="s">
        <v>384</v>
      </c>
    </row>
    <row r="1025" spans="1:17" x14ac:dyDescent="0.3">
      <c r="A1025" s="29" t="s">
        <v>708</v>
      </c>
      <c r="B1025" s="29">
        <v>1</v>
      </c>
      <c r="C1025" s="29" t="s">
        <v>1029</v>
      </c>
      <c r="D1025" s="29" t="s">
        <v>1030</v>
      </c>
      <c r="E1025" s="29">
        <v>2800</v>
      </c>
      <c r="G1025" s="29" t="s">
        <v>292</v>
      </c>
      <c r="H1025" s="29">
        <v>1</v>
      </c>
      <c r="I1025" s="29">
        <v>13.4</v>
      </c>
      <c r="J1025" s="29">
        <v>37.519999999999996</v>
      </c>
      <c r="K1025" s="29">
        <v>37.519999999999996</v>
      </c>
      <c r="L1025" s="29" t="s">
        <v>383</v>
      </c>
      <c r="M1025" s="29">
        <v>1</v>
      </c>
      <c r="N1025" s="29">
        <v>2.8</v>
      </c>
      <c r="O1025" s="29">
        <v>1</v>
      </c>
      <c r="P1025" s="29">
        <v>37.519999999999996</v>
      </c>
      <c r="Q1025" s="29" t="s">
        <v>384</v>
      </c>
    </row>
    <row r="1026" spans="1:17" x14ac:dyDescent="0.3">
      <c r="A1026" s="29" t="s">
        <v>709</v>
      </c>
      <c r="B1026" s="29">
        <v>1</v>
      </c>
      <c r="C1026" s="29" t="s">
        <v>1029</v>
      </c>
      <c r="D1026" s="29" t="s">
        <v>1052</v>
      </c>
      <c r="E1026" s="29">
        <v>4000</v>
      </c>
      <c r="G1026" s="29" t="s">
        <v>292</v>
      </c>
      <c r="H1026" s="29">
        <v>1</v>
      </c>
      <c r="I1026" s="29">
        <v>24</v>
      </c>
      <c r="J1026" s="29">
        <v>96</v>
      </c>
      <c r="K1026" s="29">
        <v>96</v>
      </c>
      <c r="L1026" s="29" t="s">
        <v>383</v>
      </c>
      <c r="M1026" s="29">
        <v>1</v>
      </c>
      <c r="N1026" s="29">
        <v>4</v>
      </c>
      <c r="O1026" s="29">
        <v>1</v>
      </c>
      <c r="P1026" s="29">
        <v>96</v>
      </c>
      <c r="Q1026" s="29" t="s">
        <v>384</v>
      </c>
    </row>
    <row r="1027" spans="1:17" x14ac:dyDescent="0.3">
      <c r="A1027" s="29" t="s">
        <v>710</v>
      </c>
      <c r="B1027" s="29">
        <v>1</v>
      </c>
      <c r="C1027" s="29" t="s">
        <v>1029</v>
      </c>
      <c r="D1027" s="29" t="s">
        <v>1052</v>
      </c>
      <c r="E1027" s="29">
        <v>1700</v>
      </c>
      <c r="G1027" s="29" t="s">
        <v>292</v>
      </c>
      <c r="H1027" s="29">
        <v>1</v>
      </c>
      <c r="I1027" s="29">
        <v>24</v>
      </c>
      <c r="J1027" s="29">
        <v>40.799999999999997</v>
      </c>
      <c r="K1027" s="29">
        <v>40.799999999999997</v>
      </c>
      <c r="L1027" s="29" t="s">
        <v>383</v>
      </c>
      <c r="M1027" s="29">
        <v>1</v>
      </c>
      <c r="N1027" s="29">
        <v>1.7</v>
      </c>
      <c r="O1027" s="29">
        <v>1</v>
      </c>
      <c r="P1027" s="29">
        <v>40.799999999999997</v>
      </c>
      <c r="Q1027" s="29" t="s">
        <v>384</v>
      </c>
    </row>
    <row r="1028" spans="1:17" x14ac:dyDescent="0.3">
      <c r="A1028" s="29" t="s">
        <v>711</v>
      </c>
      <c r="B1028" s="29">
        <v>1</v>
      </c>
      <c r="C1028" s="29" t="s">
        <v>1029</v>
      </c>
      <c r="D1028" s="29" t="s">
        <v>1052</v>
      </c>
      <c r="E1028" s="29">
        <v>3900</v>
      </c>
      <c r="G1028" s="29" t="s">
        <v>292</v>
      </c>
      <c r="H1028" s="29">
        <v>1</v>
      </c>
      <c r="I1028" s="29">
        <v>24</v>
      </c>
      <c r="J1028" s="29">
        <v>93.6</v>
      </c>
      <c r="K1028" s="29">
        <v>93.6</v>
      </c>
      <c r="L1028" s="29" t="s">
        <v>383</v>
      </c>
      <c r="M1028" s="29">
        <v>1</v>
      </c>
      <c r="N1028" s="29">
        <v>3.9</v>
      </c>
      <c r="O1028" s="29">
        <v>1</v>
      </c>
      <c r="P1028" s="29">
        <v>93.6</v>
      </c>
      <c r="Q1028" s="29" t="s">
        <v>384</v>
      </c>
    </row>
    <row r="1029" spans="1:17" x14ac:dyDescent="0.3">
      <c r="A1029" s="29" t="s">
        <v>712</v>
      </c>
      <c r="B1029" s="29">
        <v>1</v>
      </c>
      <c r="C1029" s="29" t="s">
        <v>387</v>
      </c>
      <c r="D1029" s="29" t="s">
        <v>1044</v>
      </c>
      <c r="E1029" s="29">
        <v>1400</v>
      </c>
      <c r="G1029" s="29" t="s">
        <v>292</v>
      </c>
      <c r="H1029" s="29">
        <v>1</v>
      </c>
      <c r="I1029" s="29">
        <v>4.43</v>
      </c>
      <c r="J1029" s="29">
        <v>6.2019999999999991</v>
      </c>
      <c r="K1029" s="29">
        <v>6.2019999999999991</v>
      </c>
      <c r="L1029" s="29" t="s">
        <v>383</v>
      </c>
      <c r="M1029" s="29">
        <v>1</v>
      </c>
      <c r="N1029" s="29">
        <v>1.4</v>
      </c>
      <c r="O1029" s="29">
        <v>1</v>
      </c>
      <c r="P1029" s="29">
        <v>6.2019999999999991</v>
      </c>
      <c r="Q1029" s="29" t="s">
        <v>384</v>
      </c>
    </row>
    <row r="1030" spans="1:17" x14ac:dyDescent="0.3">
      <c r="A1030" s="29" t="s">
        <v>713</v>
      </c>
      <c r="B1030" s="29">
        <v>1</v>
      </c>
      <c r="C1030" s="29" t="s">
        <v>387</v>
      </c>
      <c r="D1030" s="29" t="s">
        <v>1044</v>
      </c>
      <c r="E1030" s="29">
        <v>1700</v>
      </c>
      <c r="G1030" s="29" t="s">
        <v>292</v>
      </c>
      <c r="H1030" s="29">
        <v>1</v>
      </c>
      <c r="I1030" s="29">
        <v>4.43</v>
      </c>
      <c r="J1030" s="29">
        <v>7.5309999999999997</v>
      </c>
      <c r="K1030" s="29">
        <v>7.5309999999999997</v>
      </c>
      <c r="L1030" s="29" t="s">
        <v>383</v>
      </c>
      <c r="M1030" s="29">
        <v>1</v>
      </c>
      <c r="N1030" s="29">
        <v>1.7</v>
      </c>
      <c r="O1030" s="29">
        <v>1</v>
      </c>
      <c r="P1030" s="29">
        <v>7.5309999999999997</v>
      </c>
      <c r="Q1030" s="29" t="s">
        <v>384</v>
      </c>
    </row>
    <row r="1031" spans="1:17" x14ac:dyDescent="0.3">
      <c r="A1031" s="29" t="s">
        <v>714</v>
      </c>
      <c r="B1031" s="29">
        <v>1</v>
      </c>
      <c r="C1031" s="29" t="s">
        <v>387</v>
      </c>
      <c r="D1031" s="29" t="s">
        <v>1044</v>
      </c>
      <c r="E1031" s="29">
        <v>1600</v>
      </c>
      <c r="G1031" s="29" t="s">
        <v>292</v>
      </c>
      <c r="H1031" s="29">
        <v>1</v>
      </c>
      <c r="I1031" s="29">
        <v>4.43</v>
      </c>
      <c r="J1031" s="29">
        <v>7.0880000000000001</v>
      </c>
      <c r="K1031" s="29">
        <v>7.0880000000000001</v>
      </c>
      <c r="L1031" s="29" t="s">
        <v>383</v>
      </c>
      <c r="M1031" s="29">
        <v>1</v>
      </c>
      <c r="N1031" s="29">
        <v>1.6</v>
      </c>
      <c r="O1031" s="29">
        <v>1</v>
      </c>
      <c r="P1031" s="29">
        <v>7.0880000000000001</v>
      </c>
      <c r="Q1031" s="29" t="s">
        <v>384</v>
      </c>
    </row>
    <row r="1032" spans="1:17" x14ac:dyDescent="0.3">
      <c r="A1032" s="29" t="s">
        <v>715</v>
      </c>
      <c r="B1032" s="29">
        <v>1</v>
      </c>
      <c r="C1032" s="29" t="s">
        <v>387</v>
      </c>
      <c r="D1032" s="29" t="s">
        <v>1044</v>
      </c>
      <c r="E1032" s="29">
        <v>1400</v>
      </c>
      <c r="G1032" s="29" t="s">
        <v>292</v>
      </c>
      <c r="H1032" s="29">
        <v>1</v>
      </c>
      <c r="I1032" s="29">
        <v>4.43</v>
      </c>
      <c r="J1032" s="29">
        <v>6.2019999999999991</v>
      </c>
      <c r="K1032" s="29">
        <v>6.2019999999999991</v>
      </c>
      <c r="L1032" s="29" t="s">
        <v>383</v>
      </c>
      <c r="M1032" s="29">
        <v>1</v>
      </c>
      <c r="N1032" s="29">
        <v>1.4</v>
      </c>
      <c r="O1032" s="29">
        <v>1</v>
      </c>
      <c r="P1032" s="29">
        <v>6.2019999999999991</v>
      </c>
      <c r="Q1032" s="29" t="s">
        <v>384</v>
      </c>
    </row>
    <row r="1033" spans="1:17" x14ac:dyDescent="0.3">
      <c r="A1033" s="29" t="s">
        <v>716</v>
      </c>
      <c r="B1033" s="29">
        <v>1</v>
      </c>
      <c r="C1033" s="29" t="s">
        <v>387</v>
      </c>
      <c r="D1033" s="29" t="s">
        <v>1045</v>
      </c>
      <c r="E1033" s="29">
        <v>1400</v>
      </c>
      <c r="G1033" s="29" t="s">
        <v>292</v>
      </c>
      <c r="H1033" s="29">
        <v>1</v>
      </c>
      <c r="I1033" s="29">
        <v>9.9600000000000009</v>
      </c>
      <c r="J1033" s="29">
        <v>13.944000000000001</v>
      </c>
      <c r="K1033" s="29">
        <v>13.944000000000001</v>
      </c>
      <c r="L1033" s="29" t="s">
        <v>383</v>
      </c>
      <c r="M1033" s="29">
        <v>1</v>
      </c>
      <c r="N1033" s="29">
        <v>1.4</v>
      </c>
      <c r="O1033" s="29">
        <v>1</v>
      </c>
      <c r="P1033" s="29">
        <v>13.944000000000001</v>
      </c>
      <c r="Q1033" s="29" t="s">
        <v>384</v>
      </c>
    </row>
    <row r="1034" spans="1:17" x14ac:dyDescent="0.3">
      <c r="A1034" s="29" t="s">
        <v>717</v>
      </c>
      <c r="B1034" s="29">
        <v>1</v>
      </c>
      <c r="C1034" s="29" t="s">
        <v>387</v>
      </c>
      <c r="D1034" s="29" t="s">
        <v>1045</v>
      </c>
      <c r="E1034" s="29">
        <v>1500</v>
      </c>
      <c r="G1034" s="29" t="s">
        <v>292</v>
      </c>
      <c r="H1034" s="29">
        <v>1</v>
      </c>
      <c r="I1034" s="29">
        <v>9.9600000000000009</v>
      </c>
      <c r="J1034" s="29">
        <v>14.940000000000001</v>
      </c>
      <c r="K1034" s="29">
        <v>14.940000000000001</v>
      </c>
      <c r="L1034" s="29" t="s">
        <v>383</v>
      </c>
      <c r="M1034" s="29">
        <v>1</v>
      </c>
      <c r="N1034" s="29">
        <v>1.5</v>
      </c>
      <c r="O1034" s="29">
        <v>1</v>
      </c>
      <c r="P1034" s="29">
        <v>14.940000000000001</v>
      </c>
      <c r="Q1034" s="29" t="s">
        <v>384</v>
      </c>
    </row>
    <row r="1035" spans="1:17" x14ac:dyDescent="0.3">
      <c r="A1035" s="29" t="s">
        <v>717</v>
      </c>
      <c r="B1035" s="29">
        <v>1</v>
      </c>
      <c r="C1035" s="29" t="s">
        <v>387</v>
      </c>
      <c r="D1035" s="29" t="s">
        <v>1045</v>
      </c>
      <c r="E1035" s="29">
        <v>1500</v>
      </c>
      <c r="G1035" s="29" t="s">
        <v>292</v>
      </c>
      <c r="H1035" s="29">
        <v>1</v>
      </c>
      <c r="I1035" s="29">
        <v>9.9600000000000009</v>
      </c>
      <c r="J1035" s="29">
        <v>14.940000000000001</v>
      </c>
      <c r="K1035" s="29">
        <v>14.940000000000001</v>
      </c>
      <c r="L1035" s="29" t="s">
        <v>383</v>
      </c>
      <c r="M1035" s="29">
        <v>1</v>
      </c>
      <c r="N1035" s="29">
        <v>1.5</v>
      </c>
      <c r="O1035" s="29">
        <v>1</v>
      </c>
      <c r="P1035" s="29">
        <v>14.940000000000001</v>
      </c>
      <c r="Q1035" s="29" t="s">
        <v>384</v>
      </c>
    </row>
    <row r="1036" spans="1:17" x14ac:dyDescent="0.3">
      <c r="A1036" s="29" t="s">
        <v>718</v>
      </c>
      <c r="B1036" s="29">
        <v>1</v>
      </c>
      <c r="C1036" s="29" t="s">
        <v>387</v>
      </c>
      <c r="D1036" s="29" t="s">
        <v>1045</v>
      </c>
      <c r="E1036" s="29">
        <v>1700</v>
      </c>
      <c r="G1036" s="29" t="s">
        <v>292</v>
      </c>
      <c r="H1036" s="29">
        <v>1</v>
      </c>
      <c r="I1036" s="29">
        <v>9.9600000000000009</v>
      </c>
      <c r="J1036" s="29">
        <v>16.932000000000002</v>
      </c>
      <c r="K1036" s="29">
        <v>16.932000000000002</v>
      </c>
      <c r="L1036" s="29" t="s">
        <v>383</v>
      </c>
      <c r="M1036" s="29">
        <v>1</v>
      </c>
      <c r="N1036" s="29">
        <v>1.7</v>
      </c>
      <c r="O1036" s="29">
        <v>1</v>
      </c>
      <c r="P1036" s="29">
        <v>16.932000000000002</v>
      </c>
      <c r="Q1036" s="29" t="s">
        <v>384</v>
      </c>
    </row>
    <row r="1037" spans="1:17" x14ac:dyDescent="0.3">
      <c r="A1037" s="29" t="s">
        <v>719</v>
      </c>
      <c r="B1037" s="29">
        <v>1</v>
      </c>
      <c r="C1037" s="29" t="s">
        <v>387</v>
      </c>
      <c r="D1037" s="29" t="s">
        <v>1045</v>
      </c>
      <c r="E1037" s="29">
        <v>1900</v>
      </c>
      <c r="G1037" s="29" t="s">
        <v>292</v>
      </c>
      <c r="H1037" s="29">
        <v>1</v>
      </c>
      <c r="I1037" s="29">
        <v>9.9600000000000009</v>
      </c>
      <c r="J1037" s="29">
        <v>18.923999999999999</v>
      </c>
      <c r="K1037" s="29">
        <v>18.923999999999999</v>
      </c>
      <c r="L1037" s="29" t="s">
        <v>383</v>
      </c>
      <c r="M1037" s="29">
        <v>1</v>
      </c>
      <c r="N1037" s="29">
        <v>1.9</v>
      </c>
      <c r="O1037" s="29">
        <v>1</v>
      </c>
      <c r="P1037" s="29">
        <v>18.923999999999999</v>
      </c>
      <c r="Q1037" s="29" t="s">
        <v>384</v>
      </c>
    </row>
    <row r="1038" spans="1:17" x14ac:dyDescent="0.3">
      <c r="A1038" s="29" t="s">
        <v>720</v>
      </c>
      <c r="B1038" s="29">
        <v>1</v>
      </c>
      <c r="C1038" s="29" t="s">
        <v>387</v>
      </c>
      <c r="D1038" s="29" t="s">
        <v>1045</v>
      </c>
      <c r="E1038" s="29">
        <v>2700</v>
      </c>
      <c r="G1038" s="29" t="s">
        <v>292</v>
      </c>
      <c r="H1038" s="29">
        <v>1</v>
      </c>
      <c r="I1038" s="29">
        <v>9.9600000000000009</v>
      </c>
      <c r="J1038" s="29">
        <v>26.892000000000003</v>
      </c>
      <c r="K1038" s="29">
        <v>26.892000000000003</v>
      </c>
      <c r="L1038" s="29" t="s">
        <v>383</v>
      </c>
      <c r="M1038" s="29">
        <v>1</v>
      </c>
      <c r="N1038" s="29">
        <v>2.7</v>
      </c>
      <c r="O1038" s="29">
        <v>1</v>
      </c>
      <c r="P1038" s="29">
        <v>26.892000000000003</v>
      </c>
      <c r="Q1038" s="29" t="s">
        <v>384</v>
      </c>
    </row>
    <row r="1039" spans="1:17" x14ac:dyDescent="0.3">
      <c r="A1039" s="29" t="s">
        <v>721</v>
      </c>
      <c r="B1039" s="29">
        <v>1</v>
      </c>
      <c r="C1039" s="29" t="s">
        <v>387</v>
      </c>
      <c r="D1039" s="29" t="s">
        <v>1045</v>
      </c>
      <c r="E1039" s="29">
        <v>1800</v>
      </c>
      <c r="G1039" s="29" t="s">
        <v>292</v>
      </c>
      <c r="H1039" s="29">
        <v>1</v>
      </c>
      <c r="I1039" s="29">
        <v>9.9600000000000009</v>
      </c>
      <c r="J1039" s="29">
        <v>17.928000000000001</v>
      </c>
      <c r="K1039" s="29">
        <v>17.928000000000001</v>
      </c>
      <c r="L1039" s="29" t="s">
        <v>383</v>
      </c>
      <c r="M1039" s="29">
        <v>1</v>
      </c>
      <c r="N1039" s="29">
        <v>1.8</v>
      </c>
      <c r="O1039" s="29">
        <v>1</v>
      </c>
      <c r="P1039" s="29">
        <v>17.928000000000001</v>
      </c>
      <c r="Q1039" s="29" t="s">
        <v>384</v>
      </c>
    </row>
    <row r="1040" spans="1:17" x14ac:dyDescent="0.3">
      <c r="A1040" s="29" t="s">
        <v>722</v>
      </c>
      <c r="B1040" s="29">
        <v>1</v>
      </c>
      <c r="C1040" s="29" t="s">
        <v>387</v>
      </c>
      <c r="D1040" s="29" t="s">
        <v>1045</v>
      </c>
      <c r="E1040" s="29">
        <v>1700</v>
      </c>
      <c r="G1040" s="29" t="s">
        <v>292</v>
      </c>
      <c r="H1040" s="29">
        <v>1</v>
      </c>
      <c r="I1040" s="29">
        <v>9.9600000000000009</v>
      </c>
      <c r="J1040" s="29">
        <v>16.932000000000002</v>
      </c>
      <c r="K1040" s="29">
        <v>16.932000000000002</v>
      </c>
      <c r="L1040" s="29" t="s">
        <v>383</v>
      </c>
      <c r="M1040" s="29">
        <v>1</v>
      </c>
      <c r="N1040" s="29">
        <v>1.7</v>
      </c>
      <c r="O1040" s="29">
        <v>1</v>
      </c>
      <c r="P1040" s="29">
        <v>16.932000000000002</v>
      </c>
      <c r="Q1040" s="29" t="s">
        <v>384</v>
      </c>
    </row>
    <row r="1041" spans="1:17" x14ac:dyDescent="0.3">
      <c r="A1041" s="29" t="s">
        <v>723</v>
      </c>
      <c r="B1041" s="29">
        <v>1</v>
      </c>
      <c r="C1041" s="29" t="s">
        <v>387</v>
      </c>
      <c r="D1041" s="29" t="s">
        <v>1045</v>
      </c>
      <c r="E1041" s="29">
        <v>2300</v>
      </c>
      <c r="G1041" s="29" t="s">
        <v>292</v>
      </c>
      <c r="H1041" s="29">
        <v>1</v>
      </c>
      <c r="I1041" s="29">
        <v>9.9600000000000009</v>
      </c>
      <c r="J1041" s="29">
        <v>22.908000000000001</v>
      </c>
      <c r="K1041" s="29">
        <v>22.908000000000001</v>
      </c>
      <c r="L1041" s="29" t="s">
        <v>383</v>
      </c>
      <c r="M1041" s="29">
        <v>1</v>
      </c>
      <c r="N1041" s="29">
        <v>2.2999999999999998</v>
      </c>
      <c r="O1041" s="29">
        <v>1</v>
      </c>
      <c r="P1041" s="29">
        <v>22.908000000000001</v>
      </c>
      <c r="Q1041" s="29" t="s">
        <v>384</v>
      </c>
    </row>
    <row r="1042" spans="1:17" x14ac:dyDescent="0.3">
      <c r="A1042" s="29" t="s">
        <v>723</v>
      </c>
      <c r="B1042" s="29">
        <v>1</v>
      </c>
      <c r="C1042" s="29" t="s">
        <v>387</v>
      </c>
      <c r="D1042" s="29" t="s">
        <v>1045</v>
      </c>
      <c r="E1042" s="29">
        <v>2300</v>
      </c>
      <c r="G1042" s="29" t="s">
        <v>292</v>
      </c>
      <c r="H1042" s="29">
        <v>1</v>
      </c>
      <c r="I1042" s="29">
        <v>9.9600000000000009</v>
      </c>
      <c r="J1042" s="29">
        <v>22.908000000000001</v>
      </c>
      <c r="K1042" s="29">
        <v>22.908000000000001</v>
      </c>
      <c r="L1042" s="29" t="s">
        <v>383</v>
      </c>
      <c r="M1042" s="29">
        <v>1</v>
      </c>
      <c r="N1042" s="29">
        <v>2.2999999999999998</v>
      </c>
      <c r="O1042" s="29">
        <v>1</v>
      </c>
      <c r="P1042" s="29">
        <v>22.908000000000001</v>
      </c>
      <c r="Q1042" s="29" t="s">
        <v>384</v>
      </c>
    </row>
    <row r="1043" spans="1:17" x14ac:dyDescent="0.3">
      <c r="A1043" s="29" t="s">
        <v>723</v>
      </c>
      <c r="B1043" s="29">
        <v>1</v>
      </c>
      <c r="C1043" s="29" t="s">
        <v>387</v>
      </c>
      <c r="D1043" s="29" t="s">
        <v>1045</v>
      </c>
      <c r="E1043" s="29">
        <v>2300</v>
      </c>
      <c r="G1043" s="29" t="s">
        <v>292</v>
      </c>
      <c r="H1043" s="29">
        <v>1</v>
      </c>
      <c r="I1043" s="29">
        <v>9.9600000000000009</v>
      </c>
      <c r="J1043" s="29">
        <v>22.908000000000001</v>
      </c>
      <c r="K1043" s="29">
        <v>22.908000000000001</v>
      </c>
      <c r="L1043" s="29" t="s">
        <v>383</v>
      </c>
      <c r="M1043" s="29">
        <v>1</v>
      </c>
      <c r="N1043" s="29">
        <v>2.2999999999999998</v>
      </c>
      <c r="O1043" s="29">
        <v>1</v>
      </c>
      <c r="P1043" s="29">
        <v>22.908000000000001</v>
      </c>
      <c r="Q1043" s="29" t="s">
        <v>384</v>
      </c>
    </row>
    <row r="1044" spans="1:17" x14ac:dyDescent="0.3">
      <c r="A1044" s="29" t="s">
        <v>724</v>
      </c>
      <c r="B1044" s="29">
        <v>1</v>
      </c>
      <c r="C1044" s="29" t="s">
        <v>387</v>
      </c>
      <c r="D1044" s="29" t="s">
        <v>1045</v>
      </c>
      <c r="E1044" s="29">
        <v>2000</v>
      </c>
      <c r="G1044" s="29" t="s">
        <v>292</v>
      </c>
      <c r="H1044" s="29">
        <v>1</v>
      </c>
      <c r="I1044" s="29">
        <v>9.9600000000000009</v>
      </c>
      <c r="J1044" s="29">
        <v>19.920000000000002</v>
      </c>
      <c r="K1044" s="29">
        <v>19.920000000000002</v>
      </c>
      <c r="L1044" s="29" t="s">
        <v>383</v>
      </c>
      <c r="M1044" s="29">
        <v>1</v>
      </c>
      <c r="N1044" s="29">
        <v>2</v>
      </c>
      <c r="O1044" s="29">
        <v>1</v>
      </c>
      <c r="P1044" s="29">
        <v>19.920000000000002</v>
      </c>
      <c r="Q1044" s="29" t="s">
        <v>384</v>
      </c>
    </row>
    <row r="1045" spans="1:17" x14ac:dyDescent="0.3">
      <c r="A1045" s="29" t="s">
        <v>725</v>
      </c>
      <c r="B1045" s="29">
        <v>1</v>
      </c>
      <c r="C1045" s="29" t="s">
        <v>387</v>
      </c>
      <c r="D1045" s="29" t="s">
        <v>1045</v>
      </c>
      <c r="E1045" s="29">
        <v>1700</v>
      </c>
      <c r="G1045" s="29" t="s">
        <v>292</v>
      </c>
      <c r="H1045" s="29">
        <v>1</v>
      </c>
      <c r="I1045" s="29">
        <v>9.9600000000000009</v>
      </c>
      <c r="J1045" s="29">
        <v>16.932000000000002</v>
      </c>
      <c r="K1045" s="29">
        <v>16.932000000000002</v>
      </c>
      <c r="L1045" s="29" t="s">
        <v>383</v>
      </c>
      <c r="M1045" s="29">
        <v>1</v>
      </c>
      <c r="N1045" s="29">
        <v>1.7</v>
      </c>
      <c r="O1045" s="29">
        <v>1</v>
      </c>
      <c r="P1045" s="29">
        <v>16.932000000000002</v>
      </c>
      <c r="Q1045" s="29" t="s">
        <v>384</v>
      </c>
    </row>
    <row r="1046" spans="1:17" x14ac:dyDescent="0.3">
      <c r="A1046" s="29" t="s">
        <v>726</v>
      </c>
      <c r="B1046" s="29">
        <v>1</v>
      </c>
      <c r="C1046" s="29" t="s">
        <v>387</v>
      </c>
      <c r="D1046" s="29" t="s">
        <v>1045</v>
      </c>
      <c r="E1046" s="29">
        <v>1900</v>
      </c>
      <c r="G1046" s="29" t="s">
        <v>292</v>
      </c>
      <c r="H1046" s="29">
        <v>1</v>
      </c>
      <c r="I1046" s="29">
        <v>9.9600000000000009</v>
      </c>
      <c r="J1046" s="29">
        <v>18.923999999999999</v>
      </c>
      <c r="K1046" s="29">
        <v>18.923999999999999</v>
      </c>
      <c r="L1046" s="29" t="s">
        <v>383</v>
      </c>
      <c r="M1046" s="29">
        <v>1</v>
      </c>
      <c r="N1046" s="29">
        <v>1.9</v>
      </c>
      <c r="O1046" s="29">
        <v>1</v>
      </c>
      <c r="P1046" s="29">
        <v>18.923999999999999</v>
      </c>
      <c r="Q1046" s="29" t="s">
        <v>384</v>
      </c>
    </row>
    <row r="1047" spans="1:17" x14ac:dyDescent="0.3">
      <c r="A1047" s="29" t="s">
        <v>727</v>
      </c>
      <c r="B1047" s="29">
        <v>1</v>
      </c>
      <c r="C1047" s="29" t="s">
        <v>387</v>
      </c>
      <c r="D1047" s="29" t="s">
        <v>1045</v>
      </c>
      <c r="E1047" s="29">
        <v>4500</v>
      </c>
      <c r="G1047" s="29" t="s">
        <v>292</v>
      </c>
      <c r="H1047" s="29">
        <v>1</v>
      </c>
      <c r="I1047" s="29">
        <v>9.9600000000000009</v>
      </c>
      <c r="J1047" s="29">
        <v>44.820000000000007</v>
      </c>
      <c r="K1047" s="29">
        <v>44.820000000000007</v>
      </c>
      <c r="L1047" s="29" t="s">
        <v>383</v>
      </c>
      <c r="M1047" s="29">
        <v>1</v>
      </c>
      <c r="N1047" s="29">
        <v>4.5</v>
      </c>
      <c r="O1047" s="29">
        <v>1</v>
      </c>
      <c r="P1047" s="29">
        <v>44.820000000000007</v>
      </c>
      <c r="Q1047" s="29" t="s">
        <v>384</v>
      </c>
    </row>
    <row r="1048" spans="1:17" x14ac:dyDescent="0.3">
      <c r="A1048" s="29" t="s">
        <v>728</v>
      </c>
      <c r="B1048" s="29">
        <v>1</v>
      </c>
      <c r="C1048" s="29" t="s">
        <v>387</v>
      </c>
      <c r="D1048" s="29" t="s">
        <v>1045</v>
      </c>
      <c r="E1048" s="29">
        <v>2000</v>
      </c>
      <c r="G1048" s="29" t="s">
        <v>292</v>
      </c>
      <c r="H1048" s="29">
        <v>1</v>
      </c>
      <c r="I1048" s="29">
        <v>9.9600000000000009</v>
      </c>
      <c r="J1048" s="29">
        <v>19.920000000000002</v>
      </c>
      <c r="K1048" s="29">
        <v>19.920000000000002</v>
      </c>
      <c r="L1048" s="29" t="s">
        <v>383</v>
      </c>
      <c r="M1048" s="29">
        <v>1</v>
      </c>
      <c r="N1048" s="29">
        <v>2</v>
      </c>
      <c r="O1048" s="29">
        <v>1</v>
      </c>
      <c r="P1048" s="29">
        <v>19.920000000000002</v>
      </c>
      <c r="Q1048" s="29" t="s">
        <v>384</v>
      </c>
    </row>
    <row r="1049" spans="1:17" x14ac:dyDescent="0.3">
      <c r="A1049" s="29" t="s">
        <v>729</v>
      </c>
      <c r="B1049" s="29">
        <v>1</v>
      </c>
      <c r="C1049" s="29" t="s">
        <v>387</v>
      </c>
      <c r="D1049" s="29" t="s">
        <v>1045</v>
      </c>
      <c r="E1049" s="29">
        <v>4700</v>
      </c>
      <c r="G1049" s="29" t="s">
        <v>292</v>
      </c>
      <c r="H1049" s="29">
        <v>1</v>
      </c>
      <c r="I1049" s="29">
        <v>9.9600000000000009</v>
      </c>
      <c r="J1049" s="29">
        <v>46.812000000000005</v>
      </c>
      <c r="K1049" s="29">
        <v>46.812000000000005</v>
      </c>
      <c r="L1049" s="29" t="s">
        <v>383</v>
      </c>
      <c r="M1049" s="29">
        <v>1</v>
      </c>
      <c r="N1049" s="29">
        <v>4.7</v>
      </c>
      <c r="O1049" s="29">
        <v>1</v>
      </c>
      <c r="P1049" s="29">
        <v>46.812000000000005</v>
      </c>
      <c r="Q1049" s="29" t="s">
        <v>384</v>
      </c>
    </row>
    <row r="1050" spans="1:17" x14ac:dyDescent="0.3">
      <c r="A1050" s="29" t="s">
        <v>730</v>
      </c>
      <c r="B1050" s="29">
        <v>1</v>
      </c>
      <c r="C1050" s="29" t="s">
        <v>387</v>
      </c>
      <c r="D1050" s="29" t="s">
        <v>1045</v>
      </c>
      <c r="E1050" s="29">
        <v>2400</v>
      </c>
      <c r="G1050" s="29" t="s">
        <v>292</v>
      </c>
      <c r="H1050" s="29">
        <v>1</v>
      </c>
      <c r="I1050" s="29">
        <v>9.9600000000000009</v>
      </c>
      <c r="J1050" s="29">
        <v>23.904</v>
      </c>
      <c r="K1050" s="29">
        <v>23.904</v>
      </c>
      <c r="L1050" s="29" t="s">
        <v>383</v>
      </c>
      <c r="M1050" s="29">
        <v>1</v>
      </c>
      <c r="N1050" s="29">
        <v>2.4</v>
      </c>
      <c r="O1050" s="29">
        <v>1</v>
      </c>
      <c r="P1050" s="29">
        <v>23.904</v>
      </c>
      <c r="Q1050" s="29" t="s">
        <v>384</v>
      </c>
    </row>
    <row r="1051" spans="1:17" x14ac:dyDescent="0.3">
      <c r="A1051" s="29" t="s">
        <v>731</v>
      </c>
      <c r="B1051" s="29">
        <v>1</v>
      </c>
      <c r="C1051" s="29" t="s">
        <v>387</v>
      </c>
      <c r="D1051" s="29" t="s">
        <v>1045</v>
      </c>
      <c r="E1051" s="29">
        <v>2600</v>
      </c>
      <c r="G1051" s="29" t="s">
        <v>292</v>
      </c>
      <c r="H1051" s="29">
        <v>1</v>
      </c>
      <c r="I1051" s="29">
        <v>9.9600000000000009</v>
      </c>
      <c r="J1051" s="29">
        <v>25.896000000000004</v>
      </c>
      <c r="K1051" s="29">
        <v>25.896000000000004</v>
      </c>
      <c r="L1051" s="29" t="s">
        <v>383</v>
      </c>
      <c r="M1051" s="29">
        <v>1</v>
      </c>
      <c r="N1051" s="29">
        <v>2.6</v>
      </c>
      <c r="O1051" s="29">
        <v>1</v>
      </c>
      <c r="P1051" s="29">
        <v>25.896000000000004</v>
      </c>
      <c r="Q1051" s="29" t="s">
        <v>384</v>
      </c>
    </row>
    <row r="1052" spans="1:17" x14ac:dyDescent="0.3">
      <c r="A1052" s="29" t="s">
        <v>732</v>
      </c>
      <c r="B1052" s="29">
        <v>1</v>
      </c>
      <c r="C1052" s="29" t="s">
        <v>1029</v>
      </c>
      <c r="D1052" s="29" t="s">
        <v>1030</v>
      </c>
      <c r="E1052" s="29">
        <v>500</v>
      </c>
      <c r="G1052" s="29" t="s">
        <v>292</v>
      </c>
      <c r="H1052" s="29">
        <v>1</v>
      </c>
      <c r="I1052" s="29">
        <v>13.4</v>
      </c>
      <c r="J1052" s="29">
        <v>6.7</v>
      </c>
      <c r="K1052" s="29">
        <v>6.7</v>
      </c>
      <c r="L1052" s="29" t="s">
        <v>383</v>
      </c>
      <c r="M1052" s="29">
        <v>1</v>
      </c>
      <c r="N1052" s="29">
        <v>0.5</v>
      </c>
      <c r="O1052" s="29">
        <v>1</v>
      </c>
      <c r="P1052" s="29">
        <v>6.7</v>
      </c>
      <c r="Q1052" s="29" t="s">
        <v>384</v>
      </c>
    </row>
    <row r="1053" spans="1:17" x14ac:dyDescent="0.3">
      <c r="B1053" s="29">
        <v>2</v>
      </c>
      <c r="C1053" s="29" t="s">
        <v>1029</v>
      </c>
      <c r="D1053" s="29" t="s">
        <v>1030</v>
      </c>
      <c r="E1053" s="29">
        <v>600</v>
      </c>
      <c r="G1053" s="29" t="s">
        <v>292</v>
      </c>
      <c r="H1053" s="29">
        <v>1</v>
      </c>
      <c r="I1053" s="29">
        <v>13.4</v>
      </c>
      <c r="J1053" s="29">
        <v>8.0399999999999991</v>
      </c>
      <c r="K1053" s="29">
        <v>8.0399999999999991</v>
      </c>
      <c r="L1053" s="29" t="s">
        <v>383</v>
      </c>
      <c r="M1053" s="29">
        <v>1</v>
      </c>
      <c r="N1053" s="29">
        <v>0.6</v>
      </c>
      <c r="O1053" s="29">
        <v>1</v>
      </c>
      <c r="P1053" s="29">
        <v>8.0399999999999991</v>
      </c>
      <c r="Q1053" s="29" t="s">
        <v>384</v>
      </c>
    </row>
    <row r="1054" spans="1:17" x14ac:dyDescent="0.3">
      <c r="A1054" s="29" t="s">
        <v>733</v>
      </c>
      <c r="B1054" s="29">
        <v>1</v>
      </c>
      <c r="C1054" s="29" t="s">
        <v>1029</v>
      </c>
      <c r="D1054" s="29" t="s">
        <v>1052</v>
      </c>
      <c r="E1054" s="29">
        <v>400</v>
      </c>
      <c r="G1054" s="29" t="s">
        <v>292</v>
      </c>
      <c r="H1054" s="29">
        <v>1</v>
      </c>
      <c r="I1054" s="29">
        <v>24</v>
      </c>
      <c r="J1054" s="29">
        <v>9.6000000000000014</v>
      </c>
      <c r="K1054" s="29">
        <v>9.6000000000000014</v>
      </c>
      <c r="L1054" s="29" t="s">
        <v>383</v>
      </c>
      <c r="M1054" s="29">
        <v>1</v>
      </c>
      <c r="N1054" s="29">
        <v>0.4</v>
      </c>
      <c r="O1054" s="29">
        <v>1</v>
      </c>
      <c r="P1054" s="29">
        <v>9.6000000000000014</v>
      </c>
      <c r="Q1054" s="29" t="s">
        <v>384</v>
      </c>
    </row>
    <row r="1055" spans="1:17" x14ac:dyDescent="0.3">
      <c r="B1055" s="29">
        <v>2</v>
      </c>
      <c r="C1055" s="29" t="s">
        <v>1029</v>
      </c>
      <c r="D1055" s="29" t="s">
        <v>1052</v>
      </c>
      <c r="E1055" s="29">
        <v>1000</v>
      </c>
      <c r="G1055" s="29" t="s">
        <v>292</v>
      </c>
      <c r="H1055" s="29">
        <v>1</v>
      </c>
      <c r="I1055" s="29">
        <v>24</v>
      </c>
      <c r="J1055" s="29">
        <v>24</v>
      </c>
      <c r="K1055" s="29">
        <v>24</v>
      </c>
      <c r="L1055" s="29" t="s">
        <v>383</v>
      </c>
      <c r="M1055" s="29">
        <v>1</v>
      </c>
      <c r="N1055" s="29">
        <v>1</v>
      </c>
      <c r="O1055" s="29">
        <v>1</v>
      </c>
      <c r="P1055" s="29">
        <v>24</v>
      </c>
      <c r="Q1055" s="29" t="s">
        <v>384</v>
      </c>
    </row>
    <row r="1056" spans="1:17" x14ac:dyDescent="0.3">
      <c r="A1056" s="29" t="s">
        <v>734</v>
      </c>
      <c r="B1056" s="29">
        <v>1</v>
      </c>
      <c r="C1056" s="29" t="s">
        <v>1029</v>
      </c>
      <c r="D1056" s="29" t="s">
        <v>1052</v>
      </c>
      <c r="E1056" s="29">
        <v>500</v>
      </c>
      <c r="G1056" s="29" t="s">
        <v>292</v>
      </c>
      <c r="H1056" s="29">
        <v>1</v>
      </c>
      <c r="I1056" s="29">
        <v>24</v>
      </c>
      <c r="J1056" s="29">
        <v>12</v>
      </c>
      <c r="K1056" s="29">
        <v>12</v>
      </c>
      <c r="L1056" s="29" t="s">
        <v>383</v>
      </c>
      <c r="M1056" s="29">
        <v>1</v>
      </c>
      <c r="N1056" s="29">
        <v>0.5</v>
      </c>
      <c r="O1056" s="29">
        <v>1</v>
      </c>
      <c r="P1056" s="29">
        <v>12</v>
      </c>
      <c r="Q1056" s="29" t="s">
        <v>384</v>
      </c>
    </row>
    <row r="1057" spans="1:17" x14ac:dyDescent="0.3">
      <c r="B1057" s="29">
        <v>2</v>
      </c>
      <c r="C1057" s="29" t="s">
        <v>1029</v>
      </c>
      <c r="D1057" s="29" t="s">
        <v>1052</v>
      </c>
      <c r="E1057" s="29">
        <v>1000</v>
      </c>
      <c r="G1057" s="29" t="s">
        <v>292</v>
      </c>
      <c r="H1057" s="29">
        <v>1</v>
      </c>
      <c r="I1057" s="29">
        <v>24</v>
      </c>
      <c r="J1057" s="29">
        <v>24</v>
      </c>
      <c r="K1057" s="29">
        <v>24</v>
      </c>
      <c r="L1057" s="29" t="s">
        <v>383</v>
      </c>
      <c r="M1057" s="29">
        <v>1</v>
      </c>
      <c r="N1057" s="29">
        <v>1</v>
      </c>
      <c r="O1057" s="29">
        <v>1</v>
      </c>
      <c r="P1057" s="29">
        <v>24</v>
      </c>
      <c r="Q1057" s="29" t="s">
        <v>384</v>
      </c>
    </row>
    <row r="1058" spans="1:17" x14ac:dyDescent="0.3">
      <c r="A1058" s="29" t="s">
        <v>735</v>
      </c>
      <c r="B1058" s="29">
        <v>1</v>
      </c>
      <c r="C1058" s="29" t="s">
        <v>1029</v>
      </c>
      <c r="D1058" s="29" t="s">
        <v>1052</v>
      </c>
      <c r="E1058" s="29">
        <v>800</v>
      </c>
      <c r="G1058" s="29" t="s">
        <v>292</v>
      </c>
      <c r="H1058" s="29">
        <v>1</v>
      </c>
      <c r="I1058" s="29">
        <v>24</v>
      </c>
      <c r="J1058" s="29">
        <v>19.200000000000003</v>
      </c>
      <c r="K1058" s="29">
        <v>19.200000000000003</v>
      </c>
      <c r="L1058" s="29" t="s">
        <v>383</v>
      </c>
      <c r="M1058" s="29">
        <v>1</v>
      </c>
      <c r="N1058" s="29">
        <v>0.8</v>
      </c>
      <c r="O1058" s="29">
        <v>1</v>
      </c>
      <c r="P1058" s="29">
        <v>19.200000000000003</v>
      </c>
      <c r="Q1058" s="29" t="s">
        <v>384</v>
      </c>
    </row>
    <row r="1059" spans="1:17" x14ac:dyDescent="0.3">
      <c r="B1059" s="29">
        <v>2</v>
      </c>
      <c r="C1059" s="29" t="s">
        <v>1029</v>
      </c>
      <c r="D1059" s="29" t="s">
        <v>1052</v>
      </c>
      <c r="E1059" s="29">
        <v>800</v>
      </c>
      <c r="G1059" s="29" t="s">
        <v>292</v>
      </c>
      <c r="H1059" s="29">
        <v>1</v>
      </c>
      <c r="I1059" s="29">
        <v>24</v>
      </c>
      <c r="J1059" s="29">
        <v>19.200000000000003</v>
      </c>
      <c r="K1059" s="29">
        <v>19.200000000000003</v>
      </c>
      <c r="L1059" s="29" t="s">
        <v>383</v>
      </c>
      <c r="M1059" s="29">
        <v>1</v>
      </c>
      <c r="N1059" s="29">
        <v>0.8</v>
      </c>
      <c r="O1059" s="29">
        <v>1</v>
      </c>
      <c r="P1059" s="29">
        <v>19.200000000000003</v>
      </c>
      <c r="Q1059" s="29" t="s">
        <v>384</v>
      </c>
    </row>
    <row r="1060" spans="1:17" x14ac:dyDescent="0.3">
      <c r="A1060" s="29" t="s">
        <v>736</v>
      </c>
      <c r="B1060" s="29">
        <v>1</v>
      </c>
      <c r="C1060" s="29" t="s">
        <v>1029</v>
      </c>
      <c r="D1060" s="29" t="s">
        <v>1053</v>
      </c>
      <c r="E1060" s="29">
        <v>400</v>
      </c>
      <c r="G1060" s="29" t="s">
        <v>292</v>
      </c>
      <c r="H1060" s="29">
        <v>1</v>
      </c>
      <c r="I1060" s="29">
        <v>9.36</v>
      </c>
      <c r="J1060" s="29">
        <v>3.7439999999999998</v>
      </c>
      <c r="K1060" s="29">
        <v>3.7439999999999998</v>
      </c>
      <c r="L1060" s="29" t="s">
        <v>383</v>
      </c>
      <c r="M1060" s="29">
        <v>1</v>
      </c>
      <c r="N1060" s="29">
        <v>0.4</v>
      </c>
      <c r="O1060" s="29">
        <v>1</v>
      </c>
      <c r="P1060" s="29">
        <v>3.7439999999999998</v>
      </c>
      <c r="Q1060" s="29" t="s">
        <v>384</v>
      </c>
    </row>
    <row r="1061" spans="1:17" x14ac:dyDescent="0.3">
      <c r="A1061" s="29" t="s">
        <v>736</v>
      </c>
      <c r="B1061" s="29">
        <v>1</v>
      </c>
      <c r="C1061" s="29" t="s">
        <v>1029</v>
      </c>
      <c r="D1061" s="29" t="s">
        <v>1053</v>
      </c>
      <c r="E1061" s="29">
        <v>400</v>
      </c>
      <c r="G1061" s="29" t="s">
        <v>292</v>
      </c>
      <c r="H1061" s="29">
        <v>1</v>
      </c>
      <c r="I1061" s="29">
        <v>9.36</v>
      </c>
      <c r="J1061" s="29">
        <v>3.7439999999999998</v>
      </c>
      <c r="K1061" s="29">
        <v>3.7439999999999998</v>
      </c>
      <c r="L1061" s="29" t="s">
        <v>383</v>
      </c>
      <c r="M1061" s="29">
        <v>1</v>
      </c>
      <c r="N1061" s="29">
        <v>0.4</v>
      </c>
      <c r="O1061" s="29">
        <v>1</v>
      </c>
      <c r="P1061" s="29">
        <v>3.7439999999999998</v>
      </c>
      <c r="Q1061" s="29" t="s">
        <v>384</v>
      </c>
    </row>
    <row r="1062" spans="1:17" x14ac:dyDescent="0.3">
      <c r="A1062" s="29" t="s">
        <v>737</v>
      </c>
      <c r="B1062" s="29">
        <v>1</v>
      </c>
      <c r="C1062" s="29" t="s">
        <v>1029</v>
      </c>
      <c r="D1062" s="29" t="s">
        <v>1053</v>
      </c>
      <c r="E1062" s="29">
        <v>500</v>
      </c>
      <c r="G1062" s="29" t="s">
        <v>292</v>
      </c>
      <c r="H1062" s="29">
        <v>1</v>
      </c>
      <c r="I1062" s="29">
        <v>9.36</v>
      </c>
      <c r="J1062" s="29">
        <v>4.68</v>
      </c>
      <c r="K1062" s="29">
        <v>4.68</v>
      </c>
      <c r="L1062" s="29" t="s">
        <v>383</v>
      </c>
      <c r="M1062" s="29">
        <v>1</v>
      </c>
      <c r="N1062" s="29">
        <v>0.5</v>
      </c>
      <c r="O1062" s="29">
        <v>1</v>
      </c>
      <c r="P1062" s="29">
        <v>4.68</v>
      </c>
      <c r="Q1062" s="29" t="s">
        <v>384</v>
      </c>
    </row>
    <row r="1063" spans="1:17" x14ac:dyDescent="0.3">
      <c r="A1063" s="29" t="s">
        <v>737</v>
      </c>
      <c r="B1063" s="29">
        <v>1</v>
      </c>
      <c r="C1063" s="29" t="s">
        <v>1029</v>
      </c>
      <c r="D1063" s="29" t="s">
        <v>1053</v>
      </c>
      <c r="E1063" s="29">
        <v>500</v>
      </c>
      <c r="G1063" s="29" t="s">
        <v>292</v>
      </c>
      <c r="H1063" s="29">
        <v>1</v>
      </c>
      <c r="I1063" s="29">
        <v>9.36</v>
      </c>
      <c r="J1063" s="29">
        <v>4.68</v>
      </c>
      <c r="K1063" s="29">
        <v>4.68</v>
      </c>
      <c r="L1063" s="29" t="s">
        <v>383</v>
      </c>
      <c r="M1063" s="29">
        <v>1</v>
      </c>
      <c r="N1063" s="29">
        <v>0.5</v>
      </c>
      <c r="O1063" s="29">
        <v>1</v>
      </c>
      <c r="P1063" s="29">
        <v>4.68</v>
      </c>
      <c r="Q1063" s="29" t="s">
        <v>384</v>
      </c>
    </row>
    <row r="1064" spans="1:17" x14ac:dyDescent="0.3">
      <c r="A1064" s="29" t="s">
        <v>737</v>
      </c>
      <c r="B1064" s="29">
        <v>1</v>
      </c>
      <c r="C1064" s="29" t="s">
        <v>1029</v>
      </c>
      <c r="D1064" s="29" t="s">
        <v>1053</v>
      </c>
      <c r="E1064" s="29">
        <v>500</v>
      </c>
      <c r="G1064" s="29" t="s">
        <v>292</v>
      </c>
      <c r="H1064" s="29">
        <v>1</v>
      </c>
      <c r="I1064" s="29">
        <v>9.36</v>
      </c>
      <c r="J1064" s="29">
        <v>4.68</v>
      </c>
      <c r="K1064" s="29">
        <v>4.68</v>
      </c>
      <c r="L1064" s="29" t="s">
        <v>383</v>
      </c>
      <c r="M1064" s="29">
        <v>1</v>
      </c>
      <c r="N1064" s="29">
        <v>0.5</v>
      </c>
      <c r="O1064" s="29">
        <v>1</v>
      </c>
      <c r="P1064" s="29">
        <v>4.68</v>
      </c>
      <c r="Q1064" s="29" t="s">
        <v>384</v>
      </c>
    </row>
    <row r="1065" spans="1:17" x14ac:dyDescent="0.3">
      <c r="A1065" s="29" t="s">
        <v>737</v>
      </c>
      <c r="B1065" s="29">
        <v>1</v>
      </c>
      <c r="C1065" s="29" t="s">
        <v>1029</v>
      </c>
      <c r="D1065" s="29" t="s">
        <v>1053</v>
      </c>
      <c r="E1065" s="29">
        <v>500</v>
      </c>
      <c r="G1065" s="29" t="s">
        <v>292</v>
      </c>
      <c r="H1065" s="29">
        <v>1</v>
      </c>
      <c r="I1065" s="29">
        <v>9.36</v>
      </c>
      <c r="J1065" s="29">
        <v>4.68</v>
      </c>
      <c r="K1065" s="29">
        <v>4.68</v>
      </c>
      <c r="L1065" s="29" t="s">
        <v>383</v>
      </c>
      <c r="M1065" s="29">
        <v>1</v>
      </c>
      <c r="N1065" s="29">
        <v>0.5</v>
      </c>
      <c r="O1065" s="29">
        <v>1</v>
      </c>
      <c r="P1065" s="29">
        <v>4.68</v>
      </c>
      <c r="Q1065" s="29" t="s">
        <v>384</v>
      </c>
    </row>
    <row r="1066" spans="1:17" x14ac:dyDescent="0.3">
      <c r="A1066" s="29" t="s">
        <v>737</v>
      </c>
      <c r="B1066" s="29">
        <v>1</v>
      </c>
      <c r="C1066" s="29" t="s">
        <v>1029</v>
      </c>
      <c r="D1066" s="29" t="s">
        <v>1053</v>
      </c>
      <c r="E1066" s="29">
        <v>500</v>
      </c>
      <c r="G1066" s="29" t="s">
        <v>292</v>
      </c>
      <c r="H1066" s="29">
        <v>1</v>
      </c>
      <c r="I1066" s="29">
        <v>9.36</v>
      </c>
      <c r="J1066" s="29">
        <v>4.68</v>
      </c>
      <c r="K1066" s="29">
        <v>4.68</v>
      </c>
      <c r="L1066" s="29" t="s">
        <v>383</v>
      </c>
      <c r="M1066" s="29">
        <v>1</v>
      </c>
      <c r="N1066" s="29">
        <v>0.5</v>
      </c>
      <c r="O1066" s="29">
        <v>1</v>
      </c>
      <c r="P1066" s="29">
        <v>4.68</v>
      </c>
      <c r="Q1066" s="29" t="s">
        <v>384</v>
      </c>
    </row>
    <row r="1067" spans="1:17" x14ac:dyDescent="0.3">
      <c r="A1067" s="29" t="s">
        <v>737</v>
      </c>
      <c r="B1067" s="29">
        <v>1</v>
      </c>
      <c r="C1067" s="29" t="s">
        <v>1029</v>
      </c>
      <c r="D1067" s="29" t="s">
        <v>1053</v>
      </c>
      <c r="E1067" s="29">
        <v>500</v>
      </c>
      <c r="G1067" s="29" t="s">
        <v>292</v>
      </c>
      <c r="H1067" s="29">
        <v>1</v>
      </c>
      <c r="I1067" s="29">
        <v>9.36</v>
      </c>
      <c r="J1067" s="29">
        <v>4.68</v>
      </c>
      <c r="K1067" s="29">
        <v>4.68</v>
      </c>
      <c r="L1067" s="29" t="s">
        <v>383</v>
      </c>
      <c r="M1067" s="29">
        <v>1</v>
      </c>
      <c r="N1067" s="29">
        <v>0.5</v>
      </c>
      <c r="O1067" s="29">
        <v>1</v>
      </c>
      <c r="P1067" s="29">
        <v>4.68</v>
      </c>
      <c r="Q1067" s="29" t="s">
        <v>384</v>
      </c>
    </row>
    <row r="1068" spans="1:17" x14ac:dyDescent="0.3">
      <c r="A1068" s="29" t="s">
        <v>737</v>
      </c>
      <c r="B1068" s="29">
        <v>1</v>
      </c>
      <c r="C1068" s="29" t="s">
        <v>1029</v>
      </c>
      <c r="D1068" s="29" t="s">
        <v>1053</v>
      </c>
      <c r="E1068" s="29">
        <v>500</v>
      </c>
      <c r="G1068" s="29" t="s">
        <v>292</v>
      </c>
      <c r="H1068" s="29">
        <v>1</v>
      </c>
      <c r="I1068" s="29">
        <v>9.36</v>
      </c>
      <c r="J1068" s="29">
        <v>4.68</v>
      </c>
      <c r="K1068" s="29">
        <v>4.68</v>
      </c>
      <c r="L1068" s="29" t="s">
        <v>383</v>
      </c>
      <c r="M1068" s="29">
        <v>1</v>
      </c>
      <c r="N1068" s="29">
        <v>0.5</v>
      </c>
      <c r="O1068" s="29">
        <v>1</v>
      </c>
      <c r="P1068" s="29">
        <v>4.68</v>
      </c>
      <c r="Q1068" s="29" t="s">
        <v>384</v>
      </c>
    </row>
    <row r="1069" spans="1:17" x14ac:dyDescent="0.3">
      <c r="A1069" s="29" t="s">
        <v>738</v>
      </c>
      <c r="B1069" s="29">
        <v>1</v>
      </c>
      <c r="C1069" s="29" t="s">
        <v>1029</v>
      </c>
      <c r="D1069" s="29" t="s">
        <v>1053</v>
      </c>
      <c r="E1069" s="29">
        <v>600</v>
      </c>
      <c r="G1069" s="29" t="s">
        <v>292</v>
      </c>
      <c r="H1069" s="29">
        <v>1</v>
      </c>
      <c r="I1069" s="29">
        <v>9.36</v>
      </c>
      <c r="J1069" s="29">
        <v>5.6159999999999997</v>
      </c>
      <c r="K1069" s="29">
        <v>5.6159999999999997</v>
      </c>
      <c r="L1069" s="29" t="s">
        <v>383</v>
      </c>
      <c r="M1069" s="29">
        <v>1</v>
      </c>
      <c r="N1069" s="29">
        <v>0.6</v>
      </c>
      <c r="O1069" s="29">
        <v>1</v>
      </c>
      <c r="P1069" s="29">
        <v>5.6159999999999997</v>
      </c>
      <c r="Q1069" s="29" t="s">
        <v>384</v>
      </c>
    </row>
    <row r="1070" spans="1:17" x14ac:dyDescent="0.3">
      <c r="A1070" s="29" t="s">
        <v>738</v>
      </c>
      <c r="B1070" s="29">
        <v>1</v>
      </c>
      <c r="C1070" s="29" t="s">
        <v>1029</v>
      </c>
      <c r="D1070" s="29" t="s">
        <v>1053</v>
      </c>
      <c r="E1070" s="29">
        <v>600</v>
      </c>
      <c r="G1070" s="29" t="s">
        <v>292</v>
      </c>
      <c r="H1070" s="29">
        <v>1</v>
      </c>
      <c r="I1070" s="29">
        <v>9.36</v>
      </c>
      <c r="J1070" s="29">
        <v>5.6159999999999997</v>
      </c>
      <c r="K1070" s="29">
        <v>5.6159999999999997</v>
      </c>
      <c r="L1070" s="29" t="s">
        <v>383</v>
      </c>
      <c r="M1070" s="29">
        <v>1</v>
      </c>
      <c r="N1070" s="29">
        <v>0.6</v>
      </c>
      <c r="O1070" s="29">
        <v>1</v>
      </c>
      <c r="P1070" s="29">
        <v>5.6159999999999997</v>
      </c>
      <c r="Q1070" s="29" t="s">
        <v>384</v>
      </c>
    </row>
    <row r="1071" spans="1:17" x14ac:dyDescent="0.3">
      <c r="A1071" s="29" t="s">
        <v>739</v>
      </c>
      <c r="B1071" s="29">
        <v>1</v>
      </c>
      <c r="C1071" s="29" t="s">
        <v>1029</v>
      </c>
      <c r="D1071" s="29" t="s">
        <v>1053</v>
      </c>
      <c r="E1071" s="29">
        <v>700</v>
      </c>
      <c r="G1071" s="29" t="s">
        <v>292</v>
      </c>
      <c r="H1071" s="29">
        <v>1</v>
      </c>
      <c r="I1071" s="29">
        <v>9.36</v>
      </c>
      <c r="J1071" s="29">
        <v>6.5519999999999996</v>
      </c>
      <c r="K1071" s="29">
        <v>6.5519999999999996</v>
      </c>
      <c r="L1071" s="29" t="s">
        <v>383</v>
      </c>
      <c r="M1071" s="29">
        <v>1</v>
      </c>
      <c r="N1071" s="29">
        <v>0.7</v>
      </c>
      <c r="O1071" s="29">
        <v>1</v>
      </c>
      <c r="P1071" s="29">
        <v>6.5519999999999996</v>
      </c>
      <c r="Q1071" s="29" t="s">
        <v>384</v>
      </c>
    </row>
    <row r="1072" spans="1:17" x14ac:dyDescent="0.3">
      <c r="A1072" s="29" t="s">
        <v>739</v>
      </c>
      <c r="B1072" s="29">
        <v>1</v>
      </c>
      <c r="C1072" s="29" t="s">
        <v>1029</v>
      </c>
      <c r="D1072" s="29" t="s">
        <v>1053</v>
      </c>
      <c r="E1072" s="29">
        <v>700</v>
      </c>
      <c r="G1072" s="29" t="s">
        <v>292</v>
      </c>
      <c r="H1072" s="29">
        <v>1</v>
      </c>
      <c r="I1072" s="29">
        <v>9.36</v>
      </c>
      <c r="J1072" s="29">
        <v>6.5519999999999996</v>
      </c>
      <c r="K1072" s="29">
        <v>6.5519999999999996</v>
      </c>
      <c r="L1072" s="29" t="s">
        <v>383</v>
      </c>
      <c r="M1072" s="29">
        <v>1</v>
      </c>
      <c r="N1072" s="29">
        <v>0.7</v>
      </c>
      <c r="O1072" s="29">
        <v>1</v>
      </c>
      <c r="P1072" s="29">
        <v>6.5519999999999996</v>
      </c>
      <c r="Q1072" s="29" t="s">
        <v>384</v>
      </c>
    </row>
    <row r="1073" spans="1:17" x14ac:dyDescent="0.3">
      <c r="A1073" s="29" t="s">
        <v>740</v>
      </c>
      <c r="B1073" s="29">
        <v>1</v>
      </c>
      <c r="C1073" s="29" t="s">
        <v>1029</v>
      </c>
      <c r="D1073" s="29" t="s">
        <v>1053</v>
      </c>
      <c r="E1073" s="29">
        <v>800</v>
      </c>
      <c r="G1073" s="29" t="s">
        <v>292</v>
      </c>
      <c r="H1073" s="29">
        <v>1</v>
      </c>
      <c r="I1073" s="29">
        <v>9.36</v>
      </c>
      <c r="J1073" s="29">
        <v>7.4879999999999995</v>
      </c>
      <c r="K1073" s="29">
        <v>7.4879999999999995</v>
      </c>
      <c r="L1073" s="29" t="s">
        <v>383</v>
      </c>
      <c r="M1073" s="29">
        <v>1</v>
      </c>
      <c r="N1073" s="29">
        <v>0.8</v>
      </c>
      <c r="O1073" s="29">
        <v>1</v>
      </c>
      <c r="P1073" s="29">
        <v>7.4879999999999995</v>
      </c>
      <c r="Q1073" s="29" t="s">
        <v>384</v>
      </c>
    </row>
    <row r="1074" spans="1:17" x14ac:dyDescent="0.3">
      <c r="A1074" s="29" t="s">
        <v>741</v>
      </c>
      <c r="B1074" s="29">
        <v>1</v>
      </c>
      <c r="C1074" s="29" t="s">
        <v>1029</v>
      </c>
      <c r="D1074" s="29" t="s">
        <v>1053</v>
      </c>
      <c r="E1074" s="29">
        <v>900</v>
      </c>
      <c r="G1074" s="29" t="s">
        <v>292</v>
      </c>
      <c r="H1074" s="29">
        <v>1</v>
      </c>
      <c r="I1074" s="29">
        <v>9.36</v>
      </c>
      <c r="J1074" s="29">
        <v>8.4239999999999995</v>
      </c>
      <c r="K1074" s="29">
        <v>8.4239999999999995</v>
      </c>
      <c r="L1074" s="29" t="s">
        <v>383</v>
      </c>
      <c r="M1074" s="29">
        <v>1</v>
      </c>
      <c r="N1074" s="29">
        <v>0.9</v>
      </c>
      <c r="O1074" s="29">
        <v>1</v>
      </c>
      <c r="P1074" s="29">
        <v>8.4239999999999995</v>
      </c>
      <c r="Q1074" s="29" t="s">
        <v>384</v>
      </c>
    </row>
    <row r="1075" spans="1:17" x14ac:dyDescent="0.3">
      <c r="A1075" s="29" t="s">
        <v>741</v>
      </c>
      <c r="B1075" s="29">
        <v>1</v>
      </c>
      <c r="C1075" s="29" t="s">
        <v>1029</v>
      </c>
      <c r="D1075" s="29" t="s">
        <v>1053</v>
      </c>
      <c r="E1075" s="29">
        <v>900</v>
      </c>
      <c r="G1075" s="29" t="s">
        <v>292</v>
      </c>
      <c r="H1075" s="29">
        <v>1</v>
      </c>
      <c r="I1075" s="29">
        <v>9.36</v>
      </c>
      <c r="J1075" s="29">
        <v>8.4239999999999995</v>
      </c>
      <c r="K1075" s="29">
        <v>8.4239999999999995</v>
      </c>
      <c r="L1075" s="29" t="s">
        <v>383</v>
      </c>
      <c r="M1075" s="29">
        <v>1</v>
      </c>
      <c r="N1075" s="29">
        <v>0.9</v>
      </c>
      <c r="O1075" s="29">
        <v>1</v>
      </c>
      <c r="P1075" s="29">
        <v>8.4239999999999995</v>
      </c>
      <c r="Q1075" s="29" t="s">
        <v>384</v>
      </c>
    </row>
    <row r="1076" spans="1:17" x14ac:dyDescent="0.3">
      <c r="A1076" s="29" t="s">
        <v>741</v>
      </c>
      <c r="B1076" s="29">
        <v>1</v>
      </c>
      <c r="C1076" s="29" t="s">
        <v>1029</v>
      </c>
      <c r="D1076" s="29" t="s">
        <v>1053</v>
      </c>
      <c r="E1076" s="29">
        <v>900</v>
      </c>
      <c r="G1076" s="29" t="s">
        <v>292</v>
      </c>
      <c r="H1076" s="29">
        <v>1</v>
      </c>
      <c r="I1076" s="29">
        <v>9.36</v>
      </c>
      <c r="J1076" s="29">
        <v>8.4239999999999995</v>
      </c>
      <c r="K1076" s="29">
        <v>8.4239999999999995</v>
      </c>
      <c r="L1076" s="29" t="s">
        <v>383</v>
      </c>
      <c r="M1076" s="29">
        <v>1</v>
      </c>
      <c r="N1076" s="29">
        <v>0.9</v>
      </c>
      <c r="O1076" s="29">
        <v>1</v>
      </c>
      <c r="P1076" s="29">
        <v>8.4239999999999995</v>
      </c>
      <c r="Q1076" s="29" t="s">
        <v>384</v>
      </c>
    </row>
    <row r="1077" spans="1:17" x14ac:dyDescent="0.3">
      <c r="A1077" s="29" t="s">
        <v>741</v>
      </c>
      <c r="B1077" s="29">
        <v>1</v>
      </c>
      <c r="C1077" s="29" t="s">
        <v>1029</v>
      </c>
      <c r="D1077" s="29" t="s">
        <v>1053</v>
      </c>
      <c r="E1077" s="29">
        <v>900</v>
      </c>
      <c r="G1077" s="29" t="s">
        <v>292</v>
      </c>
      <c r="H1077" s="29">
        <v>1</v>
      </c>
      <c r="I1077" s="29">
        <v>9.36</v>
      </c>
      <c r="J1077" s="29">
        <v>8.4239999999999995</v>
      </c>
      <c r="K1077" s="29">
        <v>8.4239999999999995</v>
      </c>
      <c r="L1077" s="29" t="s">
        <v>383</v>
      </c>
      <c r="M1077" s="29">
        <v>1</v>
      </c>
      <c r="N1077" s="29">
        <v>0.9</v>
      </c>
      <c r="O1077" s="29">
        <v>1</v>
      </c>
      <c r="P1077" s="29">
        <v>8.4239999999999995</v>
      </c>
      <c r="Q1077" s="29" t="s">
        <v>384</v>
      </c>
    </row>
    <row r="1078" spans="1:17" x14ac:dyDescent="0.3">
      <c r="A1078" s="29" t="s">
        <v>742</v>
      </c>
      <c r="B1078" s="29">
        <v>1</v>
      </c>
      <c r="C1078" s="29" t="s">
        <v>1029</v>
      </c>
      <c r="D1078" s="29" t="s">
        <v>1053</v>
      </c>
      <c r="E1078" s="29">
        <v>1000</v>
      </c>
      <c r="G1078" s="29" t="s">
        <v>292</v>
      </c>
      <c r="H1078" s="29">
        <v>1</v>
      </c>
      <c r="I1078" s="29">
        <v>9.36</v>
      </c>
      <c r="J1078" s="29">
        <v>9.36</v>
      </c>
      <c r="K1078" s="29">
        <v>9.36</v>
      </c>
      <c r="L1078" s="29" t="s">
        <v>383</v>
      </c>
      <c r="M1078" s="29">
        <v>1</v>
      </c>
      <c r="N1078" s="29">
        <v>1</v>
      </c>
      <c r="O1078" s="29">
        <v>1</v>
      </c>
      <c r="P1078" s="29">
        <v>9.36</v>
      </c>
      <c r="Q1078" s="29" t="s">
        <v>384</v>
      </c>
    </row>
    <row r="1079" spans="1:17" x14ac:dyDescent="0.3">
      <c r="A1079" s="29" t="s">
        <v>743</v>
      </c>
      <c r="B1079" s="29">
        <v>1</v>
      </c>
      <c r="C1079" s="29" t="s">
        <v>1029</v>
      </c>
      <c r="D1079" s="29" t="s">
        <v>1053</v>
      </c>
      <c r="E1079" s="29">
        <v>1100</v>
      </c>
      <c r="G1079" s="29" t="s">
        <v>292</v>
      </c>
      <c r="H1079" s="29">
        <v>1</v>
      </c>
      <c r="I1079" s="29">
        <v>9.36</v>
      </c>
      <c r="J1079" s="29">
        <v>10.295999999999999</v>
      </c>
      <c r="K1079" s="29">
        <v>10.295999999999999</v>
      </c>
      <c r="L1079" s="29" t="s">
        <v>383</v>
      </c>
      <c r="M1079" s="29">
        <v>1</v>
      </c>
      <c r="N1079" s="29">
        <v>1.1000000000000001</v>
      </c>
      <c r="O1079" s="29">
        <v>1</v>
      </c>
      <c r="P1079" s="29">
        <v>10.295999999999999</v>
      </c>
      <c r="Q1079" s="29" t="s">
        <v>384</v>
      </c>
    </row>
    <row r="1080" spans="1:17" x14ac:dyDescent="0.3">
      <c r="A1080" s="29" t="s">
        <v>743</v>
      </c>
      <c r="B1080" s="29">
        <v>1</v>
      </c>
      <c r="C1080" s="29" t="s">
        <v>1029</v>
      </c>
      <c r="D1080" s="29" t="s">
        <v>1053</v>
      </c>
      <c r="E1080" s="29">
        <v>1100</v>
      </c>
      <c r="G1080" s="29" t="s">
        <v>292</v>
      </c>
      <c r="H1080" s="29">
        <v>1</v>
      </c>
      <c r="I1080" s="29">
        <v>9.36</v>
      </c>
      <c r="J1080" s="29">
        <v>10.295999999999999</v>
      </c>
      <c r="K1080" s="29">
        <v>10.295999999999999</v>
      </c>
      <c r="L1080" s="29" t="s">
        <v>383</v>
      </c>
      <c r="M1080" s="29">
        <v>1</v>
      </c>
      <c r="N1080" s="29">
        <v>1.1000000000000001</v>
      </c>
      <c r="O1080" s="29">
        <v>1</v>
      </c>
      <c r="P1080" s="29">
        <v>10.295999999999999</v>
      </c>
      <c r="Q1080" s="29" t="s">
        <v>384</v>
      </c>
    </row>
    <row r="1081" spans="1:17" x14ac:dyDescent="0.3">
      <c r="A1081" s="29" t="s">
        <v>743</v>
      </c>
      <c r="B1081" s="29">
        <v>1</v>
      </c>
      <c r="C1081" s="29" t="s">
        <v>1029</v>
      </c>
      <c r="D1081" s="29" t="s">
        <v>1053</v>
      </c>
      <c r="E1081" s="29">
        <v>1100</v>
      </c>
      <c r="G1081" s="29" t="s">
        <v>292</v>
      </c>
      <c r="H1081" s="29">
        <v>1</v>
      </c>
      <c r="I1081" s="29">
        <v>9.36</v>
      </c>
      <c r="J1081" s="29">
        <v>10.295999999999999</v>
      </c>
      <c r="K1081" s="29">
        <v>10.295999999999999</v>
      </c>
      <c r="L1081" s="29" t="s">
        <v>383</v>
      </c>
      <c r="M1081" s="29">
        <v>1</v>
      </c>
      <c r="N1081" s="29">
        <v>1.1000000000000001</v>
      </c>
      <c r="O1081" s="29">
        <v>1</v>
      </c>
      <c r="P1081" s="29">
        <v>10.295999999999999</v>
      </c>
      <c r="Q1081" s="29" t="s">
        <v>384</v>
      </c>
    </row>
    <row r="1082" spans="1:17" x14ac:dyDescent="0.3">
      <c r="A1082" s="29" t="s">
        <v>744</v>
      </c>
      <c r="B1082" s="29">
        <v>1</v>
      </c>
      <c r="C1082" s="29" t="s">
        <v>1029</v>
      </c>
      <c r="D1082" s="29" t="s">
        <v>1053</v>
      </c>
      <c r="E1082" s="29">
        <v>1200</v>
      </c>
      <c r="G1082" s="29" t="s">
        <v>292</v>
      </c>
      <c r="H1082" s="29">
        <v>1</v>
      </c>
      <c r="I1082" s="29">
        <v>9.36</v>
      </c>
      <c r="J1082" s="29">
        <v>11.231999999999999</v>
      </c>
      <c r="K1082" s="29">
        <v>11.231999999999999</v>
      </c>
      <c r="L1082" s="29" t="s">
        <v>383</v>
      </c>
      <c r="M1082" s="29">
        <v>1</v>
      </c>
      <c r="N1082" s="29">
        <v>1.2</v>
      </c>
      <c r="O1082" s="29">
        <v>1</v>
      </c>
      <c r="P1082" s="29">
        <v>11.231999999999999</v>
      </c>
      <c r="Q1082" s="29" t="s">
        <v>384</v>
      </c>
    </row>
    <row r="1083" spans="1:17" x14ac:dyDescent="0.3">
      <c r="A1083" s="29" t="s">
        <v>744</v>
      </c>
      <c r="B1083" s="29">
        <v>1</v>
      </c>
      <c r="C1083" s="29" t="s">
        <v>1029</v>
      </c>
      <c r="D1083" s="29" t="s">
        <v>1053</v>
      </c>
      <c r="E1083" s="29">
        <v>1200</v>
      </c>
      <c r="G1083" s="29" t="s">
        <v>292</v>
      </c>
      <c r="H1083" s="29">
        <v>1</v>
      </c>
      <c r="I1083" s="29">
        <v>9.36</v>
      </c>
      <c r="J1083" s="29">
        <v>11.231999999999999</v>
      </c>
      <c r="K1083" s="29">
        <v>11.231999999999999</v>
      </c>
      <c r="L1083" s="29" t="s">
        <v>383</v>
      </c>
      <c r="M1083" s="29">
        <v>1</v>
      </c>
      <c r="N1083" s="29">
        <v>1.2</v>
      </c>
      <c r="O1083" s="29">
        <v>1</v>
      </c>
      <c r="P1083" s="29">
        <v>11.231999999999999</v>
      </c>
      <c r="Q1083" s="29" t="s">
        <v>384</v>
      </c>
    </row>
    <row r="1084" spans="1:17" x14ac:dyDescent="0.3">
      <c r="A1084" s="29" t="s">
        <v>745</v>
      </c>
      <c r="B1084" s="29">
        <v>1</v>
      </c>
      <c r="C1084" s="29" t="s">
        <v>1029</v>
      </c>
      <c r="D1084" s="29" t="s">
        <v>1053</v>
      </c>
      <c r="E1084" s="29">
        <v>1300</v>
      </c>
      <c r="G1084" s="29" t="s">
        <v>292</v>
      </c>
      <c r="H1084" s="29">
        <v>1</v>
      </c>
      <c r="I1084" s="29">
        <v>9.36</v>
      </c>
      <c r="J1084" s="29">
        <v>12.167999999999999</v>
      </c>
      <c r="K1084" s="29">
        <v>12.167999999999999</v>
      </c>
      <c r="L1084" s="29" t="s">
        <v>383</v>
      </c>
      <c r="M1084" s="29">
        <v>1</v>
      </c>
      <c r="N1084" s="29">
        <v>1.3</v>
      </c>
      <c r="O1084" s="29">
        <v>1</v>
      </c>
      <c r="P1084" s="29">
        <v>12.167999999999999</v>
      </c>
      <c r="Q1084" s="29" t="s">
        <v>384</v>
      </c>
    </row>
    <row r="1085" spans="1:17" x14ac:dyDescent="0.3">
      <c r="A1085" s="29" t="s">
        <v>746</v>
      </c>
      <c r="B1085" s="29">
        <v>1</v>
      </c>
      <c r="C1085" s="29" t="s">
        <v>1029</v>
      </c>
      <c r="D1085" s="29" t="s">
        <v>1030</v>
      </c>
      <c r="E1085" s="29">
        <v>200</v>
      </c>
      <c r="G1085" s="29" t="s">
        <v>292</v>
      </c>
      <c r="H1085" s="29">
        <v>1</v>
      </c>
      <c r="I1085" s="29">
        <v>13.4</v>
      </c>
      <c r="J1085" s="29">
        <v>2.68</v>
      </c>
      <c r="K1085" s="29">
        <v>2.68</v>
      </c>
      <c r="L1085" s="29" t="s">
        <v>383</v>
      </c>
      <c r="M1085" s="29">
        <v>1</v>
      </c>
      <c r="N1085" s="29">
        <v>0.2</v>
      </c>
      <c r="O1085" s="29">
        <v>1</v>
      </c>
      <c r="P1085" s="29">
        <v>2.68</v>
      </c>
      <c r="Q1085" s="29" t="s">
        <v>384</v>
      </c>
    </row>
    <row r="1086" spans="1:17" x14ac:dyDescent="0.3">
      <c r="A1086" s="29" t="s">
        <v>747</v>
      </c>
      <c r="B1086" s="29">
        <v>1</v>
      </c>
      <c r="C1086" s="29" t="s">
        <v>1029</v>
      </c>
      <c r="D1086" s="29" t="s">
        <v>1030</v>
      </c>
      <c r="E1086" s="29">
        <v>500</v>
      </c>
      <c r="G1086" s="29" t="s">
        <v>292</v>
      </c>
      <c r="H1086" s="29">
        <v>1</v>
      </c>
      <c r="I1086" s="29">
        <v>13.4</v>
      </c>
      <c r="J1086" s="29">
        <v>6.7</v>
      </c>
      <c r="K1086" s="29">
        <v>6.7</v>
      </c>
      <c r="L1086" s="29" t="s">
        <v>383</v>
      </c>
      <c r="M1086" s="29">
        <v>1</v>
      </c>
      <c r="N1086" s="29">
        <v>0.5</v>
      </c>
      <c r="O1086" s="29">
        <v>1</v>
      </c>
      <c r="P1086" s="29">
        <v>6.7</v>
      </c>
      <c r="Q1086" s="29" t="s">
        <v>384</v>
      </c>
    </row>
    <row r="1087" spans="1:17" x14ac:dyDescent="0.3">
      <c r="A1087" s="29" t="s">
        <v>747</v>
      </c>
      <c r="B1087" s="29">
        <v>1</v>
      </c>
      <c r="C1087" s="29" t="s">
        <v>1029</v>
      </c>
      <c r="D1087" s="29" t="s">
        <v>1030</v>
      </c>
      <c r="E1087" s="29">
        <v>500</v>
      </c>
      <c r="G1087" s="29" t="s">
        <v>292</v>
      </c>
      <c r="H1087" s="29">
        <v>1</v>
      </c>
      <c r="I1087" s="29">
        <v>13.4</v>
      </c>
      <c r="J1087" s="29">
        <v>6.7</v>
      </c>
      <c r="K1087" s="29">
        <v>6.7</v>
      </c>
      <c r="L1087" s="29" t="s">
        <v>383</v>
      </c>
      <c r="M1087" s="29">
        <v>1</v>
      </c>
      <c r="N1087" s="29">
        <v>0.5</v>
      </c>
      <c r="O1087" s="29">
        <v>1</v>
      </c>
      <c r="P1087" s="29">
        <v>6.7</v>
      </c>
      <c r="Q1087" s="29" t="s">
        <v>384</v>
      </c>
    </row>
    <row r="1088" spans="1:17" x14ac:dyDescent="0.3">
      <c r="A1088" s="29" t="s">
        <v>747</v>
      </c>
      <c r="B1088" s="29">
        <v>1</v>
      </c>
      <c r="C1088" s="29" t="s">
        <v>1029</v>
      </c>
      <c r="D1088" s="29" t="s">
        <v>1030</v>
      </c>
      <c r="E1088" s="29">
        <v>500</v>
      </c>
      <c r="G1088" s="29" t="s">
        <v>292</v>
      </c>
      <c r="H1088" s="29">
        <v>1</v>
      </c>
      <c r="I1088" s="29">
        <v>13.4</v>
      </c>
      <c r="J1088" s="29">
        <v>6.7</v>
      </c>
      <c r="K1088" s="29">
        <v>6.7</v>
      </c>
      <c r="L1088" s="29" t="s">
        <v>383</v>
      </c>
      <c r="M1088" s="29">
        <v>1</v>
      </c>
      <c r="N1088" s="29">
        <v>0.5</v>
      </c>
      <c r="O1088" s="29">
        <v>1</v>
      </c>
      <c r="P1088" s="29">
        <v>6.7</v>
      </c>
      <c r="Q1088" s="29" t="s">
        <v>384</v>
      </c>
    </row>
    <row r="1089" spans="1:17" x14ac:dyDescent="0.3">
      <c r="A1089" s="29" t="s">
        <v>748</v>
      </c>
      <c r="B1089" s="29">
        <v>1</v>
      </c>
      <c r="C1089" s="29" t="s">
        <v>1029</v>
      </c>
      <c r="D1089" s="29" t="s">
        <v>1030</v>
      </c>
      <c r="E1089" s="29">
        <v>600</v>
      </c>
      <c r="G1089" s="29" t="s">
        <v>292</v>
      </c>
      <c r="H1089" s="29">
        <v>1</v>
      </c>
      <c r="I1089" s="29">
        <v>13.4</v>
      </c>
      <c r="J1089" s="29">
        <v>8.0399999999999991</v>
      </c>
      <c r="K1089" s="29">
        <v>8.0399999999999991</v>
      </c>
      <c r="L1089" s="29" t="s">
        <v>383</v>
      </c>
      <c r="M1089" s="29">
        <v>1</v>
      </c>
      <c r="N1089" s="29">
        <v>0.6</v>
      </c>
      <c r="O1089" s="29">
        <v>1</v>
      </c>
      <c r="P1089" s="29">
        <v>8.0399999999999991</v>
      </c>
      <c r="Q1089" s="29" t="s">
        <v>384</v>
      </c>
    </row>
    <row r="1090" spans="1:17" x14ac:dyDescent="0.3">
      <c r="A1090" s="29" t="s">
        <v>748</v>
      </c>
      <c r="B1090" s="29">
        <v>1</v>
      </c>
      <c r="C1090" s="29" t="s">
        <v>1029</v>
      </c>
      <c r="D1090" s="29" t="s">
        <v>1030</v>
      </c>
      <c r="E1090" s="29">
        <v>600</v>
      </c>
      <c r="G1090" s="29" t="s">
        <v>292</v>
      </c>
      <c r="H1090" s="29">
        <v>1</v>
      </c>
      <c r="I1090" s="29">
        <v>13.4</v>
      </c>
      <c r="J1090" s="29">
        <v>8.0399999999999991</v>
      </c>
      <c r="K1090" s="29">
        <v>8.0399999999999991</v>
      </c>
      <c r="L1090" s="29" t="s">
        <v>383</v>
      </c>
      <c r="M1090" s="29">
        <v>1</v>
      </c>
      <c r="N1090" s="29">
        <v>0.6</v>
      </c>
      <c r="O1090" s="29">
        <v>1</v>
      </c>
      <c r="P1090" s="29">
        <v>8.0399999999999991</v>
      </c>
      <c r="Q1090" s="29" t="s">
        <v>384</v>
      </c>
    </row>
    <row r="1091" spans="1:17" x14ac:dyDescent="0.3">
      <c r="A1091" s="29" t="s">
        <v>748</v>
      </c>
      <c r="B1091" s="29">
        <v>1</v>
      </c>
      <c r="C1091" s="29" t="s">
        <v>1029</v>
      </c>
      <c r="D1091" s="29" t="s">
        <v>1030</v>
      </c>
      <c r="E1091" s="29">
        <v>600</v>
      </c>
      <c r="G1091" s="29" t="s">
        <v>292</v>
      </c>
      <c r="H1091" s="29">
        <v>1</v>
      </c>
      <c r="I1091" s="29">
        <v>13.4</v>
      </c>
      <c r="J1091" s="29">
        <v>8.0399999999999991</v>
      </c>
      <c r="K1091" s="29">
        <v>8.0399999999999991</v>
      </c>
      <c r="L1091" s="29" t="s">
        <v>383</v>
      </c>
      <c r="M1091" s="29">
        <v>1</v>
      </c>
      <c r="N1091" s="29">
        <v>0.6</v>
      </c>
      <c r="O1091" s="29">
        <v>1</v>
      </c>
      <c r="P1091" s="29">
        <v>8.0399999999999991</v>
      </c>
      <c r="Q1091" s="29" t="s">
        <v>384</v>
      </c>
    </row>
    <row r="1092" spans="1:17" x14ac:dyDescent="0.3">
      <c r="A1092" s="29" t="s">
        <v>749</v>
      </c>
      <c r="B1092" s="29">
        <v>1</v>
      </c>
      <c r="C1092" s="29" t="s">
        <v>1029</v>
      </c>
      <c r="D1092" s="29" t="s">
        <v>1030</v>
      </c>
      <c r="E1092" s="29">
        <v>700</v>
      </c>
      <c r="G1092" s="29" t="s">
        <v>292</v>
      </c>
      <c r="H1092" s="29">
        <v>1</v>
      </c>
      <c r="I1092" s="29">
        <v>13.4</v>
      </c>
      <c r="J1092" s="29">
        <v>9.379999999999999</v>
      </c>
      <c r="K1092" s="29">
        <v>9.379999999999999</v>
      </c>
      <c r="L1092" s="29" t="s">
        <v>383</v>
      </c>
      <c r="M1092" s="29">
        <v>1</v>
      </c>
      <c r="N1092" s="29">
        <v>0.7</v>
      </c>
      <c r="O1092" s="29">
        <v>1</v>
      </c>
      <c r="P1092" s="29">
        <v>9.379999999999999</v>
      </c>
      <c r="Q1092" s="29" t="s">
        <v>384</v>
      </c>
    </row>
    <row r="1093" spans="1:17" x14ac:dyDescent="0.3">
      <c r="A1093" s="29" t="s">
        <v>750</v>
      </c>
      <c r="B1093" s="29">
        <v>1</v>
      </c>
      <c r="C1093" s="29" t="s">
        <v>1029</v>
      </c>
      <c r="D1093" s="29" t="s">
        <v>1030</v>
      </c>
      <c r="E1093" s="29">
        <v>800</v>
      </c>
      <c r="G1093" s="29" t="s">
        <v>292</v>
      </c>
      <c r="H1093" s="29">
        <v>1</v>
      </c>
      <c r="I1093" s="29">
        <v>13.4</v>
      </c>
      <c r="J1093" s="29">
        <v>10.72</v>
      </c>
      <c r="K1093" s="29">
        <v>10.72</v>
      </c>
      <c r="L1093" s="29" t="s">
        <v>383</v>
      </c>
      <c r="M1093" s="29">
        <v>1</v>
      </c>
      <c r="N1093" s="29">
        <v>0.8</v>
      </c>
      <c r="O1093" s="29">
        <v>1</v>
      </c>
      <c r="P1093" s="29">
        <v>10.72</v>
      </c>
      <c r="Q1093" s="29" t="s">
        <v>384</v>
      </c>
    </row>
    <row r="1094" spans="1:17" x14ac:dyDescent="0.3">
      <c r="A1094" s="29" t="s">
        <v>751</v>
      </c>
      <c r="B1094" s="29">
        <v>1</v>
      </c>
      <c r="C1094" s="29" t="s">
        <v>1029</v>
      </c>
      <c r="D1094" s="29" t="s">
        <v>1030</v>
      </c>
      <c r="E1094" s="29">
        <v>900</v>
      </c>
      <c r="G1094" s="29" t="s">
        <v>292</v>
      </c>
      <c r="H1094" s="29">
        <v>1</v>
      </c>
      <c r="I1094" s="29">
        <v>13.4</v>
      </c>
      <c r="J1094" s="29">
        <v>12.06</v>
      </c>
      <c r="K1094" s="29">
        <v>12.06</v>
      </c>
      <c r="L1094" s="29" t="s">
        <v>383</v>
      </c>
      <c r="M1094" s="29">
        <v>1</v>
      </c>
      <c r="N1094" s="29">
        <v>0.9</v>
      </c>
      <c r="O1094" s="29">
        <v>1</v>
      </c>
      <c r="P1094" s="29">
        <v>12.06</v>
      </c>
      <c r="Q1094" s="29" t="s">
        <v>384</v>
      </c>
    </row>
    <row r="1095" spans="1:17" x14ac:dyDescent="0.3">
      <c r="A1095" s="29" t="s">
        <v>751</v>
      </c>
      <c r="B1095" s="29">
        <v>1</v>
      </c>
      <c r="C1095" s="29" t="s">
        <v>1029</v>
      </c>
      <c r="D1095" s="29" t="s">
        <v>1030</v>
      </c>
      <c r="E1095" s="29">
        <v>900</v>
      </c>
      <c r="G1095" s="29" t="s">
        <v>292</v>
      </c>
      <c r="H1095" s="29">
        <v>1</v>
      </c>
      <c r="I1095" s="29">
        <v>13.4</v>
      </c>
      <c r="J1095" s="29">
        <v>12.06</v>
      </c>
      <c r="K1095" s="29">
        <v>12.06</v>
      </c>
      <c r="L1095" s="29" t="s">
        <v>383</v>
      </c>
      <c r="M1095" s="29">
        <v>1</v>
      </c>
      <c r="N1095" s="29">
        <v>0.9</v>
      </c>
      <c r="O1095" s="29">
        <v>1</v>
      </c>
      <c r="P1095" s="29">
        <v>12.06</v>
      </c>
      <c r="Q1095" s="29" t="s">
        <v>384</v>
      </c>
    </row>
    <row r="1096" spans="1:17" x14ac:dyDescent="0.3">
      <c r="A1096" s="29" t="s">
        <v>752</v>
      </c>
      <c r="B1096" s="29">
        <v>1</v>
      </c>
      <c r="C1096" s="29" t="s">
        <v>1029</v>
      </c>
      <c r="D1096" s="29" t="s">
        <v>1052</v>
      </c>
      <c r="E1096" s="29">
        <v>300</v>
      </c>
      <c r="G1096" s="29" t="s">
        <v>292</v>
      </c>
      <c r="H1096" s="29">
        <v>1</v>
      </c>
      <c r="I1096" s="29">
        <v>24</v>
      </c>
      <c r="J1096" s="29">
        <v>7.1999999999999993</v>
      </c>
      <c r="K1096" s="29">
        <v>7.1999999999999993</v>
      </c>
      <c r="L1096" s="29" t="s">
        <v>383</v>
      </c>
      <c r="M1096" s="29">
        <v>1</v>
      </c>
      <c r="N1096" s="29">
        <v>0.3</v>
      </c>
      <c r="O1096" s="29">
        <v>1</v>
      </c>
      <c r="P1096" s="29">
        <v>7.1999999999999993</v>
      </c>
      <c r="Q1096" s="29" t="s">
        <v>384</v>
      </c>
    </row>
    <row r="1097" spans="1:17" x14ac:dyDescent="0.3">
      <c r="A1097" s="29" t="s">
        <v>753</v>
      </c>
      <c r="B1097" s="29">
        <v>1</v>
      </c>
      <c r="C1097" s="29" t="s">
        <v>1029</v>
      </c>
      <c r="D1097" s="29" t="s">
        <v>1052</v>
      </c>
      <c r="E1097" s="29">
        <v>400</v>
      </c>
      <c r="G1097" s="29" t="s">
        <v>292</v>
      </c>
      <c r="H1097" s="29">
        <v>1</v>
      </c>
      <c r="I1097" s="29">
        <v>24</v>
      </c>
      <c r="J1097" s="29">
        <v>9.6000000000000014</v>
      </c>
      <c r="K1097" s="29">
        <v>9.6000000000000014</v>
      </c>
      <c r="L1097" s="29" t="s">
        <v>383</v>
      </c>
      <c r="M1097" s="29">
        <v>1</v>
      </c>
      <c r="N1097" s="29">
        <v>0.4</v>
      </c>
      <c r="O1097" s="29">
        <v>1</v>
      </c>
      <c r="P1097" s="29">
        <v>9.6000000000000014</v>
      </c>
      <c r="Q1097" s="29" t="s">
        <v>384</v>
      </c>
    </row>
    <row r="1098" spans="1:17" x14ac:dyDescent="0.3">
      <c r="A1098" s="29" t="s">
        <v>753</v>
      </c>
      <c r="B1098" s="29">
        <v>1</v>
      </c>
      <c r="C1098" s="29" t="s">
        <v>1029</v>
      </c>
      <c r="D1098" s="29" t="s">
        <v>1052</v>
      </c>
      <c r="E1098" s="29">
        <v>400</v>
      </c>
      <c r="G1098" s="29" t="s">
        <v>292</v>
      </c>
      <c r="H1098" s="29">
        <v>1</v>
      </c>
      <c r="I1098" s="29">
        <v>24</v>
      </c>
      <c r="J1098" s="29">
        <v>9.6000000000000014</v>
      </c>
      <c r="K1098" s="29">
        <v>9.6000000000000014</v>
      </c>
      <c r="L1098" s="29" t="s">
        <v>383</v>
      </c>
      <c r="M1098" s="29">
        <v>1</v>
      </c>
      <c r="N1098" s="29">
        <v>0.4</v>
      </c>
      <c r="O1098" s="29">
        <v>1</v>
      </c>
      <c r="P1098" s="29">
        <v>9.6000000000000014</v>
      </c>
      <c r="Q1098" s="29" t="s">
        <v>384</v>
      </c>
    </row>
    <row r="1099" spans="1:17" x14ac:dyDescent="0.3">
      <c r="A1099" s="29" t="s">
        <v>754</v>
      </c>
      <c r="B1099" s="29">
        <v>1</v>
      </c>
      <c r="C1099" s="29" t="s">
        <v>1029</v>
      </c>
      <c r="D1099" s="29" t="s">
        <v>1052</v>
      </c>
      <c r="E1099" s="29">
        <v>500</v>
      </c>
      <c r="G1099" s="29" t="s">
        <v>292</v>
      </c>
      <c r="H1099" s="29">
        <v>1</v>
      </c>
      <c r="I1099" s="29">
        <v>24</v>
      </c>
      <c r="J1099" s="29">
        <v>12</v>
      </c>
      <c r="K1099" s="29">
        <v>12</v>
      </c>
      <c r="L1099" s="29" t="s">
        <v>383</v>
      </c>
      <c r="M1099" s="29">
        <v>1</v>
      </c>
      <c r="N1099" s="29">
        <v>0.5</v>
      </c>
      <c r="O1099" s="29">
        <v>1</v>
      </c>
      <c r="P1099" s="29">
        <v>12</v>
      </c>
      <c r="Q1099" s="29" t="s">
        <v>384</v>
      </c>
    </row>
    <row r="1100" spans="1:17" x14ac:dyDescent="0.3">
      <c r="A1100" s="29" t="s">
        <v>755</v>
      </c>
      <c r="B1100" s="29">
        <v>1</v>
      </c>
      <c r="C1100" s="29" t="s">
        <v>1029</v>
      </c>
      <c r="D1100" s="29" t="s">
        <v>1052</v>
      </c>
      <c r="E1100" s="29">
        <v>600</v>
      </c>
      <c r="G1100" s="29" t="s">
        <v>292</v>
      </c>
      <c r="H1100" s="29">
        <v>1</v>
      </c>
      <c r="I1100" s="29">
        <v>24</v>
      </c>
      <c r="J1100" s="29">
        <v>14.399999999999999</v>
      </c>
      <c r="K1100" s="29">
        <v>14.399999999999999</v>
      </c>
      <c r="L1100" s="29" t="s">
        <v>383</v>
      </c>
      <c r="M1100" s="29">
        <v>1</v>
      </c>
      <c r="N1100" s="29">
        <v>0.6</v>
      </c>
      <c r="O1100" s="29">
        <v>1</v>
      </c>
      <c r="P1100" s="29">
        <v>14.399999999999999</v>
      </c>
      <c r="Q1100" s="29" t="s">
        <v>384</v>
      </c>
    </row>
    <row r="1101" spans="1:17" x14ac:dyDescent="0.3">
      <c r="A1101" s="29" t="s">
        <v>755</v>
      </c>
      <c r="B1101" s="29">
        <v>1</v>
      </c>
      <c r="C1101" s="29" t="s">
        <v>1029</v>
      </c>
      <c r="D1101" s="29" t="s">
        <v>1052</v>
      </c>
      <c r="E1101" s="29">
        <v>600</v>
      </c>
      <c r="G1101" s="29" t="s">
        <v>292</v>
      </c>
      <c r="H1101" s="29">
        <v>1</v>
      </c>
      <c r="I1101" s="29">
        <v>24</v>
      </c>
      <c r="J1101" s="29">
        <v>14.399999999999999</v>
      </c>
      <c r="K1101" s="29">
        <v>14.399999999999999</v>
      </c>
      <c r="L1101" s="29" t="s">
        <v>383</v>
      </c>
      <c r="M1101" s="29">
        <v>1</v>
      </c>
      <c r="N1101" s="29">
        <v>0.6</v>
      </c>
      <c r="O1101" s="29">
        <v>1</v>
      </c>
      <c r="P1101" s="29">
        <v>14.399999999999999</v>
      </c>
      <c r="Q1101" s="29" t="s">
        <v>384</v>
      </c>
    </row>
    <row r="1102" spans="1:17" x14ac:dyDescent="0.3">
      <c r="A1102" s="29" t="s">
        <v>756</v>
      </c>
      <c r="B1102" s="29">
        <v>1</v>
      </c>
      <c r="C1102" s="29" t="s">
        <v>1029</v>
      </c>
      <c r="D1102" s="29" t="s">
        <v>1052</v>
      </c>
      <c r="E1102" s="29">
        <v>700</v>
      </c>
      <c r="G1102" s="29" t="s">
        <v>292</v>
      </c>
      <c r="H1102" s="29">
        <v>1</v>
      </c>
      <c r="I1102" s="29">
        <v>24</v>
      </c>
      <c r="J1102" s="29">
        <v>16.799999999999997</v>
      </c>
      <c r="K1102" s="29">
        <v>16.799999999999997</v>
      </c>
      <c r="L1102" s="29" t="s">
        <v>383</v>
      </c>
      <c r="M1102" s="29">
        <v>1</v>
      </c>
      <c r="N1102" s="29">
        <v>0.7</v>
      </c>
      <c r="O1102" s="29">
        <v>1</v>
      </c>
      <c r="P1102" s="29">
        <v>16.799999999999997</v>
      </c>
      <c r="Q1102" s="29" t="s">
        <v>384</v>
      </c>
    </row>
    <row r="1103" spans="1:17" x14ac:dyDescent="0.3">
      <c r="A1103" s="29" t="s">
        <v>756</v>
      </c>
      <c r="B1103" s="29">
        <v>1</v>
      </c>
      <c r="C1103" s="29" t="s">
        <v>1029</v>
      </c>
      <c r="D1103" s="29" t="s">
        <v>1052</v>
      </c>
      <c r="E1103" s="29">
        <v>700</v>
      </c>
      <c r="G1103" s="29" t="s">
        <v>292</v>
      </c>
      <c r="H1103" s="29">
        <v>1</v>
      </c>
      <c r="I1103" s="29">
        <v>24</v>
      </c>
      <c r="J1103" s="29">
        <v>16.799999999999997</v>
      </c>
      <c r="K1103" s="29">
        <v>16.799999999999997</v>
      </c>
      <c r="L1103" s="29" t="s">
        <v>383</v>
      </c>
      <c r="M1103" s="29">
        <v>1</v>
      </c>
      <c r="N1103" s="29">
        <v>0.7</v>
      </c>
      <c r="O1103" s="29">
        <v>1</v>
      </c>
      <c r="P1103" s="29">
        <v>16.799999999999997</v>
      </c>
      <c r="Q1103" s="29" t="s">
        <v>384</v>
      </c>
    </row>
    <row r="1104" spans="1:17" x14ac:dyDescent="0.3">
      <c r="A1104" s="29" t="s">
        <v>756</v>
      </c>
      <c r="B1104" s="29">
        <v>1</v>
      </c>
      <c r="C1104" s="29" t="s">
        <v>1029</v>
      </c>
      <c r="D1104" s="29" t="s">
        <v>1052</v>
      </c>
      <c r="E1104" s="29">
        <v>700</v>
      </c>
      <c r="G1104" s="29" t="s">
        <v>292</v>
      </c>
      <c r="H1104" s="29">
        <v>1</v>
      </c>
      <c r="I1104" s="29">
        <v>24</v>
      </c>
      <c r="J1104" s="29">
        <v>16.799999999999997</v>
      </c>
      <c r="K1104" s="29">
        <v>16.799999999999997</v>
      </c>
      <c r="L1104" s="29" t="s">
        <v>383</v>
      </c>
      <c r="M1104" s="29">
        <v>1</v>
      </c>
      <c r="N1104" s="29">
        <v>0.7</v>
      </c>
      <c r="O1104" s="29">
        <v>1</v>
      </c>
      <c r="P1104" s="29">
        <v>16.799999999999997</v>
      </c>
      <c r="Q1104" s="29" t="s">
        <v>384</v>
      </c>
    </row>
    <row r="1105" spans="1:17" x14ac:dyDescent="0.3">
      <c r="A1105" s="29" t="s">
        <v>757</v>
      </c>
      <c r="B1105" s="29">
        <v>1</v>
      </c>
      <c r="C1105" s="29" t="s">
        <v>1029</v>
      </c>
      <c r="D1105" s="29" t="s">
        <v>1052</v>
      </c>
      <c r="E1105" s="29">
        <v>800</v>
      </c>
      <c r="G1105" s="29" t="s">
        <v>292</v>
      </c>
      <c r="H1105" s="29">
        <v>1</v>
      </c>
      <c r="I1105" s="29">
        <v>24</v>
      </c>
      <c r="J1105" s="29">
        <v>19.200000000000003</v>
      </c>
      <c r="K1105" s="29">
        <v>19.200000000000003</v>
      </c>
      <c r="L1105" s="29" t="s">
        <v>383</v>
      </c>
      <c r="M1105" s="29">
        <v>1</v>
      </c>
      <c r="N1105" s="29">
        <v>0.8</v>
      </c>
      <c r="O1105" s="29">
        <v>1</v>
      </c>
      <c r="P1105" s="29">
        <v>19.200000000000003</v>
      </c>
      <c r="Q1105" s="29" t="s">
        <v>384</v>
      </c>
    </row>
    <row r="1106" spans="1:17" x14ac:dyDescent="0.3">
      <c r="A1106" s="29" t="s">
        <v>758</v>
      </c>
      <c r="B1106" s="29">
        <v>1</v>
      </c>
      <c r="C1106" s="29" t="s">
        <v>1029</v>
      </c>
      <c r="D1106" s="29" t="s">
        <v>1052</v>
      </c>
      <c r="E1106" s="29">
        <v>1000</v>
      </c>
      <c r="G1106" s="29" t="s">
        <v>292</v>
      </c>
      <c r="H1106" s="29">
        <v>1</v>
      </c>
      <c r="I1106" s="29">
        <v>24</v>
      </c>
      <c r="J1106" s="29">
        <v>24</v>
      </c>
      <c r="K1106" s="29">
        <v>24</v>
      </c>
      <c r="L1106" s="29" t="s">
        <v>383</v>
      </c>
      <c r="M1106" s="29">
        <v>1</v>
      </c>
      <c r="N1106" s="29">
        <v>1</v>
      </c>
      <c r="O1106" s="29">
        <v>1</v>
      </c>
      <c r="P1106" s="29">
        <v>24</v>
      </c>
      <c r="Q1106" s="29" t="s">
        <v>384</v>
      </c>
    </row>
    <row r="1107" spans="1:17" x14ac:dyDescent="0.3">
      <c r="A1107" s="29" t="s">
        <v>758</v>
      </c>
      <c r="B1107" s="29">
        <v>1</v>
      </c>
      <c r="C1107" s="29" t="s">
        <v>1029</v>
      </c>
      <c r="D1107" s="29" t="s">
        <v>1052</v>
      </c>
      <c r="E1107" s="29">
        <v>1000</v>
      </c>
      <c r="G1107" s="29" t="s">
        <v>292</v>
      </c>
      <c r="H1107" s="29">
        <v>1</v>
      </c>
      <c r="I1107" s="29">
        <v>24</v>
      </c>
      <c r="J1107" s="29">
        <v>24</v>
      </c>
      <c r="K1107" s="29">
        <v>24</v>
      </c>
      <c r="L1107" s="29" t="s">
        <v>383</v>
      </c>
      <c r="M1107" s="29">
        <v>1</v>
      </c>
      <c r="N1107" s="29">
        <v>1</v>
      </c>
      <c r="O1107" s="29">
        <v>1</v>
      </c>
      <c r="P1107" s="29">
        <v>24</v>
      </c>
      <c r="Q1107" s="29" t="s">
        <v>384</v>
      </c>
    </row>
    <row r="1108" spans="1:17" x14ac:dyDescent="0.3">
      <c r="A1108" s="29" t="s">
        <v>759</v>
      </c>
      <c r="B1108" s="29">
        <v>1</v>
      </c>
      <c r="C1108" s="29" t="s">
        <v>1029</v>
      </c>
      <c r="D1108" s="29" t="s">
        <v>1052</v>
      </c>
      <c r="E1108" s="29">
        <v>1700</v>
      </c>
      <c r="G1108" s="29" t="s">
        <v>292</v>
      </c>
      <c r="H1108" s="29">
        <v>1</v>
      </c>
      <c r="I1108" s="29">
        <v>24</v>
      </c>
      <c r="J1108" s="29">
        <v>40.799999999999997</v>
      </c>
      <c r="K1108" s="29">
        <v>40.799999999999997</v>
      </c>
      <c r="L1108" s="29" t="s">
        <v>383</v>
      </c>
      <c r="M1108" s="29">
        <v>1</v>
      </c>
      <c r="N1108" s="29">
        <v>1.7</v>
      </c>
      <c r="O1108" s="29">
        <v>1</v>
      </c>
      <c r="P1108" s="29">
        <v>40.799999999999997</v>
      </c>
      <c r="Q1108" s="29" t="s">
        <v>384</v>
      </c>
    </row>
    <row r="1109" spans="1:17" x14ac:dyDescent="0.3">
      <c r="A1109" s="29" t="s">
        <v>760</v>
      </c>
      <c r="B1109" s="29">
        <v>1</v>
      </c>
      <c r="C1109" s="29" t="s">
        <v>387</v>
      </c>
      <c r="D1109" s="29" t="s">
        <v>1044</v>
      </c>
      <c r="E1109" s="29">
        <v>200</v>
      </c>
      <c r="G1109" s="29" t="s">
        <v>292</v>
      </c>
      <c r="H1109" s="29">
        <v>1</v>
      </c>
      <c r="I1109" s="29">
        <v>4.43</v>
      </c>
      <c r="J1109" s="29">
        <v>0.88600000000000001</v>
      </c>
      <c r="K1109" s="29">
        <v>0.88600000000000001</v>
      </c>
      <c r="L1109" s="29" t="s">
        <v>383</v>
      </c>
      <c r="M1109" s="29">
        <v>1</v>
      </c>
      <c r="N1109" s="29">
        <v>0.2</v>
      </c>
      <c r="O1109" s="29">
        <v>1</v>
      </c>
      <c r="P1109" s="29">
        <v>0.88600000000000001</v>
      </c>
      <c r="Q1109" s="29" t="s">
        <v>384</v>
      </c>
    </row>
    <row r="1110" spans="1:17" x14ac:dyDescent="0.3">
      <c r="A1110" s="29" t="s">
        <v>760</v>
      </c>
      <c r="B1110" s="29">
        <v>1</v>
      </c>
      <c r="C1110" s="29" t="s">
        <v>387</v>
      </c>
      <c r="D1110" s="29" t="s">
        <v>1044</v>
      </c>
      <c r="E1110" s="29">
        <v>200</v>
      </c>
      <c r="G1110" s="29" t="s">
        <v>292</v>
      </c>
      <c r="H1110" s="29">
        <v>1</v>
      </c>
      <c r="I1110" s="29">
        <v>4.43</v>
      </c>
      <c r="J1110" s="29">
        <v>0.88600000000000001</v>
      </c>
      <c r="K1110" s="29">
        <v>0.88600000000000001</v>
      </c>
      <c r="L1110" s="29" t="s">
        <v>383</v>
      </c>
      <c r="M1110" s="29">
        <v>1</v>
      </c>
      <c r="N1110" s="29">
        <v>0.2</v>
      </c>
      <c r="O1110" s="29">
        <v>1</v>
      </c>
      <c r="P1110" s="29">
        <v>0.88600000000000001</v>
      </c>
      <c r="Q1110" s="29" t="s">
        <v>384</v>
      </c>
    </row>
    <row r="1111" spans="1:17" x14ac:dyDescent="0.3">
      <c r="A1111" s="29" t="s">
        <v>761</v>
      </c>
      <c r="B1111" s="29">
        <v>1</v>
      </c>
      <c r="C1111" s="29" t="s">
        <v>387</v>
      </c>
      <c r="D1111" s="29" t="s">
        <v>1044</v>
      </c>
      <c r="E1111" s="29">
        <v>300</v>
      </c>
      <c r="G1111" s="29" t="s">
        <v>292</v>
      </c>
      <c r="H1111" s="29">
        <v>1</v>
      </c>
      <c r="I1111" s="29">
        <v>4.43</v>
      </c>
      <c r="J1111" s="29">
        <v>1.329</v>
      </c>
      <c r="K1111" s="29">
        <v>1.329</v>
      </c>
      <c r="L1111" s="29" t="s">
        <v>383</v>
      </c>
      <c r="M1111" s="29">
        <v>1</v>
      </c>
      <c r="N1111" s="29">
        <v>0.3</v>
      </c>
      <c r="O1111" s="29">
        <v>1</v>
      </c>
      <c r="P1111" s="29">
        <v>1.329</v>
      </c>
      <c r="Q1111" s="29" t="s">
        <v>384</v>
      </c>
    </row>
    <row r="1112" spans="1:17" x14ac:dyDescent="0.3">
      <c r="A1112" s="29" t="s">
        <v>761</v>
      </c>
      <c r="B1112" s="29">
        <v>1</v>
      </c>
      <c r="C1112" s="29" t="s">
        <v>387</v>
      </c>
      <c r="D1112" s="29" t="s">
        <v>1044</v>
      </c>
      <c r="E1112" s="29">
        <v>300</v>
      </c>
      <c r="G1112" s="29" t="s">
        <v>292</v>
      </c>
      <c r="H1112" s="29">
        <v>1</v>
      </c>
      <c r="I1112" s="29">
        <v>4.43</v>
      </c>
      <c r="J1112" s="29">
        <v>1.329</v>
      </c>
      <c r="K1112" s="29">
        <v>1.329</v>
      </c>
      <c r="L1112" s="29" t="s">
        <v>383</v>
      </c>
      <c r="M1112" s="29">
        <v>1</v>
      </c>
      <c r="N1112" s="29">
        <v>0.3</v>
      </c>
      <c r="O1112" s="29">
        <v>1</v>
      </c>
      <c r="P1112" s="29">
        <v>1.329</v>
      </c>
      <c r="Q1112" s="29" t="s">
        <v>384</v>
      </c>
    </row>
    <row r="1113" spans="1:17" x14ac:dyDescent="0.3">
      <c r="A1113" s="29" t="s">
        <v>761</v>
      </c>
      <c r="B1113" s="29">
        <v>1</v>
      </c>
      <c r="C1113" s="29" t="s">
        <v>387</v>
      </c>
      <c r="D1113" s="29" t="s">
        <v>1044</v>
      </c>
      <c r="E1113" s="29">
        <v>300</v>
      </c>
      <c r="G1113" s="29" t="s">
        <v>292</v>
      </c>
      <c r="H1113" s="29">
        <v>1</v>
      </c>
      <c r="I1113" s="29">
        <v>4.43</v>
      </c>
      <c r="J1113" s="29">
        <v>1.329</v>
      </c>
      <c r="K1113" s="29">
        <v>1.329</v>
      </c>
      <c r="L1113" s="29" t="s">
        <v>383</v>
      </c>
      <c r="M1113" s="29">
        <v>1</v>
      </c>
      <c r="N1113" s="29">
        <v>0.3</v>
      </c>
      <c r="O1113" s="29">
        <v>1</v>
      </c>
      <c r="P1113" s="29">
        <v>1.329</v>
      </c>
      <c r="Q1113" s="29" t="s">
        <v>384</v>
      </c>
    </row>
    <row r="1114" spans="1:17" x14ac:dyDescent="0.3">
      <c r="A1114" s="29" t="s">
        <v>761</v>
      </c>
      <c r="B1114" s="29">
        <v>1</v>
      </c>
      <c r="C1114" s="29" t="s">
        <v>387</v>
      </c>
      <c r="D1114" s="29" t="s">
        <v>1044</v>
      </c>
      <c r="E1114" s="29">
        <v>300</v>
      </c>
      <c r="G1114" s="29" t="s">
        <v>292</v>
      </c>
      <c r="H1114" s="29">
        <v>1</v>
      </c>
      <c r="I1114" s="29">
        <v>4.43</v>
      </c>
      <c r="J1114" s="29">
        <v>1.329</v>
      </c>
      <c r="K1114" s="29">
        <v>1.329</v>
      </c>
      <c r="L1114" s="29" t="s">
        <v>383</v>
      </c>
      <c r="M1114" s="29">
        <v>1</v>
      </c>
      <c r="N1114" s="29">
        <v>0.3</v>
      </c>
      <c r="O1114" s="29">
        <v>1</v>
      </c>
      <c r="P1114" s="29">
        <v>1.329</v>
      </c>
      <c r="Q1114" s="29" t="s">
        <v>384</v>
      </c>
    </row>
    <row r="1115" spans="1:17" x14ac:dyDescent="0.3">
      <c r="A1115" s="29" t="s">
        <v>762</v>
      </c>
      <c r="B1115" s="29">
        <v>1</v>
      </c>
      <c r="C1115" s="29" t="s">
        <v>387</v>
      </c>
      <c r="D1115" s="29" t="s">
        <v>1044</v>
      </c>
      <c r="E1115" s="29">
        <v>400</v>
      </c>
      <c r="G1115" s="29" t="s">
        <v>292</v>
      </c>
      <c r="H1115" s="29">
        <v>1</v>
      </c>
      <c r="I1115" s="29">
        <v>4.43</v>
      </c>
      <c r="J1115" s="29">
        <v>1.772</v>
      </c>
      <c r="K1115" s="29">
        <v>1.772</v>
      </c>
      <c r="L1115" s="29" t="s">
        <v>383</v>
      </c>
      <c r="M1115" s="29">
        <v>1</v>
      </c>
      <c r="N1115" s="29">
        <v>0.4</v>
      </c>
      <c r="O1115" s="29">
        <v>1</v>
      </c>
      <c r="P1115" s="29">
        <v>1.772</v>
      </c>
      <c r="Q1115" s="29" t="s">
        <v>384</v>
      </c>
    </row>
    <row r="1116" spans="1:17" x14ac:dyDescent="0.3">
      <c r="A1116" s="29" t="s">
        <v>762</v>
      </c>
      <c r="B1116" s="29">
        <v>1</v>
      </c>
      <c r="C1116" s="29" t="s">
        <v>387</v>
      </c>
      <c r="D1116" s="29" t="s">
        <v>1044</v>
      </c>
      <c r="E1116" s="29">
        <v>400</v>
      </c>
      <c r="G1116" s="29" t="s">
        <v>292</v>
      </c>
      <c r="H1116" s="29">
        <v>1</v>
      </c>
      <c r="I1116" s="29">
        <v>4.43</v>
      </c>
      <c r="J1116" s="29">
        <v>1.772</v>
      </c>
      <c r="K1116" s="29">
        <v>1.772</v>
      </c>
      <c r="L1116" s="29" t="s">
        <v>383</v>
      </c>
      <c r="M1116" s="29">
        <v>1</v>
      </c>
      <c r="N1116" s="29">
        <v>0.4</v>
      </c>
      <c r="O1116" s="29">
        <v>1</v>
      </c>
      <c r="P1116" s="29">
        <v>1.772</v>
      </c>
      <c r="Q1116" s="29" t="s">
        <v>384</v>
      </c>
    </row>
    <row r="1117" spans="1:17" x14ac:dyDescent="0.3">
      <c r="A1117" s="29" t="s">
        <v>762</v>
      </c>
      <c r="B1117" s="29">
        <v>1</v>
      </c>
      <c r="C1117" s="29" t="s">
        <v>387</v>
      </c>
      <c r="D1117" s="29" t="s">
        <v>1044</v>
      </c>
      <c r="E1117" s="29">
        <v>400</v>
      </c>
      <c r="G1117" s="29" t="s">
        <v>292</v>
      </c>
      <c r="H1117" s="29">
        <v>1</v>
      </c>
      <c r="I1117" s="29">
        <v>4.43</v>
      </c>
      <c r="J1117" s="29">
        <v>1.772</v>
      </c>
      <c r="K1117" s="29">
        <v>1.772</v>
      </c>
      <c r="L1117" s="29" t="s">
        <v>383</v>
      </c>
      <c r="M1117" s="29">
        <v>1</v>
      </c>
      <c r="N1117" s="29">
        <v>0.4</v>
      </c>
      <c r="O1117" s="29">
        <v>1</v>
      </c>
      <c r="P1117" s="29">
        <v>1.772</v>
      </c>
      <c r="Q1117" s="29" t="s">
        <v>384</v>
      </c>
    </row>
    <row r="1118" spans="1:17" x14ac:dyDescent="0.3">
      <c r="A1118" s="29" t="s">
        <v>762</v>
      </c>
      <c r="B1118" s="29">
        <v>1</v>
      </c>
      <c r="C1118" s="29" t="s">
        <v>387</v>
      </c>
      <c r="D1118" s="29" t="s">
        <v>1044</v>
      </c>
      <c r="E1118" s="29">
        <v>400</v>
      </c>
      <c r="G1118" s="29" t="s">
        <v>292</v>
      </c>
      <c r="H1118" s="29">
        <v>1</v>
      </c>
      <c r="I1118" s="29">
        <v>4.43</v>
      </c>
      <c r="J1118" s="29">
        <v>1.772</v>
      </c>
      <c r="K1118" s="29">
        <v>1.772</v>
      </c>
      <c r="L1118" s="29" t="s">
        <v>383</v>
      </c>
      <c r="M1118" s="29">
        <v>1</v>
      </c>
      <c r="N1118" s="29">
        <v>0.4</v>
      </c>
      <c r="O1118" s="29">
        <v>1</v>
      </c>
      <c r="P1118" s="29">
        <v>1.772</v>
      </c>
      <c r="Q1118" s="29" t="s">
        <v>384</v>
      </c>
    </row>
    <row r="1119" spans="1:17" x14ac:dyDescent="0.3">
      <c r="A1119" s="29" t="s">
        <v>762</v>
      </c>
      <c r="B1119" s="29">
        <v>1</v>
      </c>
      <c r="C1119" s="29" t="s">
        <v>387</v>
      </c>
      <c r="D1119" s="29" t="s">
        <v>1044</v>
      </c>
      <c r="E1119" s="29">
        <v>400</v>
      </c>
      <c r="G1119" s="29" t="s">
        <v>292</v>
      </c>
      <c r="H1119" s="29">
        <v>1</v>
      </c>
      <c r="I1119" s="29">
        <v>4.43</v>
      </c>
      <c r="J1119" s="29">
        <v>1.772</v>
      </c>
      <c r="K1119" s="29">
        <v>1.772</v>
      </c>
      <c r="L1119" s="29" t="s">
        <v>383</v>
      </c>
      <c r="M1119" s="29">
        <v>1</v>
      </c>
      <c r="N1119" s="29">
        <v>0.4</v>
      </c>
      <c r="O1119" s="29">
        <v>1</v>
      </c>
      <c r="P1119" s="29">
        <v>1.772</v>
      </c>
      <c r="Q1119" s="29" t="s">
        <v>384</v>
      </c>
    </row>
    <row r="1120" spans="1:17" x14ac:dyDescent="0.3">
      <c r="A1120" s="29" t="s">
        <v>762</v>
      </c>
      <c r="B1120" s="29">
        <v>1</v>
      </c>
      <c r="C1120" s="29" t="s">
        <v>387</v>
      </c>
      <c r="D1120" s="29" t="s">
        <v>1044</v>
      </c>
      <c r="E1120" s="29">
        <v>400</v>
      </c>
      <c r="G1120" s="29" t="s">
        <v>292</v>
      </c>
      <c r="H1120" s="29">
        <v>1</v>
      </c>
      <c r="I1120" s="29">
        <v>4.43</v>
      </c>
      <c r="J1120" s="29">
        <v>1.772</v>
      </c>
      <c r="K1120" s="29">
        <v>1.772</v>
      </c>
      <c r="L1120" s="29" t="s">
        <v>383</v>
      </c>
      <c r="M1120" s="29">
        <v>1</v>
      </c>
      <c r="N1120" s="29">
        <v>0.4</v>
      </c>
      <c r="O1120" s="29">
        <v>1</v>
      </c>
      <c r="P1120" s="29">
        <v>1.772</v>
      </c>
      <c r="Q1120" s="29" t="s">
        <v>384</v>
      </c>
    </row>
    <row r="1121" spans="1:17" x14ac:dyDescent="0.3">
      <c r="A1121" s="29" t="s">
        <v>763</v>
      </c>
      <c r="B1121" s="29">
        <v>1</v>
      </c>
      <c r="C1121" s="29" t="s">
        <v>387</v>
      </c>
      <c r="D1121" s="29" t="s">
        <v>1044</v>
      </c>
      <c r="E1121" s="29">
        <v>500</v>
      </c>
      <c r="G1121" s="29" t="s">
        <v>292</v>
      </c>
      <c r="H1121" s="29">
        <v>1</v>
      </c>
      <c r="I1121" s="29">
        <v>4.43</v>
      </c>
      <c r="J1121" s="29">
        <v>2.2149999999999999</v>
      </c>
      <c r="K1121" s="29">
        <v>2.2149999999999999</v>
      </c>
      <c r="L1121" s="29" t="s">
        <v>383</v>
      </c>
      <c r="M1121" s="29">
        <v>1</v>
      </c>
      <c r="N1121" s="29">
        <v>0.5</v>
      </c>
      <c r="O1121" s="29">
        <v>1</v>
      </c>
      <c r="P1121" s="29">
        <v>2.2149999999999999</v>
      </c>
      <c r="Q1121" s="29" t="s">
        <v>384</v>
      </c>
    </row>
    <row r="1122" spans="1:17" x14ac:dyDescent="0.3">
      <c r="A1122" s="29" t="s">
        <v>763</v>
      </c>
      <c r="B1122" s="29">
        <v>1</v>
      </c>
      <c r="C1122" s="29" t="s">
        <v>387</v>
      </c>
      <c r="D1122" s="29" t="s">
        <v>1044</v>
      </c>
      <c r="E1122" s="29">
        <v>500</v>
      </c>
      <c r="G1122" s="29" t="s">
        <v>292</v>
      </c>
      <c r="H1122" s="29">
        <v>1</v>
      </c>
      <c r="I1122" s="29">
        <v>4.43</v>
      </c>
      <c r="J1122" s="29">
        <v>2.2149999999999999</v>
      </c>
      <c r="K1122" s="29">
        <v>2.2149999999999999</v>
      </c>
      <c r="L1122" s="29" t="s">
        <v>383</v>
      </c>
      <c r="M1122" s="29">
        <v>1</v>
      </c>
      <c r="N1122" s="29">
        <v>0.5</v>
      </c>
      <c r="O1122" s="29">
        <v>1</v>
      </c>
      <c r="P1122" s="29">
        <v>2.2149999999999999</v>
      </c>
      <c r="Q1122" s="29" t="s">
        <v>384</v>
      </c>
    </row>
    <row r="1123" spans="1:17" x14ac:dyDescent="0.3">
      <c r="A1123" s="29" t="s">
        <v>763</v>
      </c>
      <c r="B1123" s="29">
        <v>1</v>
      </c>
      <c r="C1123" s="29" t="s">
        <v>387</v>
      </c>
      <c r="D1123" s="29" t="s">
        <v>1044</v>
      </c>
      <c r="E1123" s="29">
        <v>500</v>
      </c>
      <c r="G1123" s="29" t="s">
        <v>292</v>
      </c>
      <c r="H1123" s="29">
        <v>1</v>
      </c>
      <c r="I1123" s="29">
        <v>4.43</v>
      </c>
      <c r="J1123" s="29">
        <v>2.2149999999999999</v>
      </c>
      <c r="K1123" s="29">
        <v>2.2149999999999999</v>
      </c>
      <c r="L1123" s="29" t="s">
        <v>383</v>
      </c>
      <c r="M1123" s="29">
        <v>1</v>
      </c>
      <c r="N1123" s="29">
        <v>0.5</v>
      </c>
      <c r="O1123" s="29">
        <v>1</v>
      </c>
      <c r="P1123" s="29">
        <v>2.2149999999999999</v>
      </c>
      <c r="Q1123" s="29" t="s">
        <v>384</v>
      </c>
    </row>
    <row r="1124" spans="1:17" x14ac:dyDescent="0.3">
      <c r="A1124" s="29" t="s">
        <v>763</v>
      </c>
      <c r="B1124" s="29">
        <v>1</v>
      </c>
      <c r="C1124" s="29" t="s">
        <v>387</v>
      </c>
      <c r="D1124" s="29" t="s">
        <v>1044</v>
      </c>
      <c r="E1124" s="29">
        <v>500</v>
      </c>
      <c r="G1124" s="29" t="s">
        <v>292</v>
      </c>
      <c r="H1124" s="29">
        <v>1</v>
      </c>
      <c r="I1124" s="29">
        <v>4.43</v>
      </c>
      <c r="J1124" s="29">
        <v>2.2149999999999999</v>
      </c>
      <c r="K1124" s="29">
        <v>2.2149999999999999</v>
      </c>
      <c r="L1124" s="29" t="s">
        <v>383</v>
      </c>
      <c r="M1124" s="29">
        <v>1</v>
      </c>
      <c r="N1124" s="29">
        <v>0.5</v>
      </c>
      <c r="O1124" s="29">
        <v>1</v>
      </c>
      <c r="P1124" s="29">
        <v>2.2149999999999999</v>
      </c>
      <c r="Q1124" s="29" t="s">
        <v>384</v>
      </c>
    </row>
    <row r="1125" spans="1:17" x14ac:dyDescent="0.3">
      <c r="A1125" s="29" t="s">
        <v>763</v>
      </c>
      <c r="B1125" s="29">
        <v>1</v>
      </c>
      <c r="C1125" s="29" t="s">
        <v>387</v>
      </c>
      <c r="D1125" s="29" t="s">
        <v>1044</v>
      </c>
      <c r="E1125" s="29">
        <v>500</v>
      </c>
      <c r="G1125" s="29" t="s">
        <v>292</v>
      </c>
      <c r="H1125" s="29">
        <v>1</v>
      </c>
      <c r="I1125" s="29">
        <v>4.43</v>
      </c>
      <c r="J1125" s="29">
        <v>2.2149999999999999</v>
      </c>
      <c r="K1125" s="29">
        <v>2.2149999999999999</v>
      </c>
      <c r="L1125" s="29" t="s">
        <v>383</v>
      </c>
      <c r="M1125" s="29">
        <v>1</v>
      </c>
      <c r="N1125" s="29">
        <v>0.5</v>
      </c>
      <c r="O1125" s="29">
        <v>1</v>
      </c>
      <c r="P1125" s="29">
        <v>2.2149999999999999</v>
      </c>
      <c r="Q1125" s="29" t="s">
        <v>384</v>
      </c>
    </row>
    <row r="1126" spans="1:17" x14ac:dyDescent="0.3">
      <c r="A1126" s="29" t="s">
        <v>763</v>
      </c>
      <c r="B1126" s="29">
        <v>1</v>
      </c>
      <c r="C1126" s="29" t="s">
        <v>387</v>
      </c>
      <c r="D1126" s="29" t="s">
        <v>1044</v>
      </c>
      <c r="E1126" s="29">
        <v>500</v>
      </c>
      <c r="G1126" s="29" t="s">
        <v>292</v>
      </c>
      <c r="H1126" s="29">
        <v>1</v>
      </c>
      <c r="I1126" s="29">
        <v>4.43</v>
      </c>
      <c r="J1126" s="29">
        <v>2.2149999999999999</v>
      </c>
      <c r="K1126" s="29">
        <v>2.2149999999999999</v>
      </c>
      <c r="L1126" s="29" t="s">
        <v>383</v>
      </c>
      <c r="M1126" s="29">
        <v>1</v>
      </c>
      <c r="N1126" s="29">
        <v>0.5</v>
      </c>
      <c r="O1126" s="29">
        <v>1</v>
      </c>
      <c r="P1126" s="29">
        <v>2.2149999999999999</v>
      </c>
      <c r="Q1126" s="29" t="s">
        <v>384</v>
      </c>
    </row>
    <row r="1127" spans="1:17" x14ac:dyDescent="0.3">
      <c r="A1127" s="29" t="s">
        <v>763</v>
      </c>
      <c r="B1127" s="29">
        <v>1</v>
      </c>
      <c r="C1127" s="29" t="s">
        <v>387</v>
      </c>
      <c r="D1127" s="29" t="s">
        <v>1044</v>
      </c>
      <c r="E1127" s="29">
        <v>500</v>
      </c>
      <c r="G1127" s="29" t="s">
        <v>292</v>
      </c>
      <c r="H1127" s="29">
        <v>1</v>
      </c>
      <c r="I1127" s="29">
        <v>4.43</v>
      </c>
      <c r="J1127" s="29">
        <v>2.2149999999999999</v>
      </c>
      <c r="K1127" s="29">
        <v>2.2149999999999999</v>
      </c>
      <c r="L1127" s="29" t="s">
        <v>383</v>
      </c>
      <c r="M1127" s="29">
        <v>1</v>
      </c>
      <c r="N1127" s="29">
        <v>0.5</v>
      </c>
      <c r="O1127" s="29">
        <v>1</v>
      </c>
      <c r="P1127" s="29">
        <v>2.2149999999999999</v>
      </c>
      <c r="Q1127" s="29" t="s">
        <v>384</v>
      </c>
    </row>
    <row r="1128" spans="1:17" x14ac:dyDescent="0.3">
      <c r="A1128" s="29" t="s">
        <v>763</v>
      </c>
      <c r="B1128" s="29">
        <v>1</v>
      </c>
      <c r="C1128" s="29" t="s">
        <v>387</v>
      </c>
      <c r="D1128" s="29" t="s">
        <v>1044</v>
      </c>
      <c r="E1128" s="29">
        <v>500</v>
      </c>
      <c r="G1128" s="29" t="s">
        <v>292</v>
      </c>
      <c r="H1128" s="29">
        <v>1</v>
      </c>
      <c r="I1128" s="29">
        <v>4.43</v>
      </c>
      <c r="J1128" s="29">
        <v>2.2149999999999999</v>
      </c>
      <c r="K1128" s="29">
        <v>2.2149999999999999</v>
      </c>
      <c r="L1128" s="29" t="s">
        <v>383</v>
      </c>
      <c r="M1128" s="29">
        <v>1</v>
      </c>
      <c r="N1128" s="29">
        <v>0.5</v>
      </c>
      <c r="O1128" s="29">
        <v>1</v>
      </c>
      <c r="P1128" s="29">
        <v>2.2149999999999999</v>
      </c>
      <c r="Q1128" s="29" t="s">
        <v>384</v>
      </c>
    </row>
    <row r="1129" spans="1:17" x14ac:dyDescent="0.3">
      <c r="A1129" s="29" t="s">
        <v>763</v>
      </c>
      <c r="B1129" s="29">
        <v>1</v>
      </c>
      <c r="C1129" s="29" t="s">
        <v>387</v>
      </c>
      <c r="D1129" s="29" t="s">
        <v>1044</v>
      </c>
      <c r="E1129" s="29">
        <v>500</v>
      </c>
      <c r="G1129" s="29" t="s">
        <v>292</v>
      </c>
      <c r="H1129" s="29">
        <v>1</v>
      </c>
      <c r="I1129" s="29">
        <v>4.43</v>
      </c>
      <c r="J1129" s="29">
        <v>2.2149999999999999</v>
      </c>
      <c r="K1129" s="29">
        <v>2.2149999999999999</v>
      </c>
      <c r="L1129" s="29" t="s">
        <v>383</v>
      </c>
      <c r="M1129" s="29">
        <v>1</v>
      </c>
      <c r="N1129" s="29">
        <v>0.5</v>
      </c>
      <c r="O1129" s="29">
        <v>1</v>
      </c>
      <c r="P1129" s="29">
        <v>2.2149999999999999</v>
      </c>
      <c r="Q1129" s="29" t="s">
        <v>384</v>
      </c>
    </row>
    <row r="1130" spans="1:17" x14ac:dyDescent="0.3">
      <c r="A1130" s="29" t="s">
        <v>763</v>
      </c>
      <c r="B1130" s="29">
        <v>1</v>
      </c>
      <c r="C1130" s="29" t="s">
        <v>387</v>
      </c>
      <c r="D1130" s="29" t="s">
        <v>1044</v>
      </c>
      <c r="E1130" s="29">
        <v>500</v>
      </c>
      <c r="G1130" s="29" t="s">
        <v>292</v>
      </c>
      <c r="H1130" s="29">
        <v>1</v>
      </c>
      <c r="I1130" s="29">
        <v>4.43</v>
      </c>
      <c r="J1130" s="29">
        <v>2.2149999999999999</v>
      </c>
      <c r="K1130" s="29">
        <v>2.2149999999999999</v>
      </c>
      <c r="L1130" s="29" t="s">
        <v>383</v>
      </c>
      <c r="M1130" s="29">
        <v>1</v>
      </c>
      <c r="N1130" s="29">
        <v>0.5</v>
      </c>
      <c r="O1130" s="29">
        <v>1</v>
      </c>
      <c r="P1130" s="29">
        <v>2.2149999999999999</v>
      </c>
      <c r="Q1130" s="29" t="s">
        <v>384</v>
      </c>
    </row>
    <row r="1131" spans="1:17" x14ac:dyDescent="0.3">
      <c r="A1131" s="29" t="s">
        <v>764</v>
      </c>
      <c r="B1131" s="29">
        <v>1</v>
      </c>
      <c r="C1131" s="29" t="s">
        <v>387</v>
      </c>
      <c r="D1131" s="29" t="s">
        <v>1044</v>
      </c>
      <c r="E1131" s="29">
        <v>600</v>
      </c>
      <c r="G1131" s="29" t="s">
        <v>292</v>
      </c>
      <c r="H1131" s="29">
        <v>1</v>
      </c>
      <c r="I1131" s="29">
        <v>4.43</v>
      </c>
      <c r="J1131" s="29">
        <v>2.6579999999999999</v>
      </c>
      <c r="K1131" s="29">
        <v>2.6579999999999999</v>
      </c>
      <c r="L1131" s="29" t="s">
        <v>383</v>
      </c>
      <c r="M1131" s="29">
        <v>1</v>
      </c>
      <c r="N1131" s="29">
        <v>0.6</v>
      </c>
      <c r="O1131" s="29">
        <v>1</v>
      </c>
      <c r="P1131" s="29">
        <v>2.6579999999999999</v>
      </c>
      <c r="Q1131" s="29" t="s">
        <v>384</v>
      </c>
    </row>
    <row r="1132" spans="1:17" x14ac:dyDescent="0.3">
      <c r="A1132" s="29" t="s">
        <v>764</v>
      </c>
      <c r="B1132" s="29">
        <v>1</v>
      </c>
      <c r="C1132" s="29" t="s">
        <v>387</v>
      </c>
      <c r="D1132" s="29" t="s">
        <v>1044</v>
      </c>
      <c r="E1132" s="29">
        <v>600</v>
      </c>
      <c r="G1132" s="29" t="s">
        <v>292</v>
      </c>
      <c r="H1132" s="29">
        <v>1</v>
      </c>
      <c r="I1132" s="29">
        <v>4.43</v>
      </c>
      <c r="J1132" s="29">
        <v>2.6579999999999999</v>
      </c>
      <c r="K1132" s="29">
        <v>2.6579999999999999</v>
      </c>
      <c r="L1132" s="29" t="s">
        <v>383</v>
      </c>
      <c r="M1132" s="29">
        <v>1</v>
      </c>
      <c r="N1132" s="29">
        <v>0.6</v>
      </c>
      <c r="O1132" s="29">
        <v>1</v>
      </c>
      <c r="P1132" s="29">
        <v>2.6579999999999999</v>
      </c>
      <c r="Q1132" s="29" t="s">
        <v>384</v>
      </c>
    </row>
    <row r="1133" spans="1:17" x14ac:dyDescent="0.3">
      <c r="A1133" s="29" t="s">
        <v>764</v>
      </c>
      <c r="B1133" s="29">
        <v>1</v>
      </c>
      <c r="C1133" s="29" t="s">
        <v>387</v>
      </c>
      <c r="D1133" s="29" t="s">
        <v>1044</v>
      </c>
      <c r="E1133" s="29">
        <v>600</v>
      </c>
      <c r="G1133" s="29" t="s">
        <v>292</v>
      </c>
      <c r="H1133" s="29">
        <v>1</v>
      </c>
      <c r="I1133" s="29">
        <v>4.43</v>
      </c>
      <c r="J1133" s="29">
        <v>2.6579999999999999</v>
      </c>
      <c r="K1133" s="29">
        <v>2.6579999999999999</v>
      </c>
      <c r="L1133" s="29" t="s">
        <v>383</v>
      </c>
      <c r="M1133" s="29">
        <v>1</v>
      </c>
      <c r="N1133" s="29">
        <v>0.6</v>
      </c>
      <c r="O1133" s="29">
        <v>1</v>
      </c>
      <c r="P1133" s="29">
        <v>2.6579999999999999</v>
      </c>
      <c r="Q1133" s="29" t="s">
        <v>384</v>
      </c>
    </row>
    <row r="1134" spans="1:17" x14ac:dyDescent="0.3">
      <c r="A1134" s="29" t="s">
        <v>764</v>
      </c>
      <c r="B1134" s="29">
        <v>1</v>
      </c>
      <c r="C1134" s="29" t="s">
        <v>387</v>
      </c>
      <c r="D1134" s="29" t="s">
        <v>1044</v>
      </c>
      <c r="E1134" s="29">
        <v>600</v>
      </c>
      <c r="G1134" s="29" t="s">
        <v>292</v>
      </c>
      <c r="H1134" s="29">
        <v>1</v>
      </c>
      <c r="I1134" s="29">
        <v>4.43</v>
      </c>
      <c r="J1134" s="29">
        <v>2.6579999999999999</v>
      </c>
      <c r="K1134" s="29">
        <v>2.6579999999999999</v>
      </c>
      <c r="L1134" s="29" t="s">
        <v>383</v>
      </c>
      <c r="M1134" s="29">
        <v>1</v>
      </c>
      <c r="N1134" s="29">
        <v>0.6</v>
      </c>
      <c r="O1134" s="29">
        <v>1</v>
      </c>
      <c r="P1134" s="29">
        <v>2.6579999999999999</v>
      </c>
      <c r="Q1134" s="29" t="s">
        <v>384</v>
      </c>
    </row>
    <row r="1135" spans="1:17" x14ac:dyDescent="0.3">
      <c r="A1135" s="29" t="s">
        <v>765</v>
      </c>
      <c r="B1135" s="29">
        <v>1</v>
      </c>
      <c r="C1135" s="29" t="s">
        <v>387</v>
      </c>
      <c r="D1135" s="29" t="s">
        <v>1045</v>
      </c>
      <c r="E1135" s="29">
        <v>200</v>
      </c>
      <c r="G1135" s="29" t="s">
        <v>292</v>
      </c>
      <c r="H1135" s="29">
        <v>1</v>
      </c>
      <c r="I1135" s="29">
        <v>9.9600000000000009</v>
      </c>
      <c r="J1135" s="29">
        <v>1.9920000000000002</v>
      </c>
      <c r="K1135" s="29">
        <v>1.9920000000000002</v>
      </c>
      <c r="L1135" s="29" t="s">
        <v>383</v>
      </c>
      <c r="M1135" s="29">
        <v>1</v>
      </c>
      <c r="N1135" s="29">
        <v>0.2</v>
      </c>
      <c r="O1135" s="29">
        <v>1</v>
      </c>
      <c r="P1135" s="29">
        <v>1.9920000000000002</v>
      </c>
      <c r="Q1135" s="29" t="s">
        <v>384</v>
      </c>
    </row>
    <row r="1136" spans="1:17" x14ac:dyDescent="0.3">
      <c r="A1136" s="29" t="s">
        <v>765</v>
      </c>
      <c r="B1136" s="29">
        <v>1</v>
      </c>
      <c r="C1136" s="29" t="s">
        <v>387</v>
      </c>
      <c r="D1136" s="29" t="s">
        <v>1045</v>
      </c>
      <c r="E1136" s="29">
        <v>200</v>
      </c>
      <c r="G1136" s="29" t="s">
        <v>292</v>
      </c>
      <c r="H1136" s="29">
        <v>1</v>
      </c>
      <c r="I1136" s="29">
        <v>9.9600000000000009</v>
      </c>
      <c r="J1136" s="29">
        <v>1.9920000000000002</v>
      </c>
      <c r="K1136" s="29">
        <v>1.9920000000000002</v>
      </c>
      <c r="L1136" s="29" t="s">
        <v>383</v>
      </c>
      <c r="M1136" s="29">
        <v>1</v>
      </c>
      <c r="N1136" s="29">
        <v>0.2</v>
      </c>
      <c r="O1136" s="29">
        <v>1</v>
      </c>
      <c r="P1136" s="29">
        <v>1.9920000000000002</v>
      </c>
      <c r="Q1136" s="29" t="s">
        <v>384</v>
      </c>
    </row>
    <row r="1137" spans="1:17" x14ac:dyDescent="0.3">
      <c r="A1137" s="29" t="s">
        <v>766</v>
      </c>
      <c r="B1137" s="29">
        <v>1</v>
      </c>
      <c r="C1137" s="29" t="s">
        <v>387</v>
      </c>
      <c r="D1137" s="29" t="s">
        <v>1045</v>
      </c>
      <c r="E1137" s="29">
        <v>300</v>
      </c>
      <c r="G1137" s="29" t="s">
        <v>292</v>
      </c>
      <c r="H1137" s="29">
        <v>1</v>
      </c>
      <c r="I1137" s="29">
        <v>9.9600000000000009</v>
      </c>
      <c r="J1137" s="29">
        <v>2.988</v>
      </c>
      <c r="K1137" s="29">
        <v>2.988</v>
      </c>
      <c r="L1137" s="29" t="s">
        <v>383</v>
      </c>
      <c r="M1137" s="29">
        <v>1</v>
      </c>
      <c r="N1137" s="29">
        <v>0.3</v>
      </c>
      <c r="O1137" s="29">
        <v>1</v>
      </c>
      <c r="P1137" s="29">
        <v>2.988</v>
      </c>
      <c r="Q1137" s="29" t="s">
        <v>384</v>
      </c>
    </row>
    <row r="1138" spans="1:17" x14ac:dyDescent="0.3">
      <c r="A1138" s="29" t="s">
        <v>766</v>
      </c>
      <c r="B1138" s="29">
        <v>1</v>
      </c>
      <c r="C1138" s="29" t="s">
        <v>387</v>
      </c>
      <c r="D1138" s="29" t="s">
        <v>1045</v>
      </c>
      <c r="E1138" s="29">
        <v>300</v>
      </c>
      <c r="G1138" s="29" t="s">
        <v>292</v>
      </c>
      <c r="H1138" s="29">
        <v>1</v>
      </c>
      <c r="I1138" s="29">
        <v>9.9600000000000009</v>
      </c>
      <c r="J1138" s="29">
        <v>2.988</v>
      </c>
      <c r="K1138" s="29">
        <v>2.988</v>
      </c>
      <c r="L1138" s="29" t="s">
        <v>383</v>
      </c>
      <c r="M1138" s="29">
        <v>1</v>
      </c>
      <c r="N1138" s="29">
        <v>0.3</v>
      </c>
      <c r="O1138" s="29">
        <v>1</v>
      </c>
      <c r="P1138" s="29">
        <v>2.988</v>
      </c>
      <c r="Q1138" s="29" t="s">
        <v>384</v>
      </c>
    </row>
    <row r="1139" spans="1:17" x14ac:dyDescent="0.3">
      <c r="A1139" s="29" t="s">
        <v>766</v>
      </c>
      <c r="B1139" s="29">
        <v>1</v>
      </c>
      <c r="C1139" s="29" t="s">
        <v>387</v>
      </c>
      <c r="D1139" s="29" t="s">
        <v>1045</v>
      </c>
      <c r="E1139" s="29">
        <v>300</v>
      </c>
      <c r="G1139" s="29" t="s">
        <v>292</v>
      </c>
      <c r="H1139" s="29">
        <v>1</v>
      </c>
      <c r="I1139" s="29">
        <v>9.9600000000000009</v>
      </c>
      <c r="J1139" s="29">
        <v>2.988</v>
      </c>
      <c r="K1139" s="29">
        <v>2.988</v>
      </c>
      <c r="L1139" s="29" t="s">
        <v>383</v>
      </c>
      <c r="M1139" s="29">
        <v>1</v>
      </c>
      <c r="N1139" s="29">
        <v>0.3</v>
      </c>
      <c r="O1139" s="29">
        <v>1</v>
      </c>
      <c r="P1139" s="29">
        <v>2.988</v>
      </c>
      <c r="Q1139" s="29" t="s">
        <v>384</v>
      </c>
    </row>
    <row r="1140" spans="1:17" x14ac:dyDescent="0.3">
      <c r="A1140" s="29" t="s">
        <v>766</v>
      </c>
      <c r="B1140" s="29">
        <v>1</v>
      </c>
      <c r="C1140" s="29" t="s">
        <v>387</v>
      </c>
      <c r="D1140" s="29" t="s">
        <v>1045</v>
      </c>
      <c r="E1140" s="29">
        <v>300</v>
      </c>
      <c r="G1140" s="29" t="s">
        <v>292</v>
      </c>
      <c r="H1140" s="29">
        <v>1</v>
      </c>
      <c r="I1140" s="29">
        <v>9.9600000000000009</v>
      </c>
      <c r="J1140" s="29">
        <v>2.988</v>
      </c>
      <c r="K1140" s="29">
        <v>2.988</v>
      </c>
      <c r="L1140" s="29" t="s">
        <v>383</v>
      </c>
      <c r="M1140" s="29">
        <v>1</v>
      </c>
      <c r="N1140" s="29">
        <v>0.3</v>
      </c>
      <c r="O1140" s="29">
        <v>1</v>
      </c>
      <c r="P1140" s="29">
        <v>2.988</v>
      </c>
      <c r="Q1140" s="29" t="s">
        <v>384</v>
      </c>
    </row>
    <row r="1141" spans="1:17" x14ac:dyDescent="0.3">
      <c r="A1141" s="29" t="s">
        <v>766</v>
      </c>
      <c r="B1141" s="29">
        <v>1</v>
      </c>
      <c r="C1141" s="29" t="s">
        <v>387</v>
      </c>
      <c r="D1141" s="29" t="s">
        <v>1045</v>
      </c>
      <c r="E1141" s="29">
        <v>300</v>
      </c>
      <c r="G1141" s="29" t="s">
        <v>292</v>
      </c>
      <c r="H1141" s="29">
        <v>1</v>
      </c>
      <c r="I1141" s="29">
        <v>9.9600000000000009</v>
      </c>
      <c r="J1141" s="29">
        <v>2.988</v>
      </c>
      <c r="K1141" s="29">
        <v>2.988</v>
      </c>
      <c r="L1141" s="29" t="s">
        <v>383</v>
      </c>
      <c r="M1141" s="29">
        <v>1</v>
      </c>
      <c r="N1141" s="29">
        <v>0.3</v>
      </c>
      <c r="O1141" s="29">
        <v>1</v>
      </c>
      <c r="P1141" s="29">
        <v>2.988</v>
      </c>
      <c r="Q1141" s="29" t="s">
        <v>384</v>
      </c>
    </row>
    <row r="1142" spans="1:17" x14ac:dyDescent="0.3">
      <c r="A1142" s="29" t="s">
        <v>766</v>
      </c>
      <c r="B1142" s="29">
        <v>1</v>
      </c>
      <c r="C1142" s="29" t="s">
        <v>387</v>
      </c>
      <c r="D1142" s="29" t="s">
        <v>1045</v>
      </c>
      <c r="E1142" s="29">
        <v>300</v>
      </c>
      <c r="G1142" s="29" t="s">
        <v>292</v>
      </c>
      <c r="H1142" s="29">
        <v>1</v>
      </c>
      <c r="I1142" s="29">
        <v>9.9600000000000009</v>
      </c>
      <c r="J1142" s="29">
        <v>2.988</v>
      </c>
      <c r="K1142" s="29">
        <v>2.988</v>
      </c>
      <c r="L1142" s="29" t="s">
        <v>383</v>
      </c>
      <c r="M1142" s="29">
        <v>1</v>
      </c>
      <c r="N1142" s="29">
        <v>0.3</v>
      </c>
      <c r="O1142" s="29">
        <v>1</v>
      </c>
      <c r="P1142" s="29">
        <v>2.988</v>
      </c>
      <c r="Q1142" s="29" t="s">
        <v>384</v>
      </c>
    </row>
    <row r="1143" spans="1:17" x14ac:dyDescent="0.3">
      <c r="A1143" s="29" t="s">
        <v>767</v>
      </c>
      <c r="B1143" s="29">
        <v>1</v>
      </c>
      <c r="C1143" s="29" t="s">
        <v>387</v>
      </c>
      <c r="D1143" s="29" t="s">
        <v>1045</v>
      </c>
      <c r="E1143" s="29">
        <v>400</v>
      </c>
      <c r="G1143" s="29" t="s">
        <v>292</v>
      </c>
      <c r="H1143" s="29">
        <v>1</v>
      </c>
      <c r="I1143" s="29">
        <v>9.9600000000000009</v>
      </c>
      <c r="J1143" s="29">
        <v>3.9840000000000004</v>
      </c>
      <c r="K1143" s="29">
        <v>3.9840000000000004</v>
      </c>
      <c r="L1143" s="29" t="s">
        <v>383</v>
      </c>
      <c r="M1143" s="29">
        <v>1</v>
      </c>
      <c r="N1143" s="29">
        <v>0.4</v>
      </c>
      <c r="O1143" s="29">
        <v>1</v>
      </c>
      <c r="P1143" s="29">
        <v>3.9840000000000004</v>
      </c>
      <c r="Q1143" s="29" t="s">
        <v>384</v>
      </c>
    </row>
    <row r="1144" spans="1:17" x14ac:dyDescent="0.3">
      <c r="A1144" s="29" t="s">
        <v>767</v>
      </c>
      <c r="B1144" s="29">
        <v>1</v>
      </c>
      <c r="C1144" s="29" t="s">
        <v>387</v>
      </c>
      <c r="D1144" s="29" t="s">
        <v>1045</v>
      </c>
      <c r="E1144" s="29">
        <v>400</v>
      </c>
      <c r="G1144" s="29" t="s">
        <v>292</v>
      </c>
      <c r="H1144" s="29">
        <v>1</v>
      </c>
      <c r="I1144" s="29">
        <v>9.9600000000000009</v>
      </c>
      <c r="J1144" s="29">
        <v>3.9840000000000004</v>
      </c>
      <c r="K1144" s="29">
        <v>3.9840000000000004</v>
      </c>
      <c r="L1144" s="29" t="s">
        <v>383</v>
      </c>
      <c r="M1144" s="29">
        <v>1</v>
      </c>
      <c r="N1144" s="29">
        <v>0.4</v>
      </c>
      <c r="O1144" s="29">
        <v>1</v>
      </c>
      <c r="P1144" s="29">
        <v>3.9840000000000004</v>
      </c>
      <c r="Q1144" s="29" t="s">
        <v>384</v>
      </c>
    </row>
    <row r="1145" spans="1:17" x14ac:dyDescent="0.3">
      <c r="A1145" s="29" t="s">
        <v>767</v>
      </c>
      <c r="B1145" s="29">
        <v>1</v>
      </c>
      <c r="C1145" s="29" t="s">
        <v>387</v>
      </c>
      <c r="D1145" s="29" t="s">
        <v>1045</v>
      </c>
      <c r="E1145" s="29">
        <v>400</v>
      </c>
      <c r="G1145" s="29" t="s">
        <v>292</v>
      </c>
      <c r="H1145" s="29">
        <v>1</v>
      </c>
      <c r="I1145" s="29">
        <v>9.9600000000000009</v>
      </c>
      <c r="J1145" s="29">
        <v>3.9840000000000004</v>
      </c>
      <c r="K1145" s="29">
        <v>3.9840000000000004</v>
      </c>
      <c r="L1145" s="29" t="s">
        <v>383</v>
      </c>
      <c r="M1145" s="29">
        <v>1</v>
      </c>
      <c r="N1145" s="29">
        <v>0.4</v>
      </c>
      <c r="O1145" s="29">
        <v>1</v>
      </c>
      <c r="P1145" s="29">
        <v>3.9840000000000004</v>
      </c>
      <c r="Q1145" s="29" t="s">
        <v>384</v>
      </c>
    </row>
    <row r="1146" spans="1:17" x14ac:dyDescent="0.3">
      <c r="A1146" s="29" t="s">
        <v>767</v>
      </c>
      <c r="B1146" s="29">
        <v>1</v>
      </c>
      <c r="C1146" s="29" t="s">
        <v>387</v>
      </c>
      <c r="D1146" s="29" t="s">
        <v>1045</v>
      </c>
      <c r="E1146" s="29">
        <v>400</v>
      </c>
      <c r="G1146" s="29" t="s">
        <v>292</v>
      </c>
      <c r="H1146" s="29">
        <v>1</v>
      </c>
      <c r="I1146" s="29">
        <v>9.9600000000000009</v>
      </c>
      <c r="J1146" s="29">
        <v>3.9840000000000004</v>
      </c>
      <c r="K1146" s="29">
        <v>3.9840000000000004</v>
      </c>
      <c r="L1146" s="29" t="s">
        <v>383</v>
      </c>
      <c r="M1146" s="29">
        <v>1</v>
      </c>
      <c r="N1146" s="29">
        <v>0.4</v>
      </c>
      <c r="O1146" s="29">
        <v>1</v>
      </c>
      <c r="P1146" s="29">
        <v>3.9840000000000004</v>
      </c>
      <c r="Q1146" s="29" t="s">
        <v>384</v>
      </c>
    </row>
    <row r="1147" spans="1:17" x14ac:dyDescent="0.3">
      <c r="A1147" s="29" t="s">
        <v>768</v>
      </c>
      <c r="B1147" s="29">
        <v>1</v>
      </c>
      <c r="C1147" s="29" t="s">
        <v>387</v>
      </c>
      <c r="D1147" s="29" t="s">
        <v>1045</v>
      </c>
      <c r="E1147" s="29">
        <v>500</v>
      </c>
      <c r="G1147" s="29" t="s">
        <v>292</v>
      </c>
      <c r="H1147" s="29">
        <v>1</v>
      </c>
      <c r="I1147" s="29">
        <v>9.9600000000000009</v>
      </c>
      <c r="J1147" s="29">
        <v>4.9800000000000004</v>
      </c>
      <c r="K1147" s="29">
        <v>4.9800000000000004</v>
      </c>
      <c r="L1147" s="29" t="s">
        <v>383</v>
      </c>
      <c r="M1147" s="29">
        <v>1</v>
      </c>
      <c r="N1147" s="29">
        <v>0.5</v>
      </c>
      <c r="O1147" s="29">
        <v>1</v>
      </c>
      <c r="P1147" s="29">
        <v>4.9800000000000004</v>
      </c>
      <c r="Q1147" s="29" t="s">
        <v>384</v>
      </c>
    </row>
    <row r="1148" spans="1:17" x14ac:dyDescent="0.3">
      <c r="A1148" s="29" t="s">
        <v>768</v>
      </c>
      <c r="B1148" s="29">
        <v>1</v>
      </c>
      <c r="C1148" s="29" t="s">
        <v>387</v>
      </c>
      <c r="D1148" s="29" t="s">
        <v>1045</v>
      </c>
      <c r="E1148" s="29">
        <v>500</v>
      </c>
      <c r="G1148" s="29" t="s">
        <v>292</v>
      </c>
      <c r="H1148" s="29">
        <v>1</v>
      </c>
      <c r="I1148" s="29">
        <v>9.9600000000000009</v>
      </c>
      <c r="J1148" s="29">
        <v>4.9800000000000004</v>
      </c>
      <c r="K1148" s="29">
        <v>4.9800000000000004</v>
      </c>
      <c r="L1148" s="29" t="s">
        <v>383</v>
      </c>
      <c r="M1148" s="29">
        <v>1</v>
      </c>
      <c r="N1148" s="29">
        <v>0.5</v>
      </c>
      <c r="O1148" s="29">
        <v>1</v>
      </c>
      <c r="P1148" s="29">
        <v>4.9800000000000004</v>
      </c>
      <c r="Q1148" s="29" t="s">
        <v>384</v>
      </c>
    </row>
    <row r="1149" spans="1:17" x14ac:dyDescent="0.3">
      <c r="A1149" s="29" t="s">
        <v>768</v>
      </c>
      <c r="B1149" s="29">
        <v>1</v>
      </c>
      <c r="C1149" s="29" t="s">
        <v>387</v>
      </c>
      <c r="D1149" s="29" t="s">
        <v>1045</v>
      </c>
      <c r="E1149" s="29">
        <v>500</v>
      </c>
      <c r="G1149" s="29" t="s">
        <v>292</v>
      </c>
      <c r="H1149" s="29">
        <v>1</v>
      </c>
      <c r="I1149" s="29">
        <v>9.9600000000000009</v>
      </c>
      <c r="J1149" s="29">
        <v>4.9800000000000004</v>
      </c>
      <c r="K1149" s="29">
        <v>4.9800000000000004</v>
      </c>
      <c r="L1149" s="29" t="s">
        <v>383</v>
      </c>
      <c r="M1149" s="29">
        <v>1</v>
      </c>
      <c r="N1149" s="29">
        <v>0.5</v>
      </c>
      <c r="O1149" s="29">
        <v>1</v>
      </c>
      <c r="P1149" s="29">
        <v>4.9800000000000004</v>
      </c>
      <c r="Q1149" s="29" t="s">
        <v>384</v>
      </c>
    </row>
    <row r="1150" spans="1:17" x14ac:dyDescent="0.3">
      <c r="A1150" s="29" t="s">
        <v>768</v>
      </c>
      <c r="B1150" s="29">
        <v>1</v>
      </c>
      <c r="C1150" s="29" t="s">
        <v>387</v>
      </c>
      <c r="D1150" s="29" t="s">
        <v>1045</v>
      </c>
      <c r="E1150" s="29">
        <v>500</v>
      </c>
      <c r="G1150" s="29" t="s">
        <v>292</v>
      </c>
      <c r="H1150" s="29">
        <v>1</v>
      </c>
      <c r="I1150" s="29">
        <v>9.9600000000000009</v>
      </c>
      <c r="J1150" s="29">
        <v>4.9800000000000004</v>
      </c>
      <c r="K1150" s="29">
        <v>4.9800000000000004</v>
      </c>
      <c r="L1150" s="29" t="s">
        <v>383</v>
      </c>
      <c r="M1150" s="29">
        <v>1</v>
      </c>
      <c r="N1150" s="29">
        <v>0.5</v>
      </c>
      <c r="O1150" s="29">
        <v>1</v>
      </c>
      <c r="P1150" s="29">
        <v>4.9800000000000004</v>
      </c>
      <c r="Q1150" s="29" t="s">
        <v>384</v>
      </c>
    </row>
    <row r="1151" spans="1:17" x14ac:dyDescent="0.3">
      <c r="A1151" s="29" t="s">
        <v>768</v>
      </c>
      <c r="B1151" s="29">
        <v>1</v>
      </c>
      <c r="C1151" s="29" t="s">
        <v>387</v>
      </c>
      <c r="D1151" s="29" t="s">
        <v>1045</v>
      </c>
      <c r="E1151" s="29">
        <v>500</v>
      </c>
      <c r="G1151" s="29" t="s">
        <v>292</v>
      </c>
      <c r="H1151" s="29">
        <v>1</v>
      </c>
      <c r="I1151" s="29">
        <v>9.9600000000000009</v>
      </c>
      <c r="J1151" s="29">
        <v>4.9800000000000004</v>
      </c>
      <c r="K1151" s="29">
        <v>4.9800000000000004</v>
      </c>
      <c r="L1151" s="29" t="s">
        <v>383</v>
      </c>
      <c r="M1151" s="29">
        <v>1</v>
      </c>
      <c r="N1151" s="29">
        <v>0.5</v>
      </c>
      <c r="O1151" s="29">
        <v>1</v>
      </c>
      <c r="P1151" s="29">
        <v>4.9800000000000004</v>
      </c>
      <c r="Q1151" s="29" t="s">
        <v>384</v>
      </c>
    </row>
    <row r="1152" spans="1:17" x14ac:dyDescent="0.3">
      <c r="A1152" s="29" t="s">
        <v>768</v>
      </c>
      <c r="B1152" s="29">
        <v>1</v>
      </c>
      <c r="C1152" s="29" t="s">
        <v>387</v>
      </c>
      <c r="D1152" s="29" t="s">
        <v>1045</v>
      </c>
      <c r="E1152" s="29">
        <v>500</v>
      </c>
      <c r="G1152" s="29" t="s">
        <v>292</v>
      </c>
      <c r="H1152" s="29">
        <v>1</v>
      </c>
      <c r="I1152" s="29">
        <v>9.9600000000000009</v>
      </c>
      <c r="J1152" s="29">
        <v>4.9800000000000004</v>
      </c>
      <c r="K1152" s="29">
        <v>4.9800000000000004</v>
      </c>
      <c r="L1152" s="29" t="s">
        <v>383</v>
      </c>
      <c r="M1152" s="29">
        <v>1</v>
      </c>
      <c r="N1152" s="29">
        <v>0.5</v>
      </c>
      <c r="O1152" s="29">
        <v>1</v>
      </c>
      <c r="P1152" s="29">
        <v>4.9800000000000004</v>
      </c>
      <c r="Q1152" s="29" t="s">
        <v>384</v>
      </c>
    </row>
    <row r="1153" spans="1:17" x14ac:dyDescent="0.3">
      <c r="A1153" s="29" t="s">
        <v>768</v>
      </c>
      <c r="B1153" s="29">
        <v>1</v>
      </c>
      <c r="C1153" s="29" t="s">
        <v>387</v>
      </c>
      <c r="D1153" s="29" t="s">
        <v>1045</v>
      </c>
      <c r="E1153" s="29">
        <v>500</v>
      </c>
      <c r="G1153" s="29" t="s">
        <v>292</v>
      </c>
      <c r="H1153" s="29">
        <v>1</v>
      </c>
      <c r="I1153" s="29">
        <v>9.9600000000000009</v>
      </c>
      <c r="J1153" s="29">
        <v>4.9800000000000004</v>
      </c>
      <c r="K1153" s="29">
        <v>4.9800000000000004</v>
      </c>
      <c r="L1153" s="29" t="s">
        <v>383</v>
      </c>
      <c r="M1153" s="29">
        <v>1</v>
      </c>
      <c r="N1153" s="29">
        <v>0.5</v>
      </c>
      <c r="O1153" s="29">
        <v>1</v>
      </c>
      <c r="P1153" s="29">
        <v>4.9800000000000004</v>
      </c>
      <c r="Q1153" s="29" t="s">
        <v>384</v>
      </c>
    </row>
    <row r="1154" spans="1:17" x14ac:dyDescent="0.3">
      <c r="A1154" s="29" t="s">
        <v>768</v>
      </c>
      <c r="B1154" s="29">
        <v>1</v>
      </c>
      <c r="C1154" s="29" t="s">
        <v>387</v>
      </c>
      <c r="D1154" s="29" t="s">
        <v>1045</v>
      </c>
      <c r="E1154" s="29">
        <v>500</v>
      </c>
      <c r="G1154" s="29" t="s">
        <v>292</v>
      </c>
      <c r="H1154" s="29">
        <v>1</v>
      </c>
      <c r="I1154" s="29">
        <v>9.9600000000000009</v>
      </c>
      <c r="J1154" s="29">
        <v>4.9800000000000004</v>
      </c>
      <c r="K1154" s="29">
        <v>4.9800000000000004</v>
      </c>
      <c r="L1154" s="29" t="s">
        <v>383</v>
      </c>
      <c r="M1154" s="29">
        <v>1</v>
      </c>
      <c r="N1154" s="29">
        <v>0.5</v>
      </c>
      <c r="O1154" s="29">
        <v>1</v>
      </c>
      <c r="P1154" s="29">
        <v>4.9800000000000004</v>
      </c>
      <c r="Q1154" s="29" t="s">
        <v>384</v>
      </c>
    </row>
    <row r="1155" spans="1:17" x14ac:dyDescent="0.3">
      <c r="A1155" s="29" t="s">
        <v>768</v>
      </c>
      <c r="B1155" s="29">
        <v>1</v>
      </c>
      <c r="C1155" s="29" t="s">
        <v>387</v>
      </c>
      <c r="D1155" s="29" t="s">
        <v>1045</v>
      </c>
      <c r="E1155" s="29">
        <v>500</v>
      </c>
      <c r="G1155" s="29" t="s">
        <v>292</v>
      </c>
      <c r="H1155" s="29">
        <v>1</v>
      </c>
      <c r="I1155" s="29">
        <v>9.9600000000000009</v>
      </c>
      <c r="J1155" s="29">
        <v>4.9800000000000004</v>
      </c>
      <c r="K1155" s="29">
        <v>4.9800000000000004</v>
      </c>
      <c r="L1155" s="29" t="s">
        <v>383</v>
      </c>
      <c r="M1155" s="29">
        <v>1</v>
      </c>
      <c r="N1155" s="29">
        <v>0.5</v>
      </c>
      <c r="O1155" s="29">
        <v>1</v>
      </c>
      <c r="P1155" s="29">
        <v>4.9800000000000004</v>
      </c>
      <c r="Q1155" s="29" t="s">
        <v>384</v>
      </c>
    </row>
    <row r="1156" spans="1:17" x14ac:dyDescent="0.3">
      <c r="A1156" s="29" t="s">
        <v>768</v>
      </c>
      <c r="B1156" s="29">
        <v>1</v>
      </c>
      <c r="C1156" s="29" t="s">
        <v>387</v>
      </c>
      <c r="D1156" s="29" t="s">
        <v>1045</v>
      </c>
      <c r="E1156" s="29">
        <v>500</v>
      </c>
      <c r="G1156" s="29" t="s">
        <v>292</v>
      </c>
      <c r="H1156" s="29">
        <v>1</v>
      </c>
      <c r="I1156" s="29">
        <v>9.9600000000000009</v>
      </c>
      <c r="J1156" s="29">
        <v>4.9800000000000004</v>
      </c>
      <c r="K1156" s="29">
        <v>4.9800000000000004</v>
      </c>
      <c r="L1156" s="29" t="s">
        <v>383</v>
      </c>
      <c r="M1156" s="29">
        <v>1</v>
      </c>
      <c r="N1156" s="29">
        <v>0.5</v>
      </c>
      <c r="O1156" s="29">
        <v>1</v>
      </c>
      <c r="P1156" s="29">
        <v>4.9800000000000004</v>
      </c>
      <c r="Q1156" s="29" t="s">
        <v>384</v>
      </c>
    </row>
    <row r="1157" spans="1:17" x14ac:dyDescent="0.3">
      <c r="A1157" s="29" t="s">
        <v>768</v>
      </c>
      <c r="B1157" s="29">
        <v>1</v>
      </c>
      <c r="C1157" s="29" t="s">
        <v>387</v>
      </c>
      <c r="D1157" s="29" t="s">
        <v>1045</v>
      </c>
      <c r="E1157" s="29">
        <v>500</v>
      </c>
      <c r="G1157" s="29" t="s">
        <v>292</v>
      </c>
      <c r="H1157" s="29">
        <v>1</v>
      </c>
      <c r="I1157" s="29">
        <v>9.9600000000000009</v>
      </c>
      <c r="J1157" s="29">
        <v>4.9800000000000004</v>
      </c>
      <c r="K1157" s="29">
        <v>4.9800000000000004</v>
      </c>
      <c r="L1157" s="29" t="s">
        <v>383</v>
      </c>
      <c r="M1157" s="29">
        <v>1</v>
      </c>
      <c r="N1157" s="29">
        <v>0.5</v>
      </c>
      <c r="O1157" s="29">
        <v>1</v>
      </c>
      <c r="P1157" s="29">
        <v>4.9800000000000004</v>
      </c>
      <c r="Q1157" s="29" t="s">
        <v>384</v>
      </c>
    </row>
    <row r="1158" spans="1:17" x14ac:dyDescent="0.3">
      <c r="A1158" s="29" t="s">
        <v>768</v>
      </c>
      <c r="B1158" s="29">
        <v>1</v>
      </c>
      <c r="C1158" s="29" t="s">
        <v>387</v>
      </c>
      <c r="D1158" s="29" t="s">
        <v>1045</v>
      </c>
      <c r="E1158" s="29">
        <v>500</v>
      </c>
      <c r="G1158" s="29" t="s">
        <v>292</v>
      </c>
      <c r="H1158" s="29">
        <v>1</v>
      </c>
      <c r="I1158" s="29">
        <v>9.9600000000000009</v>
      </c>
      <c r="J1158" s="29">
        <v>4.9800000000000004</v>
      </c>
      <c r="K1158" s="29">
        <v>4.9800000000000004</v>
      </c>
      <c r="L1158" s="29" t="s">
        <v>383</v>
      </c>
      <c r="M1158" s="29">
        <v>1</v>
      </c>
      <c r="N1158" s="29">
        <v>0.5</v>
      </c>
      <c r="O1158" s="29">
        <v>1</v>
      </c>
      <c r="P1158" s="29">
        <v>4.9800000000000004</v>
      </c>
      <c r="Q1158" s="29" t="s">
        <v>384</v>
      </c>
    </row>
    <row r="1159" spans="1:17" x14ac:dyDescent="0.3">
      <c r="A1159" s="29" t="s">
        <v>768</v>
      </c>
      <c r="B1159" s="29">
        <v>1</v>
      </c>
      <c r="C1159" s="29" t="s">
        <v>387</v>
      </c>
      <c r="D1159" s="29" t="s">
        <v>1045</v>
      </c>
      <c r="E1159" s="29">
        <v>500</v>
      </c>
      <c r="G1159" s="29" t="s">
        <v>292</v>
      </c>
      <c r="H1159" s="29">
        <v>1</v>
      </c>
      <c r="I1159" s="29">
        <v>9.9600000000000009</v>
      </c>
      <c r="J1159" s="29">
        <v>4.9800000000000004</v>
      </c>
      <c r="K1159" s="29">
        <v>4.9800000000000004</v>
      </c>
      <c r="L1159" s="29" t="s">
        <v>383</v>
      </c>
      <c r="M1159" s="29">
        <v>1</v>
      </c>
      <c r="N1159" s="29">
        <v>0.5</v>
      </c>
      <c r="O1159" s="29">
        <v>1</v>
      </c>
      <c r="P1159" s="29">
        <v>4.9800000000000004</v>
      </c>
      <c r="Q1159" s="29" t="s">
        <v>384</v>
      </c>
    </row>
    <row r="1160" spans="1:17" x14ac:dyDescent="0.3">
      <c r="A1160" s="29" t="s">
        <v>769</v>
      </c>
      <c r="B1160" s="29">
        <v>1</v>
      </c>
      <c r="C1160" s="29" t="s">
        <v>387</v>
      </c>
      <c r="D1160" s="29" t="s">
        <v>1045</v>
      </c>
      <c r="E1160" s="29">
        <v>600</v>
      </c>
      <c r="G1160" s="29" t="s">
        <v>292</v>
      </c>
      <c r="H1160" s="29">
        <v>1</v>
      </c>
      <c r="I1160" s="29">
        <v>9.9600000000000009</v>
      </c>
      <c r="J1160" s="29">
        <v>5.976</v>
      </c>
      <c r="K1160" s="29">
        <v>5.976</v>
      </c>
      <c r="L1160" s="29" t="s">
        <v>383</v>
      </c>
      <c r="M1160" s="29">
        <v>1</v>
      </c>
      <c r="N1160" s="29">
        <v>0.6</v>
      </c>
      <c r="O1160" s="29">
        <v>1</v>
      </c>
      <c r="P1160" s="29">
        <v>5.976</v>
      </c>
      <c r="Q1160" s="29" t="s">
        <v>384</v>
      </c>
    </row>
    <row r="1161" spans="1:17" x14ac:dyDescent="0.3">
      <c r="A1161" s="29" t="s">
        <v>769</v>
      </c>
      <c r="B1161" s="29">
        <v>1</v>
      </c>
      <c r="C1161" s="29" t="s">
        <v>387</v>
      </c>
      <c r="D1161" s="29" t="s">
        <v>1045</v>
      </c>
      <c r="E1161" s="29">
        <v>600</v>
      </c>
      <c r="G1161" s="29" t="s">
        <v>292</v>
      </c>
      <c r="H1161" s="29">
        <v>1</v>
      </c>
      <c r="I1161" s="29">
        <v>9.9600000000000009</v>
      </c>
      <c r="J1161" s="29">
        <v>5.976</v>
      </c>
      <c r="K1161" s="29">
        <v>5.976</v>
      </c>
      <c r="L1161" s="29" t="s">
        <v>383</v>
      </c>
      <c r="M1161" s="29">
        <v>1</v>
      </c>
      <c r="N1161" s="29">
        <v>0.6</v>
      </c>
      <c r="O1161" s="29">
        <v>1</v>
      </c>
      <c r="P1161" s="29">
        <v>5.976</v>
      </c>
      <c r="Q1161" s="29" t="s">
        <v>384</v>
      </c>
    </row>
    <row r="1162" spans="1:17" x14ac:dyDescent="0.3">
      <c r="A1162" s="29" t="s">
        <v>769</v>
      </c>
      <c r="B1162" s="29">
        <v>1</v>
      </c>
      <c r="C1162" s="29" t="s">
        <v>387</v>
      </c>
      <c r="D1162" s="29" t="s">
        <v>1045</v>
      </c>
      <c r="E1162" s="29">
        <v>600</v>
      </c>
      <c r="G1162" s="29" t="s">
        <v>292</v>
      </c>
      <c r="H1162" s="29">
        <v>1</v>
      </c>
      <c r="I1162" s="29">
        <v>9.9600000000000009</v>
      </c>
      <c r="J1162" s="29">
        <v>5.976</v>
      </c>
      <c r="K1162" s="29">
        <v>5.976</v>
      </c>
      <c r="L1162" s="29" t="s">
        <v>383</v>
      </c>
      <c r="M1162" s="29">
        <v>1</v>
      </c>
      <c r="N1162" s="29">
        <v>0.6</v>
      </c>
      <c r="O1162" s="29">
        <v>1</v>
      </c>
      <c r="P1162" s="29">
        <v>5.976</v>
      </c>
      <c r="Q1162" s="29" t="s">
        <v>384</v>
      </c>
    </row>
    <row r="1163" spans="1:17" x14ac:dyDescent="0.3">
      <c r="A1163" s="29" t="s">
        <v>769</v>
      </c>
      <c r="B1163" s="29">
        <v>1</v>
      </c>
      <c r="C1163" s="29" t="s">
        <v>387</v>
      </c>
      <c r="D1163" s="29" t="s">
        <v>1045</v>
      </c>
      <c r="E1163" s="29">
        <v>600</v>
      </c>
      <c r="G1163" s="29" t="s">
        <v>292</v>
      </c>
      <c r="H1163" s="29">
        <v>1</v>
      </c>
      <c r="I1163" s="29">
        <v>9.9600000000000009</v>
      </c>
      <c r="J1163" s="29">
        <v>5.976</v>
      </c>
      <c r="K1163" s="29">
        <v>5.976</v>
      </c>
      <c r="L1163" s="29" t="s">
        <v>383</v>
      </c>
      <c r="M1163" s="29">
        <v>1</v>
      </c>
      <c r="N1163" s="29">
        <v>0.6</v>
      </c>
      <c r="O1163" s="29">
        <v>1</v>
      </c>
      <c r="P1163" s="29">
        <v>5.976</v>
      </c>
      <c r="Q1163" s="29" t="s">
        <v>384</v>
      </c>
    </row>
    <row r="1164" spans="1:17" x14ac:dyDescent="0.3">
      <c r="A1164" s="29" t="s">
        <v>769</v>
      </c>
      <c r="B1164" s="29">
        <v>1</v>
      </c>
      <c r="C1164" s="29" t="s">
        <v>387</v>
      </c>
      <c r="D1164" s="29" t="s">
        <v>1045</v>
      </c>
      <c r="E1164" s="29">
        <v>600</v>
      </c>
      <c r="G1164" s="29" t="s">
        <v>292</v>
      </c>
      <c r="H1164" s="29">
        <v>1</v>
      </c>
      <c r="I1164" s="29">
        <v>9.9600000000000009</v>
      </c>
      <c r="J1164" s="29">
        <v>5.976</v>
      </c>
      <c r="K1164" s="29">
        <v>5.976</v>
      </c>
      <c r="L1164" s="29" t="s">
        <v>383</v>
      </c>
      <c r="M1164" s="29">
        <v>1</v>
      </c>
      <c r="N1164" s="29">
        <v>0.6</v>
      </c>
      <c r="O1164" s="29">
        <v>1</v>
      </c>
      <c r="P1164" s="29">
        <v>5.976</v>
      </c>
      <c r="Q1164" s="29" t="s">
        <v>384</v>
      </c>
    </row>
    <row r="1165" spans="1:17" x14ac:dyDescent="0.3">
      <c r="A1165" s="29" t="s">
        <v>770</v>
      </c>
      <c r="B1165" s="29">
        <v>1</v>
      </c>
      <c r="C1165" s="29" t="s">
        <v>387</v>
      </c>
      <c r="D1165" s="29" t="s">
        <v>1045</v>
      </c>
      <c r="E1165" s="29">
        <v>700</v>
      </c>
      <c r="G1165" s="29" t="s">
        <v>292</v>
      </c>
      <c r="H1165" s="29">
        <v>1</v>
      </c>
      <c r="I1165" s="29">
        <v>9.9600000000000009</v>
      </c>
      <c r="J1165" s="29">
        <v>6.9720000000000004</v>
      </c>
      <c r="K1165" s="29">
        <v>6.9720000000000004</v>
      </c>
      <c r="L1165" s="29" t="s">
        <v>383</v>
      </c>
      <c r="M1165" s="29">
        <v>1</v>
      </c>
      <c r="N1165" s="29">
        <v>0.7</v>
      </c>
      <c r="O1165" s="29">
        <v>1</v>
      </c>
      <c r="P1165" s="29">
        <v>6.9720000000000004</v>
      </c>
      <c r="Q1165" s="29" t="s">
        <v>384</v>
      </c>
    </row>
    <row r="1166" spans="1:17" x14ac:dyDescent="0.3">
      <c r="A1166" s="29" t="s">
        <v>770</v>
      </c>
      <c r="B1166" s="29">
        <v>1</v>
      </c>
      <c r="C1166" s="29" t="s">
        <v>387</v>
      </c>
      <c r="D1166" s="29" t="s">
        <v>1045</v>
      </c>
      <c r="E1166" s="29">
        <v>700</v>
      </c>
      <c r="G1166" s="29" t="s">
        <v>292</v>
      </c>
      <c r="H1166" s="29">
        <v>1</v>
      </c>
      <c r="I1166" s="29">
        <v>9.9600000000000009</v>
      </c>
      <c r="J1166" s="29">
        <v>6.9720000000000004</v>
      </c>
      <c r="K1166" s="29">
        <v>6.9720000000000004</v>
      </c>
      <c r="L1166" s="29" t="s">
        <v>383</v>
      </c>
      <c r="M1166" s="29">
        <v>1</v>
      </c>
      <c r="N1166" s="29">
        <v>0.7</v>
      </c>
      <c r="O1166" s="29">
        <v>1</v>
      </c>
      <c r="P1166" s="29">
        <v>6.9720000000000004</v>
      </c>
      <c r="Q1166" s="29" t="s">
        <v>384</v>
      </c>
    </row>
    <row r="1167" spans="1:17" x14ac:dyDescent="0.3">
      <c r="A1167" s="29" t="s">
        <v>770</v>
      </c>
      <c r="B1167" s="29">
        <v>1</v>
      </c>
      <c r="C1167" s="29" t="s">
        <v>387</v>
      </c>
      <c r="D1167" s="29" t="s">
        <v>1045</v>
      </c>
      <c r="E1167" s="29">
        <v>700</v>
      </c>
      <c r="G1167" s="29" t="s">
        <v>292</v>
      </c>
      <c r="H1167" s="29">
        <v>1</v>
      </c>
      <c r="I1167" s="29">
        <v>9.9600000000000009</v>
      </c>
      <c r="J1167" s="29">
        <v>6.9720000000000004</v>
      </c>
      <c r="K1167" s="29">
        <v>6.9720000000000004</v>
      </c>
      <c r="L1167" s="29" t="s">
        <v>383</v>
      </c>
      <c r="M1167" s="29">
        <v>1</v>
      </c>
      <c r="N1167" s="29">
        <v>0.7</v>
      </c>
      <c r="O1167" s="29">
        <v>1</v>
      </c>
      <c r="P1167" s="29">
        <v>6.9720000000000004</v>
      </c>
      <c r="Q1167" s="29" t="s">
        <v>384</v>
      </c>
    </row>
    <row r="1168" spans="1:17" x14ac:dyDescent="0.3">
      <c r="A1168" s="29" t="s">
        <v>770</v>
      </c>
      <c r="B1168" s="29">
        <v>1</v>
      </c>
      <c r="C1168" s="29" t="s">
        <v>387</v>
      </c>
      <c r="D1168" s="29" t="s">
        <v>1045</v>
      </c>
      <c r="E1168" s="29">
        <v>700</v>
      </c>
      <c r="G1168" s="29" t="s">
        <v>292</v>
      </c>
      <c r="H1168" s="29">
        <v>1</v>
      </c>
      <c r="I1168" s="29">
        <v>9.9600000000000009</v>
      </c>
      <c r="J1168" s="29">
        <v>6.9720000000000004</v>
      </c>
      <c r="K1168" s="29">
        <v>6.9720000000000004</v>
      </c>
      <c r="L1168" s="29" t="s">
        <v>383</v>
      </c>
      <c r="M1168" s="29">
        <v>1</v>
      </c>
      <c r="N1168" s="29">
        <v>0.7</v>
      </c>
      <c r="O1168" s="29">
        <v>1</v>
      </c>
      <c r="P1168" s="29">
        <v>6.9720000000000004</v>
      </c>
      <c r="Q1168" s="29" t="s">
        <v>384</v>
      </c>
    </row>
    <row r="1169" spans="1:17" x14ac:dyDescent="0.3">
      <c r="A1169" s="29" t="s">
        <v>770</v>
      </c>
      <c r="B1169" s="29">
        <v>1</v>
      </c>
      <c r="C1169" s="29" t="s">
        <v>387</v>
      </c>
      <c r="D1169" s="29" t="s">
        <v>1045</v>
      </c>
      <c r="E1169" s="29">
        <v>700</v>
      </c>
      <c r="G1169" s="29" t="s">
        <v>292</v>
      </c>
      <c r="H1169" s="29">
        <v>1</v>
      </c>
      <c r="I1169" s="29">
        <v>9.9600000000000009</v>
      </c>
      <c r="J1169" s="29">
        <v>6.9720000000000004</v>
      </c>
      <c r="K1169" s="29">
        <v>6.9720000000000004</v>
      </c>
      <c r="L1169" s="29" t="s">
        <v>383</v>
      </c>
      <c r="M1169" s="29">
        <v>1</v>
      </c>
      <c r="N1169" s="29">
        <v>0.7</v>
      </c>
      <c r="O1169" s="29">
        <v>1</v>
      </c>
      <c r="P1169" s="29">
        <v>6.9720000000000004</v>
      </c>
      <c r="Q1169" s="29" t="s">
        <v>384</v>
      </c>
    </row>
    <row r="1170" spans="1:17" x14ac:dyDescent="0.3">
      <c r="A1170" s="29" t="s">
        <v>770</v>
      </c>
      <c r="B1170" s="29">
        <v>1</v>
      </c>
      <c r="C1170" s="29" t="s">
        <v>387</v>
      </c>
      <c r="D1170" s="29" t="s">
        <v>1045</v>
      </c>
      <c r="E1170" s="29">
        <v>700</v>
      </c>
      <c r="G1170" s="29" t="s">
        <v>292</v>
      </c>
      <c r="H1170" s="29">
        <v>1</v>
      </c>
      <c r="I1170" s="29">
        <v>9.9600000000000009</v>
      </c>
      <c r="J1170" s="29">
        <v>6.9720000000000004</v>
      </c>
      <c r="K1170" s="29">
        <v>6.9720000000000004</v>
      </c>
      <c r="L1170" s="29" t="s">
        <v>383</v>
      </c>
      <c r="M1170" s="29">
        <v>1</v>
      </c>
      <c r="N1170" s="29">
        <v>0.7</v>
      </c>
      <c r="O1170" s="29">
        <v>1</v>
      </c>
      <c r="P1170" s="29">
        <v>6.9720000000000004</v>
      </c>
      <c r="Q1170" s="29" t="s">
        <v>384</v>
      </c>
    </row>
    <row r="1171" spans="1:17" x14ac:dyDescent="0.3">
      <c r="A1171" s="29" t="s">
        <v>770</v>
      </c>
      <c r="B1171" s="29">
        <v>1</v>
      </c>
      <c r="C1171" s="29" t="s">
        <v>387</v>
      </c>
      <c r="D1171" s="29" t="s">
        <v>1045</v>
      </c>
      <c r="E1171" s="29">
        <v>700</v>
      </c>
      <c r="G1171" s="29" t="s">
        <v>292</v>
      </c>
      <c r="H1171" s="29">
        <v>1</v>
      </c>
      <c r="I1171" s="29">
        <v>9.9600000000000009</v>
      </c>
      <c r="J1171" s="29">
        <v>6.9720000000000004</v>
      </c>
      <c r="K1171" s="29">
        <v>6.9720000000000004</v>
      </c>
      <c r="L1171" s="29" t="s">
        <v>383</v>
      </c>
      <c r="M1171" s="29">
        <v>1</v>
      </c>
      <c r="N1171" s="29">
        <v>0.7</v>
      </c>
      <c r="O1171" s="29">
        <v>1</v>
      </c>
      <c r="P1171" s="29">
        <v>6.9720000000000004</v>
      </c>
      <c r="Q1171" s="29" t="s">
        <v>384</v>
      </c>
    </row>
    <row r="1172" spans="1:17" x14ac:dyDescent="0.3">
      <c r="A1172" s="29" t="s">
        <v>770</v>
      </c>
      <c r="B1172" s="29">
        <v>1</v>
      </c>
      <c r="C1172" s="29" t="s">
        <v>387</v>
      </c>
      <c r="D1172" s="29" t="s">
        <v>1045</v>
      </c>
      <c r="E1172" s="29">
        <v>700</v>
      </c>
      <c r="G1172" s="29" t="s">
        <v>292</v>
      </c>
      <c r="H1172" s="29">
        <v>1</v>
      </c>
      <c r="I1172" s="29">
        <v>9.9600000000000009</v>
      </c>
      <c r="J1172" s="29">
        <v>6.9720000000000004</v>
      </c>
      <c r="K1172" s="29">
        <v>6.9720000000000004</v>
      </c>
      <c r="L1172" s="29" t="s">
        <v>383</v>
      </c>
      <c r="M1172" s="29">
        <v>1</v>
      </c>
      <c r="N1172" s="29">
        <v>0.7</v>
      </c>
      <c r="O1172" s="29">
        <v>1</v>
      </c>
      <c r="P1172" s="29">
        <v>6.9720000000000004</v>
      </c>
      <c r="Q1172" s="29" t="s">
        <v>384</v>
      </c>
    </row>
    <row r="1173" spans="1:17" x14ac:dyDescent="0.3">
      <c r="A1173" s="29" t="s">
        <v>770</v>
      </c>
      <c r="B1173" s="29">
        <v>1</v>
      </c>
      <c r="C1173" s="29" t="s">
        <v>387</v>
      </c>
      <c r="D1173" s="29" t="s">
        <v>1045</v>
      </c>
      <c r="E1173" s="29">
        <v>700</v>
      </c>
      <c r="G1173" s="29" t="s">
        <v>292</v>
      </c>
      <c r="H1173" s="29">
        <v>1</v>
      </c>
      <c r="I1173" s="29">
        <v>9.9600000000000009</v>
      </c>
      <c r="J1173" s="29">
        <v>6.9720000000000004</v>
      </c>
      <c r="K1173" s="29">
        <v>6.9720000000000004</v>
      </c>
      <c r="L1173" s="29" t="s">
        <v>383</v>
      </c>
      <c r="M1173" s="29">
        <v>1</v>
      </c>
      <c r="N1173" s="29">
        <v>0.7</v>
      </c>
      <c r="O1173" s="29">
        <v>1</v>
      </c>
      <c r="P1173" s="29">
        <v>6.9720000000000004</v>
      </c>
      <c r="Q1173" s="29" t="s">
        <v>384</v>
      </c>
    </row>
    <row r="1174" spans="1:17" x14ac:dyDescent="0.3">
      <c r="A1174" s="29" t="s">
        <v>770</v>
      </c>
      <c r="B1174" s="29">
        <v>1</v>
      </c>
      <c r="C1174" s="29" t="s">
        <v>387</v>
      </c>
      <c r="D1174" s="29" t="s">
        <v>1045</v>
      </c>
      <c r="E1174" s="29">
        <v>700</v>
      </c>
      <c r="G1174" s="29" t="s">
        <v>292</v>
      </c>
      <c r="H1174" s="29">
        <v>1</v>
      </c>
      <c r="I1174" s="29">
        <v>9.9600000000000009</v>
      </c>
      <c r="J1174" s="29">
        <v>6.9720000000000004</v>
      </c>
      <c r="K1174" s="29">
        <v>6.9720000000000004</v>
      </c>
      <c r="L1174" s="29" t="s">
        <v>383</v>
      </c>
      <c r="M1174" s="29">
        <v>1</v>
      </c>
      <c r="N1174" s="29">
        <v>0.7</v>
      </c>
      <c r="O1174" s="29">
        <v>1</v>
      </c>
      <c r="P1174" s="29">
        <v>6.9720000000000004</v>
      </c>
      <c r="Q1174" s="29" t="s">
        <v>384</v>
      </c>
    </row>
    <row r="1175" spans="1:17" x14ac:dyDescent="0.3">
      <c r="A1175" s="29" t="s">
        <v>771</v>
      </c>
      <c r="B1175" s="29">
        <v>1</v>
      </c>
      <c r="C1175" s="29" t="s">
        <v>387</v>
      </c>
      <c r="D1175" s="29" t="s">
        <v>1045</v>
      </c>
      <c r="E1175" s="29">
        <v>800</v>
      </c>
      <c r="G1175" s="29" t="s">
        <v>292</v>
      </c>
      <c r="H1175" s="29">
        <v>1</v>
      </c>
      <c r="I1175" s="29">
        <v>9.9600000000000009</v>
      </c>
      <c r="J1175" s="29">
        <v>7.9680000000000009</v>
      </c>
      <c r="K1175" s="29">
        <v>7.9680000000000009</v>
      </c>
      <c r="L1175" s="29" t="s">
        <v>383</v>
      </c>
      <c r="M1175" s="29">
        <v>1</v>
      </c>
      <c r="N1175" s="29">
        <v>0.8</v>
      </c>
      <c r="O1175" s="29">
        <v>1</v>
      </c>
      <c r="P1175" s="29">
        <v>7.9680000000000009</v>
      </c>
      <c r="Q1175" s="29" t="s">
        <v>384</v>
      </c>
    </row>
    <row r="1176" spans="1:17" x14ac:dyDescent="0.3">
      <c r="A1176" s="29" t="s">
        <v>771</v>
      </c>
      <c r="B1176" s="29">
        <v>1</v>
      </c>
      <c r="C1176" s="29" t="s">
        <v>387</v>
      </c>
      <c r="D1176" s="29" t="s">
        <v>1045</v>
      </c>
      <c r="E1176" s="29">
        <v>800</v>
      </c>
      <c r="G1176" s="29" t="s">
        <v>292</v>
      </c>
      <c r="H1176" s="29">
        <v>1</v>
      </c>
      <c r="I1176" s="29">
        <v>9.9600000000000009</v>
      </c>
      <c r="J1176" s="29">
        <v>7.9680000000000009</v>
      </c>
      <c r="K1176" s="29">
        <v>7.9680000000000009</v>
      </c>
      <c r="L1176" s="29" t="s">
        <v>383</v>
      </c>
      <c r="M1176" s="29">
        <v>1</v>
      </c>
      <c r="N1176" s="29">
        <v>0.8</v>
      </c>
      <c r="O1176" s="29">
        <v>1</v>
      </c>
      <c r="P1176" s="29">
        <v>7.9680000000000009</v>
      </c>
      <c r="Q1176" s="29" t="s">
        <v>384</v>
      </c>
    </row>
    <row r="1177" spans="1:17" x14ac:dyDescent="0.3">
      <c r="A1177" s="29" t="s">
        <v>771</v>
      </c>
      <c r="B1177" s="29">
        <v>1</v>
      </c>
      <c r="C1177" s="29" t="s">
        <v>387</v>
      </c>
      <c r="D1177" s="29" t="s">
        <v>1045</v>
      </c>
      <c r="E1177" s="29">
        <v>800</v>
      </c>
      <c r="G1177" s="29" t="s">
        <v>292</v>
      </c>
      <c r="H1177" s="29">
        <v>1</v>
      </c>
      <c r="I1177" s="29">
        <v>9.9600000000000009</v>
      </c>
      <c r="J1177" s="29">
        <v>7.9680000000000009</v>
      </c>
      <c r="K1177" s="29">
        <v>7.9680000000000009</v>
      </c>
      <c r="L1177" s="29" t="s">
        <v>383</v>
      </c>
      <c r="M1177" s="29">
        <v>1</v>
      </c>
      <c r="N1177" s="29">
        <v>0.8</v>
      </c>
      <c r="O1177" s="29">
        <v>1</v>
      </c>
      <c r="P1177" s="29">
        <v>7.9680000000000009</v>
      </c>
      <c r="Q1177" s="29" t="s">
        <v>384</v>
      </c>
    </row>
    <row r="1178" spans="1:17" x14ac:dyDescent="0.3">
      <c r="A1178" s="29" t="s">
        <v>771</v>
      </c>
      <c r="B1178" s="29">
        <v>1</v>
      </c>
      <c r="C1178" s="29" t="s">
        <v>387</v>
      </c>
      <c r="D1178" s="29" t="s">
        <v>1045</v>
      </c>
      <c r="E1178" s="29">
        <v>800</v>
      </c>
      <c r="G1178" s="29" t="s">
        <v>292</v>
      </c>
      <c r="H1178" s="29">
        <v>1</v>
      </c>
      <c r="I1178" s="29">
        <v>9.9600000000000009</v>
      </c>
      <c r="J1178" s="29">
        <v>7.9680000000000009</v>
      </c>
      <c r="K1178" s="29">
        <v>7.9680000000000009</v>
      </c>
      <c r="L1178" s="29" t="s">
        <v>383</v>
      </c>
      <c r="M1178" s="29">
        <v>1</v>
      </c>
      <c r="N1178" s="29">
        <v>0.8</v>
      </c>
      <c r="O1178" s="29">
        <v>1</v>
      </c>
      <c r="P1178" s="29">
        <v>7.9680000000000009</v>
      </c>
      <c r="Q1178" s="29" t="s">
        <v>384</v>
      </c>
    </row>
    <row r="1179" spans="1:17" x14ac:dyDescent="0.3">
      <c r="A1179" s="29" t="s">
        <v>771</v>
      </c>
      <c r="B1179" s="29">
        <v>1</v>
      </c>
      <c r="C1179" s="29" t="s">
        <v>387</v>
      </c>
      <c r="D1179" s="29" t="s">
        <v>1045</v>
      </c>
      <c r="E1179" s="29">
        <v>800</v>
      </c>
      <c r="G1179" s="29" t="s">
        <v>292</v>
      </c>
      <c r="H1179" s="29">
        <v>1</v>
      </c>
      <c r="I1179" s="29">
        <v>9.9600000000000009</v>
      </c>
      <c r="J1179" s="29">
        <v>7.9680000000000009</v>
      </c>
      <c r="K1179" s="29">
        <v>7.9680000000000009</v>
      </c>
      <c r="L1179" s="29" t="s">
        <v>383</v>
      </c>
      <c r="M1179" s="29">
        <v>1</v>
      </c>
      <c r="N1179" s="29">
        <v>0.8</v>
      </c>
      <c r="O1179" s="29">
        <v>1</v>
      </c>
      <c r="P1179" s="29">
        <v>7.9680000000000009</v>
      </c>
      <c r="Q1179" s="29" t="s">
        <v>384</v>
      </c>
    </row>
    <row r="1180" spans="1:17" x14ac:dyDescent="0.3">
      <c r="A1180" s="29" t="s">
        <v>771</v>
      </c>
      <c r="B1180" s="29">
        <v>1</v>
      </c>
      <c r="C1180" s="29" t="s">
        <v>387</v>
      </c>
      <c r="D1180" s="29" t="s">
        <v>1045</v>
      </c>
      <c r="E1180" s="29">
        <v>800</v>
      </c>
      <c r="G1180" s="29" t="s">
        <v>292</v>
      </c>
      <c r="H1180" s="29">
        <v>1</v>
      </c>
      <c r="I1180" s="29">
        <v>9.9600000000000009</v>
      </c>
      <c r="J1180" s="29">
        <v>7.9680000000000009</v>
      </c>
      <c r="K1180" s="29">
        <v>7.9680000000000009</v>
      </c>
      <c r="L1180" s="29" t="s">
        <v>383</v>
      </c>
      <c r="M1180" s="29">
        <v>1</v>
      </c>
      <c r="N1180" s="29">
        <v>0.8</v>
      </c>
      <c r="O1180" s="29">
        <v>1</v>
      </c>
      <c r="P1180" s="29">
        <v>7.9680000000000009</v>
      </c>
      <c r="Q1180" s="29" t="s">
        <v>384</v>
      </c>
    </row>
    <row r="1181" spans="1:17" x14ac:dyDescent="0.3">
      <c r="A1181" s="29" t="s">
        <v>772</v>
      </c>
      <c r="B1181" s="29">
        <v>1</v>
      </c>
      <c r="C1181" s="29" t="s">
        <v>1029</v>
      </c>
      <c r="D1181" s="29" t="s">
        <v>1053</v>
      </c>
      <c r="E1181" s="29">
        <v>1145</v>
      </c>
      <c r="G1181" s="29" t="s">
        <v>292</v>
      </c>
      <c r="H1181" s="29">
        <v>1</v>
      </c>
      <c r="I1181" s="29">
        <v>9.36</v>
      </c>
      <c r="J1181" s="29">
        <v>10.7172</v>
      </c>
      <c r="K1181" s="29">
        <v>10.7172</v>
      </c>
      <c r="L1181" s="29" t="s">
        <v>383</v>
      </c>
      <c r="M1181" s="29">
        <v>1</v>
      </c>
      <c r="N1181" s="29">
        <v>1.145</v>
      </c>
      <c r="O1181" s="29">
        <v>1</v>
      </c>
      <c r="P1181" s="29">
        <v>10.7172</v>
      </c>
      <c r="Q1181" s="29" t="s">
        <v>384</v>
      </c>
    </row>
    <row r="1182" spans="1:17" x14ac:dyDescent="0.3">
      <c r="A1182" s="29" t="s">
        <v>773</v>
      </c>
      <c r="B1182" s="29">
        <v>1</v>
      </c>
      <c r="C1182" s="29" t="s">
        <v>1029</v>
      </c>
      <c r="D1182" s="29" t="s">
        <v>1030</v>
      </c>
      <c r="E1182" s="29">
        <v>2499</v>
      </c>
      <c r="G1182" s="29" t="s">
        <v>292</v>
      </c>
      <c r="H1182" s="29">
        <v>1</v>
      </c>
      <c r="I1182" s="29">
        <v>13.4</v>
      </c>
      <c r="J1182" s="29">
        <v>33.486600000000003</v>
      </c>
      <c r="K1182" s="29">
        <v>33.486600000000003</v>
      </c>
      <c r="L1182" s="29" t="s">
        <v>383</v>
      </c>
      <c r="M1182" s="29">
        <v>1</v>
      </c>
      <c r="N1182" s="29">
        <v>2.4990000000000001</v>
      </c>
      <c r="O1182" s="29">
        <v>1</v>
      </c>
      <c r="P1182" s="29">
        <v>33.486600000000003</v>
      </c>
      <c r="Q1182" s="29" t="s">
        <v>384</v>
      </c>
    </row>
    <row r="1183" spans="1:17" x14ac:dyDescent="0.3">
      <c r="A1183" s="29" t="s">
        <v>774</v>
      </c>
      <c r="B1183" s="29">
        <v>1</v>
      </c>
      <c r="C1183" s="29" t="s">
        <v>1029</v>
      </c>
      <c r="D1183" s="29" t="s">
        <v>1030</v>
      </c>
      <c r="E1183" s="29">
        <v>1806</v>
      </c>
      <c r="G1183" s="29" t="s">
        <v>292</v>
      </c>
      <c r="H1183" s="29">
        <v>1</v>
      </c>
      <c r="I1183" s="29">
        <v>13.4</v>
      </c>
      <c r="J1183" s="29">
        <v>24.200400000000002</v>
      </c>
      <c r="K1183" s="29">
        <v>24.200400000000002</v>
      </c>
      <c r="L1183" s="29" t="s">
        <v>383</v>
      </c>
      <c r="M1183" s="29">
        <v>1</v>
      </c>
      <c r="N1183" s="29">
        <v>1.806</v>
      </c>
      <c r="O1183" s="29">
        <v>1</v>
      </c>
      <c r="P1183" s="29">
        <v>24.200400000000002</v>
      </c>
      <c r="Q1183" s="29" t="s">
        <v>384</v>
      </c>
    </row>
    <row r="1184" spans="1:17" x14ac:dyDescent="0.3">
      <c r="A1184" s="29" t="s">
        <v>775</v>
      </c>
      <c r="B1184" s="29">
        <v>1</v>
      </c>
      <c r="C1184" s="29" t="s">
        <v>1029</v>
      </c>
      <c r="D1184" s="29" t="s">
        <v>1030</v>
      </c>
      <c r="E1184" s="29">
        <v>1637</v>
      </c>
      <c r="G1184" s="29" t="s">
        <v>292</v>
      </c>
      <c r="H1184" s="29">
        <v>1</v>
      </c>
      <c r="I1184" s="29">
        <v>13.4</v>
      </c>
      <c r="J1184" s="29">
        <v>21.9358</v>
      </c>
      <c r="K1184" s="29">
        <v>21.9358</v>
      </c>
      <c r="L1184" s="29" t="s">
        <v>383</v>
      </c>
      <c r="M1184" s="29">
        <v>1</v>
      </c>
      <c r="N1184" s="29">
        <v>1.637</v>
      </c>
      <c r="O1184" s="29">
        <v>1</v>
      </c>
      <c r="P1184" s="29">
        <v>21.9358</v>
      </c>
      <c r="Q1184" s="29" t="s">
        <v>384</v>
      </c>
    </row>
    <row r="1185" spans="1:17" x14ac:dyDescent="0.3">
      <c r="A1185" s="29" t="s">
        <v>776</v>
      </c>
      <c r="B1185" s="29">
        <v>1</v>
      </c>
      <c r="C1185" s="29" t="s">
        <v>1029</v>
      </c>
      <c r="D1185" s="29" t="s">
        <v>1030</v>
      </c>
      <c r="E1185" s="29">
        <v>2014</v>
      </c>
      <c r="G1185" s="29" t="s">
        <v>292</v>
      </c>
      <c r="H1185" s="29">
        <v>1</v>
      </c>
      <c r="I1185" s="29">
        <v>13.4</v>
      </c>
      <c r="J1185" s="29">
        <v>26.987599999999997</v>
      </c>
      <c r="K1185" s="29">
        <v>26.987599999999997</v>
      </c>
      <c r="L1185" s="29" t="s">
        <v>383</v>
      </c>
      <c r="M1185" s="29">
        <v>1</v>
      </c>
      <c r="N1185" s="29">
        <v>2.0139999999999998</v>
      </c>
      <c r="O1185" s="29">
        <v>1</v>
      </c>
      <c r="P1185" s="29">
        <v>26.987599999999997</v>
      </c>
      <c r="Q1185" s="29" t="s">
        <v>384</v>
      </c>
    </row>
    <row r="1186" spans="1:17" x14ac:dyDescent="0.3">
      <c r="A1186" s="29" t="s">
        <v>777</v>
      </c>
      <c r="B1186" s="29">
        <v>1</v>
      </c>
      <c r="C1186" s="29" t="s">
        <v>1029</v>
      </c>
      <c r="D1186" s="29" t="s">
        <v>1030</v>
      </c>
      <c r="E1186" s="29">
        <v>2283</v>
      </c>
      <c r="G1186" s="29" t="s">
        <v>292</v>
      </c>
      <c r="H1186" s="29">
        <v>1</v>
      </c>
      <c r="I1186" s="29">
        <v>13.4</v>
      </c>
      <c r="J1186" s="29">
        <v>30.592199999999998</v>
      </c>
      <c r="K1186" s="29">
        <v>30.592199999999998</v>
      </c>
      <c r="L1186" s="29" t="s">
        <v>383</v>
      </c>
      <c r="M1186" s="29">
        <v>1</v>
      </c>
      <c r="N1186" s="29">
        <v>2.2829999999999999</v>
      </c>
      <c r="O1186" s="29">
        <v>1</v>
      </c>
      <c r="P1186" s="29">
        <v>30.592199999999998</v>
      </c>
      <c r="Q1186" s="29" t="s">
        <v>384</v>
      </c>
    </row>
    <row r="1187" spans="1:17" x14ac:dyDescent="0.3">
      <c r="A1187" s="29" t="s">
        <v>1054</v>
      </c>
      <c r="B1187" s="29">
        <v>1</v>
      </c>
      <c r="C1187" s="29" t="s">
        <v>1047</v>
      </c>
      <c r="D1187" s="29" t="s">
        <v>1048</v>
      </c>
      <c r="E1187" s="29">
        <v>2100</v>
      </c>
      <c r="G1187" s="29" t="s">
        <v>292</v>
      </c>
      <c r="H1187" s="29">
        <v>1</v>
      </c>
      <c r="I1187" s="29">
        <v>31.1</v>
      </c>
      <c r="J1187" s="29">
        <v>65.31</v>
      </c>
      <c r="K1187" s="29">
        <v>65.31</v>
      </c>
      <c r="L1187" s="29" t="s">
        <v>383</v>
      </c>
      <c r="M1187" s="29">
        <v>1</v>
      </c>
      <c r="N1187" s="29">
        <v>2.1</v>
      </c>
      <c r="O1187" s="29">
        <v>1</v>
      </c>
      <c r="P1187" s="29">
        <v>65.31</v>
      </c>
      <c r="Q1187" s="29" t="s">
        <v>384</v>
      </c>
    </row>
    <row r="1188" spans="1:17" x14ac:dyDescent="0.3">
      <c r="A1188" s="29" t="s">
        <v>791</v>
      </c>
      <c r="B1188" s="29">
        <v>1</v>
      </c>
      <c r="C1188" s="29" t="s">
        <v>387</v>
      </c>
      <c r="D1188" s="29" t="s">
        <v>1045</v>
      </c>
      <c r="E1188" s="29">
        <v>3056</v>
      </c>
      <c r="G1188" s="29" t="s">
        <v>292</v>
      </c>
      <c r="H1188" s="29">
        <v>1</v>
      </c>
      <c r="I1188" s="29">
        <v>9.9600000000000009</v>
      </c>
      <c r="J1188" s="29">
        <v>30.437760000000004</v>
      </c>
      <c r="K1188" s="29">
        <v>30.437760000000004</v>
      </c>
      <c r="L1188" s="29" t="s">
        <v>383</v>
      </c>
      <c r="M1188" s="29">
        <v>1</v>
      </c>
      <c r="N1188" s="29">
        <v>3.056</v>
      </c>
      <c r="O1188" s="29">
        <v>1</v>
      </c>
      <c r="P1188" s="29">
        <v>30.437760000000004</v>
      </c>
      <c r="Q1188" s="29" t="s">
        <v>384</v>
      </c>
    </row>
    <row r="1189" spans="1:17" x14ac:dyDescent="0.3">
      <c r="A1189" s="29" t="s">
        <v>792</v>
      </c>
      <c r="B1189" s="29">
        <v>1</v>
      </c>
      <c r="C1189" s="29" t="s">
        <v>387</v>
      </c>
      <c r="D1189" s="29" t="s">
        <v>1045</v>
      </c>
      <c r="E1189" s="29">
        <v>879</v>
      </c>
      <c r="G1189" s="29" t="s">
        <v>292</v>
      </c>
      <c r="H1189" s="29">
        <v>1</v>
      </c>
      <c r="I1189" s="29">
        <v>9.9600000000000009</v>
      </c>
      <c r="J1189" s="29">
        <v>8.7548400000000015</v>
      </c>
      <c r="K1189" s="29">
        <v>8.7548400000000015</v>
      </c>
      <c r="L1189" s="29" t="s">
        <v>383</v>
      </c>
      <c r="M1189" s="29">
        <v>1</v>
      </c>
      <c r="N1189" s="29">
        <v>0.879</v>
      </c>
      <c r="O1189" s="29">
        <v>1</v>
      </c>
      <c r="P1189" s="29">
        <v>8.7548400000000015</v>
      </c>
      <c r="Q1189" s="29" t="s">
        <v>384</v>
      </c>
    </row>
    <row r="1190" spans="1:17" x14ac:dyDescent="0.3">
      <c r="A1190" s="29" t="s">
        <v>793</v>
      </c>
      <c r="B1190" s="29">
        <v>1</v>
      </c>
      <c r="C1190" s="29" t="s">
        <v>387</v>
      </c>
      <c r="D1190" s="29" t="s">
        <v>1045</v>
      </c>
      <c r="E1190" s="29">
        <v>999</v>
      </c>
      <c r="G1190" s="29" t="s">
        <v>292</v>
      </c>
      <c r="H1190" s="29">
        <v>1</v>
      </c>
      <c r="I1190" s="29">
        <v>9.9600000000000009</v>
      </c>
      <c r="J1190" s="29">
        <v>9.9500400000000013</v>
      </c>
      <c r="K1190" s="29">
        <v>9.9500400000000013</v>
      </c>
      <c r="L1190" s="29" t="s">
        <v>383</v>
      </c>
      <c r="M1190" s="29">
        <v>1</v>
      </c>
      <c r="N1190" s="29">
        <v>0.999</v>
      </c>
      <c r="O1190" s="29">
        <v>1</v>
      </c>
      <c r="P1190" s="29">
        <v>9.9500400000000013</v>
      </c>
      <c r="Q1190" s="29" t="s">
        <v>384</v>
      </c>
    </row>
    <row r="1191" spans="1:17" x14ac:dyDescent="0.3">
      <c r="A1191" s="29" t="s">
        <v>794</v>
      </c>
      <c r="B1191" s="29">
        <v>1</v>
      </c>
      <c r="C1191" s="29" t="s">
        <v>387</v>
      </c>
      <c r="D1191" s="29" t="s">
        <v>1045</v>
      </c>
      <c r="E1191" s="29">
        <v>1149</v>
      </c>
      <c r="G1191" s="29" t="s">
        <v>292</v>
      </c>
      <c r="H1191" s="29">
        <v>1</v>
      </c>
      <c r="I1191" s="29">
        <v>9.9600000000000009</v>
      </c>
      <c r="J1191" s="29">
        <v>11.444040000000001</v>
      </c>
      <c r="K1191" s="29">
        <v>11.444040000000001</v>
      </c>
      <c r="L1191" s="29" t="s">
        <v>383</v>
      </c>
      <c r="M1191" s="29">
        <v>1</v>
      </c>
      <c r="N1191" s="29">
        <v>1.149</v>
      </c>
      <c r="O1191" s="29">
        <v>1</v>
      </c>
      <c r="P1191" s="29">
        <v>11.444040000000001</v>
      </c>
      <c r="Q1191" s="29" t="s">
        <v>384</v>
      </c>
    </row>
    <row r="1192" spans="1:17" x14ac:dyDescent="0.3">
      <c r="A1192" s="29" t="s">
        <v>795</v>
      </c>
      <c r="B1192" s="29">
        <v>1</v>
      </c>
      <c r="C1192" s="29" t="s">
        <v>1029</v>
      </c>
      <c r="D1192" s="29" t="s">
        <v>1053</v>
      </c>
      <c r="E1192" s="29">
        <v>1000</v>
      </c>
      <c r="G1192" s="29" t="s">
        <v>292</v>
      </c>
      <c r="H1192" s="29">
        <v>1</v>
      </c>
      <c r="I1192" s="29">
        <v>9.36</v>
      </c>
      <c r="J1192" s="29">
        <v>9.36</v>
      </c>
      <c r="K1192" s="29">
        <v>9.36</v>
      </c>
      <c r="L1192" s="29" t="s">
        <v>383</v>
      </c>
      <c r="M1192" s="29">
        <v>1</v>
      </c>
      <c r="N1192" s="29">
        <v>1</v>
      </c>
      <c r="O1192" s="29">
        <v>1</v>
      </c>
      <c r="P1192" s="29">
        <v>9.36</v>
      </c>
      <c r="Q1192" s="29" t="s">
        <v>384</v>
      </c>
    </row>
    <row r="1193" spans="1:17" x14ac:dyDescent="0.3">
      <c r="B1193" s="29">
        <v>2</v>
      </c>
      <c r="C1193" s="29" t="s">
        <v>1029</v>
      </c>
      <c r="D1193" s="29" t="s">
        <v>1053</v>
      </c>
      <c r="E1193" s="29">
        <v>1039</v>
      </c>
      <c r="G1193" s="29" t="s">
        <v>292</v>
      </c>
      <c r="H1193" s="29">
        <v>1</v>
      </c>
      <c r="I1193" s="29">
        <v>9.36</v>
      </c>
      <c r="J1193" s="29">
        <v>9.7250399999999981</v>
      </c>
      <c r="K1193" s="29">
        <v>9.7250399999999981</v>
      </c>
      <c r="L1193" s="29" t="s">
        <v>383</v>
      </c>
      <c r="M1193" s="29">
        <v>1</v>
      </c>
      <c r="N1193" s="29">
        <v>1.0389999999999999</v>
      </c>
      <c r="O1193" s="29">
        <v>1</v>
      </c>
      <c r="P1193" s="29">
        <v>9.7250399999999981</v>
      </c>
      <c r="Q1193" s="29" t="s">
        <v>384</v>
      </c>
    </row>
    <row r="1194" spans="1:17" x14ac:dyDescent="0.3">
      <c r="A1194" s="29" t="s">
        <v>796</v>
      </c>
      <c r="B1194" s="29">
        <v>1</v>
      </c>
      <c r="C1194" s="29" t="s">
        <v>1055</v>
      </c>
      <c r="D1194" s="29">
        <v>6</v>
      </c>
      <c r="E1194" s="29">
        <v>150</v>
      </c>
      <c r="F1194" s="29">
        <v>100</v>
      </c>
      <c r="G1194" s="29" t="s">
        <v>292</v>
      </c>
      <c r="H1194" s="29">
        <v>1</v>
      </c>
      <c r="J1194" s="29">
        <v>0.70650000000000002</v>
      </c>
      <c r="K1194" s="29">
        <v>0.70650000000000002</v>
      </c>
      <c r="L1194" s="29" t="s">
        <v>293</v>
      </c>
      <c r="M1194" s="29">
        <v>1</v>
      </c>
      <c r="O1194" s="29">
        <v>1</v>
      </c>
      <c r="P1194" s="29">
        <v>0.70650000000000002</v>
      </c>
      <c r="Q1194" s="29" t="s">
        <v>294</v>
      </c>
    </row>
    <row r="1195" spans="1:17" x14ac:dyDescent="0.3">
      <c r="A1195" s="29" t="s">
        <v>797</v>
      </c>
      <c r="B1195" s="29">
        <v>1</v>
      </c>
      <c r="C1195" s="29" t="s">
        <v>1055</v>
      </c>
      <c r="D1195" s="29">
        <v>6</v>
      </c>
      <c r="E1195" s="29">
        <v>150</v>
      </c>
      <c r="F1195" s="29">
        <v>100</v>
      </c>
      <c r="G1195" s="29" t="s">
        <v>292</v>
      </c>
      <c r="H1195" s="29">
        <v>1</v>
      </c>
      <c r="J1195" s="29">
        <v>0.70650000000000002</v>
      </c>
      <c r="K1195" s="29">
        <v>0.70650000000000002</v>
      </c>
      <c r="L1195" s="29" t="s">
        <v>293</v>
      </c>
      <c r="M1195" s="29">
        <v>1</v>
      </c>
      <c r="O1195" s="29">
        <v>1</v>
      </c>
      <c r="P1195" s="29">
        <v>0.70650000000000002</v>
      </c>
      <c r="Q1195" s="29" t="s">
        <v>294</v>
      </c>
    </row>
    <row r="1196" spans="1:17" x14ac:dyDescent="0.3">
      <c r="A1196" s="29" t="s">
        <v>797</v>
      </c>
      <c r="B1196" s="29">
        <v>1</v>
      </c>
      <c r="C1196" s="29" t="s">
        <v>1055</v>
      </c>
      <c r="D1196" s="29">
        <v>6</v>
      </c>
      <c r="E1196" s="29">
        <v>150</v>
      </c>
      <c r="F1196" s="29">
        <v>100</v>
      </c>
      <c r="G1196" s="29" t="s">
        <v>292</v>
      </c>
      <c r="H1196" s="29">
        <v>1</v>
      </c>
      <c r="J1196" s="29">
        <v>0.70650000000000002</v>
      </c>
      <c r="K1196" s="29">
        <v>0.70650000000000002</v>
      </c>
      <c r="L1196" s="29" t="s">
        <v>293</v>
      </c>
      <c r="M1196" s="29">
        <v>1</v>
      </c>
      <c r="O1196" s="29">
        <v>1</v>
      </c>
      <c r="P1196" s="29">
        <v>0.70650000000000002</v>
      </c>
      <c r="Q1196" s="29" t="s">
        <v>294</v>
      </c>
    </row>
    <row r="1197" spans="1:17" x14ac:dyDescent="0.3">
      <c r="A1197" s="29" t="s">
        <v>798</v>
      </c>
      <c r="B1197" s="29">
        <v>1</v>
      </c>
      <c r="C1197" s="29" t="s">
        <v>1055</v>
      </c>
      <c r="D1197" s="29">
        <v>6</v>
      </c>
      <c r="E1197" s="29">
        <v>150</v>
      </c>
      <c r="F1197" s="29">
        <v>100</v>
      </c>
      <c r="G1197" s="29" t="s">
        <v>292</v>
      </c>
      <c r="H1197" s="29">
        <v>1</v>
      </c>
      <c r="J1197" s="29">
        <v>0.70650000000000002</v>
      </c>
      <c r="K1197" s="29">
        <v>0.70650000000000002</v>
      </c>
      <c r="L1197" s="29" t="s">
        <v>293</v>
      </c>
      <c r="M1197" s="29">
        <v>1</v>
      </c>
      <c r="O1197" s="29">
        <v>1</v>
      </c>
      <c r="P1197" s="29">
        <v>0.70650000000000002</v>
      </c>
      <c r="Q1197" s="29" t="s">
        <v>294</v>
      </c>
    </row>
    <row r="1198" spans="1:17" x14ac:dyDescent="0.3">
      <c r="A1198" s="29" t="s">
        <v>799</v>
      </c>
      <c r="B1198" s="29" t="s">
        <v>395</v>
      </c>
    </row>
    <row r="1199" spans="1:17" x14ac:dyDescent="0.3">
      <c r="A1199" s="29" t="s">
        <v>800</v>
      </c>
      <c r="B1199" s="29" t="s">
        <v>395</v>
      </c>
    </row>
    <row r="1200" spans="1:17" x14ac:dyDescent="0.3">
      <c r="A1200" s="29" t="s">
        <v>800</v>
      </c>
      <c r="B1200" s="29" t="s">
        <v>395</v>
      </c>
    </row>
    <row r="1201" spans="1:2" x14ac:dyDescent="0.3">
      <c r="A1201" s="29" t="s">
        <v>800</v>
      </c>
      <c r="B1201" s="29" t="s">
        <v>395</v>
      </c>
    </row>
    <row r="1202" spans="1:2" x14ac:dyDescent="0.3">
      <c r="A1202" s="29" t="s">
        <v>800</v>
      </c>
      <c r="B1202" s="29" t="s">
        <v>395</v>
      </c>
    </row>
    <row r="1203" spans="1:2" x14ac:dyDescent="0.3">
      <c r="A1203" s="29" t="s">
        <v>800</v>
      </c>
      <c r="B1203" s="29" t="s">
        <v>395</v>
      </c>
    </row>
    <row r="1204" spans="1:2" x14ac:dyDescent="0.3">
      <c r="A1204" s="29" t="s">
        <v>800</v>
      </c>
      <c r="B1204" s="29" t="s">
        <v>395</v>
      </c>
    </row>
    <row r="1205" spans="1:2" x14ac:dyDescent="0.3">
      <c r="A1205" s="29" t="s">
        <v>800</v>
      </c>
      <c r="B1205" s="29" t="s">
        <v>395</v>
      </c>
    </row>
    <row r="1206" spans="1:2" x14ac:dyDescent="0.3">
      <c r="A1206" s="29" t="s">
        <v>800</v>
      </c>
      <c r="B1206" s="29" t="s">
        <v>395</v>
      </c>
    </row>
    <row r="1207" spans="1:2" x14ac:dyDescent="0.3">
      <c r="A1207" s="29" t="s">
        <v>801</v>
      </c>
      <c r="B1207" s="29" t="s">
        <v>395</v>
      </c>
    </row>
    <row r="1208" spans="1:2" x14ac:dyDescent="0.3">
      <c r="A1208" s="29" t="s">
        <v>801</v>
      </c>
      <c r="B1208" s="29" t="s">
        <v>395</v>
      </c>
    </row>
    <row r="1209" spans="1:2" x14ac:dyDescent="0.3">
      <c r="A1209" s="29" t="s">
        <v>802</v>
      </c>
      <c r="B1209" s="29" t="s">
        <v>395</v>
      </c>
    </row>
    <row r="1210" spans="1:2" x14ac:dyDescent="0.3">
      <c r="A1210" s="29" t="s">
        <v>803</v>
      </c>
      <c r="B1210" s="29" t="s">
        <v>395</v>
      </c>
    </row>
    <row r="1211" spans="1:2" x14ac:dyDescent="0.3">
      <c r="A1211" s="29" t="s">
        <v>804</v>
      </c>
      <c r="B1211" s="29" t="s">
        <v>395</v>
      </c>
    </row>
    <row r="1212" spans="1:2" x14ac:dyDescent="0.3">
      <c r="A1212" s="29" t="s">
        <v>804</v>
      </c>
      <c r="B1212" s="29" t="s">
        <v>395</v>
      </c>
    </row>
    <row r="1213" spans="1:2" x14ac:dyDescent="0.3">
      <c r="A1213" s="29" t="s">
        <v>804</v>
      </c>
      <c r="B1213" s="29" t="s">
        <v>395</v>
      </c>
    </row>
    <row r="1214" spans="1:2" x14ac:dyDescent="0.3">
      <c r="A1214" s="29" t="s">
        <v>805</v>
      </c>
      <c r="B1214" s="29" t="s">
        <v>395</v>
      </c>
    </row>
    <row r="1215" spans="1:2" x14ac:dyDescent="0.3">
      <c r="A1215" s="29" t="s">
        <v>806</v>
      </c>
      <c r="B1215" s="29" t="s">
        <v>395</v>
      </c>
    </row>
    <row r="1216" spans="1:2" x14ac:dyDescent="0.3">
      <c r="A1216" s="29" t="s">
        <v>807</v>
      </c>
      <c r="B1216" s="29" t="s">
        <v>395</v>
      </c>
    </row>
    <row r="1217" spans="1:2" x14ac:dyDescent="0.3">
      <c r="A1217" s="29" t="s">
        <v>808</v>
      </c>
      <c r="B1217" s="29" t="s">
        <v>395</v>
      </c>
    </row>
    <row r="1218" spans="1:2" x14ac:dyDescent="0.3">
      <c r="A1218" s="29" t="s">
        <v>809</v>
      </c>
      <c r="B1218" s="29" t="s">
        <v>395</v>
      </c>
    </row>
    <row r="1219" spans="1:2" x14ac:dyDescent="0.3">
      <c r="A1219" s="29" t="s">
        <v>810</v>
      </c>
      <c r="B1219" s="29" t="s">
        <v>395</v>
      </c>
    </row>
    <row r="1220" spans="1:2" x14ac:dyDescent="0.3">
      <c r="A1220" s="29" t="s">
        <v>811</v>
      </c>
      <c r="B1220" s="29" t="s">
        <v>395</v>
      </c>
    </row>
    <row r="1221" spans="1:2" x14ac:dyDescent="0.3">
      <c r="A1221" s="29" t="s">
        <v>811</v>
      </c>
      <c r="B1221" s="29" t="s">
        <v>395</v>
      </c>
    </row>
    <row r="1222" spans="1:2" x14ac:dyDescent="0.3">
      <c r="A1222" s="29" t="s">
        <v>812</v>
      </c>
      <c r="B1222" s="29" t="s">
        <v>395</v>
      </c>
    </row>
    <row r="1223" spans="1:2" x14ac:dyDescent="0.3">
      <c r="A1223" s="29" t="s">
        <v>813</v>
      </c>
      <c r="B1223" s="29" t="s">
        <v>395</v>
      </c>
    </row>
    <row r="1224" spans="1:2" x14ac:dyDescent="0.3">
      <c r="A1224" s="29" t="s">
        <v>814</v>
      </c>
      <c r="B1224" s="29" t="s">
        <v>395</v>
      </c>
    </row>
    <row r="1225" spans="1:2" x14ac:dyDescent="0.3">
      <c r="A1225" s="29" t="s">
        <v>815</v>
      </c>
      <c r="B1225" s="29" t="s">
        <v>395</v>
      </c>
    </row>
    <row r="1226" spans="1:2" x14ac:dyDescent="0.3">
      <c r="A1226" s="29" t="s">
        <v>816</v>
      </c>
      <c r="B1226" s="29" t="s">
        <v>395</v>
      </c>
    </row>
    <row r="1227" spans="1:2" x14ac:dyDescent="0.3">
      <c r="A1227" s="29" t="s">
        <v>816</v>
      </c>
      <c r="B1227" s="29" t="s">
        <v>395</v>
      </c>
    </row>
    <row r="1228" spans="1:2" x14ac:dyDescent="0.3">
      <c r="A1228" s="29" t="s">
        <v>816</v>
      </c>
      <c r="B1228" s="29" t="s">
        <v>395</v>
      </c>
    </row>
    <row r="1229" spans="1:2" x14ac:dyDescent="0.3">
      <c r="A1229" s="29" t="s">
        <v>816</v>
      </c>
      <c r="B1229" s="29" t="s">
        <v>395</v>
      </c>
    </row>
    <row r="1230" spans="1:2" x14ac:dyDescent="0.3">
      <c r="A1230" s="29" t="s">
        <v>816</v>
      </c>
      <c r="B1230" s="29" t="s">
        <v>395</v>
      </c>
    </row>
    <row r="1231" spans="1:2" x14ac:dyDescent="0.3">
      <c r="A1231" s="29" t="s">
        <v>816</v>
      </c>
      <c r="B1231" s="29" t="s">
        <v>395</v>
      </c>
    </row>
    <row r="1232" spans="1:2" x14ac:dyDescent="0.3">
      <c r="A1232" s="29" t="s">
        <v>816</v>
      </c>
      <c r="B1232" s="29" t="s">
        <v>395</v>
      </c>
    </row>
    <row r="1233" spans="1:2" x14ac:dyDescent="0.3">
      <c r="A1233" s="29" t="s">
        <v>816</v>
      </c>
      <c r="B1233" s="29" t="s">
        <v>395</v>
      </c>
    </row>
    <row r="1234" spans="1:2" x14ac:dyDescent="0.3">
      <c r="A1234" s="29" t="s">
        <v>816</v>
      </c>
      <c r="B1234" s="29" t="s">
        <v>395</v>
      </c>
    </row>
    <row r="1235" spans="1:2" x14ac:dyDescent="0.3">
      <c r="A1235" s="29" t="s">
        <v>816</v>
      </c>
      <c r="B1235" s="29" t="s">
        <v>395</v>
      </c>
    </row>
    <row r="1236" spans="1:2" x14ac:dyDescent="0.3">
      <c r="A1236" s="29" t="s">
        <v>817</v>
      </c>
      <c r="B1236" s="29" t="s">
        <v>395</v>
      </c>
    </row>
    <row r="1237" spans="1:2" x14ac:dyDescent="0.3">
      <c r="A1237" s="29" t="s">
        <v>818</v>
      </c>
      <c r="B1237" s="29" t="s">
        <v>395</v>
      </c>
    </row>
    <row r="1238" spans="1:2" x14ac:dyDescent="0.3">
      <c r="A1238" s="29" t="s">
        <v>819</v>
      </c>
      <c r="B1238" s="29" t="s">
        <v>395</v>
      </c>
    </row>
    <row r="1239" spans="1:2" x14ac:dyDescent="0.3">
      <c r="A1239" s="29" t="s">
        <v>820</v>
      </c>
      <c r="B1239" s="29" t="s">
        <v>395</v>
      </c>
    </row>
    <row r="1240" spans="1:2" x14ac:dyDescent="0.3">
      <c r="A1240" s="29" t="s">
        <v>821</v>
      </c>
      <c r="B1240" s="29" t="s">
        <v>395</v>
      </c>
    </row>
    <row r="1241" spans="1:2" x14ac:dyDescent="0.3">
      <c r="A1241" s="29" t="s">
        <v>821</v>
      </c>
      <c r="B1241" s="29" t="s">
        <v>395</v>
      </c>
    </row>
    <row r="1242" spans="1:2" x14ac:dyDescent="0.3">
      <c r="A1242" s="29" t="s">
        <v>821</v>
      </c>
      <c r="B1242" s="29" t="s">
        <v>395</v>
      </c>
    </row>
    <row r="1243" spans="1:2" x14ac:dyDescent="0.3">
      <c r="A1243" s="29" t="s">
        <v>821</v>
      </c>
      <c r="B1243" s="29" t="s">
        <v>395</v>
      </c>
    </row>
    <row r="1244" spans="1:2" x14ac:dyDescent="0.3">
      <c r="A1244" s="29" t="s">
        <v>822</v>
      </c>
      <c r="B1244" s="29" t="s">
        <v>395</v>
      </c>
    </row>
    <row r="1245" spans="1:2" x14ac:dyDescent="0.3">
      <c r="A1245" s="29" t="s">
        <v>822</v>
      </c>
      <c r="B1245" s="29" t="s">
        <v>395</v>
      </c>
    </row>
    <row r="1246" spans="1:2" x14ac:dyDescent="0.3">
      <c r="A1246" s="29" t="s">
        <v>822</v>
      </c>
      <c r="B1246" s="29" t="s">
        <v>395</v>
      </c>
    </row>
    <row r="1247" spans="1:2" x14ac:dyDescent="0.3">
      <c r="A1247" s="29" t="s">
        <v>822</v>
      </c>
      <c r="B1247" s="29" t="s">
        <v>395</v>
      </c>
    </row>
    <row r="1248" spans="1:2" x14ac:dyDescent="0.3">
      <c r="A1248" s="29" t="s">
        <v>823</v>
      </c>
      <c r="B1248" s="29" t="s">
        <v>395</v>
      </c>
    </row>
    <row r="1249" spans="1:2" x14ac:dyDescent="0.3">
      <c r="A1249" s="29" t="s">
        <v>824</v>
      </c>
      <c r="B1249" s="29" t="s">
        <v>395</v>
      </c>
    </row>
    <row r="1250" spans="1:2" x14ac:dyDescent="0.3">
      <c r="A1250" s="29" t="s">
        <v>824</v>
      </c>
      <c r="B1250" s="29" t="s">
        <v>395</v>
      </c>
    </row>
    <row r="1251" spans="1:2" x14ac:dyDescent="0.3">
      <c r="A1251" s="29" t="s">
        <v>824</v>
      </c>
      <c r="B1251" s="29" t="s">
        <v>395</v>
      </c>
    </row>
    <row r="1252" spans="1:2" x14ac:dyDescent="0.3">
      <c r="A1252" s="29" t="s">
        <v>824</v>
      </c>
      <c r="B1252" s="29" t="s">
        <v>395</v>
      </c>
    </row>
    <row r="1253" spans="1:2" x14ac:dyDescent="0.3">
      <c r="A1253" s="29" t="s">
        <v>824</v>
      </c>
      <c r="B1253" s="29" t="s">
        <v>395</v>
      </c>
    </row>
    <row r="1254" spans="1:2" x14ac:dyDescent="0.3">
      <c r="A1254" s="29" t="s">
        <v>824</v>
      </c>
      <c r="B1254" s="29" t="s">
        <v>395</v>
      </c>
    </row>
    <row r="1255" spans="1:2" x14ac:dyDescent="0.3">
      <c r="A1255" s="29" t="s">
        <v>824</v>
      </c>
      <c r="B1255" s="29" t="s">
        <v>395</v>
      </c>
    </row>
    <row r="1256" spans="1:2" x14ac:dyDescent="0.3">
      <c r="A1256" s="29" t="s">
        <v>824</v>
      </c>
      <c r="B1256" s="29" t="s">
        <v>395</v>
      </c>
    </row>
    <row r="1257" spans="1:2" x14ac:dyDescent="0.3">
      <c r="A1257" s="29" t="s">
        <v>824</v>
      </c>
      <c r="B1257" s="29" t="s">
        <v>395</v>
      </c>
    </row>
    <row r="1258" spans="1:2" x14ac:dyDescent="0.3">
      <c r="A1258" s="29" t="s">
        <v>824</v>
      </c>
      <c r="B1258" s="29" t="s">
        <v>395</v>
      </c>
    </row>
    <row r="1259" spans="1:2" x14ac:dyDescent="0.3">
      <c r="A1259" s="29" t="s">
        <v>824</v>
      </c>
      <c r="B1259" s="29" t="s">
        <v>395</v>
      </c>
    </row>
    <row r="1260" spans="1:2" x14ac:dyDescent="0.3">
      <c r="A1260" s="29" t="s">
        <v>824</v>
      </c>
      <c r="B1260" s="29" t="s">
        <v>395</v>
      </c>
    </row>
    <row r="1261" spans="1:2" x14ac:dyDescent="0.3">
      <c r="A1261" s="29" t="s">
        <v>825</v>
      </c>
      <c r="B1261" s="29" t="s">
        <v>395</v>
      </c>
    </row>
    <row r="1262" spans="1:2" x14ac:dyDescent="0.3">
      <c r="A1262" s="29" t="s">
        <v>826</v>
      </c>
      <c r="B1262" s="29" t="s">
        <v>395</v>
      </c>
    </row>
    <row r="1263" spans="1:2" x14ac:dyDescent="0.3">
      <c r="A1263" s="29" t="s">
        <v>826</v>
      </c>
      <c r="B1263" s="29" t="s">
        <v>395</v>
      </c>
    </row>
    <row r="1264" spans="1:2" x14ac:dyDescent="0.3">
      <c r="A1264" s="29" t="s">
        <v>826</v>
      </c>
      <c r="B1264" s="29" t="s">
        <v>395</v>
      </c>
    </row>
    <row r="1265" spans="1:2" x14ac:dyDescent="0.3">
      <c r="A1265" s="29" t="s">
        <v>827</v>
      </c>
      <c r="B1265" s="29" t="s">
        <v>395</v>
      </c>
    </row>
    <row r="1266" spans="1:2" x14ac:dyDescent="0.3">
      <c r="A1266" s="29" t="s">
        <v>828</v>
      </c>
      <c r="B1266" s="29" t="s">
        <v>395</v>
      </c>
    </row>
    <row r="1267" spans="1:2" x14ac:dyDescent="0.3">
      <c r="A1267" s="29" t="s">
        <v>829</v>
      </c>
      <c r="B1267" s="29" t="s">
        <v>395</v>
      </c>
    </row>
    <row r="1268" spans="1:2" x14ac:dyDescent="0.3">
      <c r="A1268" s="29" t="s">
        <v>829</v>
      </c>
      <c r="B1268" s="29" t="s">
        <v>395</v>
      </c>
    </row>
    <row r="1269" spans="1:2" x14ac:dyDescent="0.3">
      <c r="A1269" s="29" t="s">
        <v>829</v>
      </c>
      <c r="B1269" s="29" t="s">
        <v>395</v>
      </c>
    </row>
    <row r="1270" spans="1:2" x14ac:dyDescent="0.3">
      <c r="A1270" s="29" t="s">
        <v>829</v>
      </c>
      <c r="B1270" s="29" t="s">
        <v>395</v>
      </c>
    </row>
    <row r="1271" spans="1:2" x14ac:dyDescent="0.3">
      <c r="A1271" s="29" t="s">
        <v>829</v>
      </c>
      <c r="B1271" s="29" t="s">
        <v>395</v>
      </c>
    </row>
    <row r="1272" spans="1:2" x14ac:dyDescent="0.3">
      <c r="A1272" s="29" t="s">
        <v>829</v>
      </c>
      <c r="B1272" s="29" t="s">
        <v>395</v>
      </c>
    </row>
    <row r="1273" spans="1:2" x14ac:dyDescent="0.3">
      <c r="A1273" s="29" t="s">
        <v>829</v>
      </c>
      <c r="B1273" s="29" t="s">
        <v>395</v>
      </c>
    </row>
    <row r="1274" spans="1:2" x14ac:dyDescent="0.3">
      <c r="A1274" s="29" t="s">
        <v>829</v>
      </c>
      <c r="B1274" s="29" t="s">
        <v>395</v>
      </c>
    </row>
    <row r="1275" spans="1:2" x14ac:dyDescent="0.3">
      <c r="A1275" s="29" t="s">
        <v>829</v>
      </c>
      <c r="B1275" s="29" t="s">
        <v>395</v>
      </c>
    </row>
    <row r="1276" spans="1:2" x14ac:dyDescent="0.3">
      <c r="A1276" s="29" t="s">
        <v>829</v>
      </c>
      <c r="B1276" s="29" t="s">
        <v>395</v>
      </c>
    </row>
    <row r="1277" spans="1:2" x14ac:dyDescent="0.3">
      <c r="A1277" s="29" t="s">
        <v>830</v>
      </c>
      <c r="B1277" s="29" t="s">
        <v>395</v>
      </c>
    </row>
    <row r="1278" spans="1:2" x14ac:dyDescent="0.3">
      <c r="A1278" s="29" t="s">
        <v>830</v>
      </c>
      <c r="B1278" s="29" t="s">
        <v>395</v>
      </c>
    </row>
    <row r="1279" spans="1:2" x14ac:dyDescent="0.3">
      <c r="A1279" s="29" t="s">
        <v>831</v>
      </c>
      <c r="B1279" s="29" t="s">
        <v>395</v>
      </c>
    </row>
    <row r="1280" spans="1:2" x14ac:dyDescent="0.3">
      <c r="A1280" s="29" t="s">
        <v>832</v>
      </c>
      <c r="B1280" s="29" t="s">
        <v>395</v>
      </c>
    </row>
    <row r="1281" spans="1:2" x14ac:dyDescent="0.3">
      <c r="A1281" s="29" t="s">
        <v>833</v>
      </c>
      <c r="B1281" s="29" t="s">
        <v>395</v>
      </c>
    </row>
    <row r="1282" spans="1:2" x14ac:dyDescent="0.3">
      <c r="A1282" s="29" t="s">
        <v>834</v>
      </c>
      <c r="B1282" s="29" t="s">
        <v>395</v>
      </c>
    </row>
    <row r="1283" spans="1:2" x14ac:dyDescent="0.3">
      <c r="A1283" s="29" t="s">
        <v>835</v>
      </c>
      <c r="B1283" s="29" t="s">
        <v>395</v>
      </c>
    </row>
    <row r="1284" spans="1:2" x14ac:dyDescent="0.3">
      <c r="A1284" s="29" t="s">
        <v>835</v>
      </c>
      <c r="B1284" s="29" t="s">
        <v>395</v>
      </c>
    </row>
    <row r="1285" spans="1:2" x14ac:dyDescent="0.3">
      <c r="A1285" s="29" t="s">
        <v>835</v>
      </c>
      <c r="B1285" s="29" t="s">
        <v>395</v>
      </c>
    </row>
    <row r="1286" spans="1:2" x14ac:dyDescent="0.3">
      <c r="A1286" s="29" t="s">
        <v>835</v>
      </c>
      <c r="B1286" s="29" t="s">
        <v>395</v>
      </c>
    </row>
    <row r="1287" spans="1:2" x14ac:dyDescent="0.3">
      <c r="A1287" s="29" t="s">
        <v>835</v>
      </c>
      <c r="B1287" s="29" t="s">
        <v>395</v>
      </c>
    </row>
    <row r="1288" spans="1:2" x14ac:dyDescent="0.3">
      <c r="A1288" s="29" t="s">
        <v>835</v>
      </c>
      <c r="B1288" s="29" t="s">
        <v>395</v>
      </c>
    </row>
    <row r="1289" spans="1:2" x14ac:dyDescent="0.3">
      <c r="A1289" s="29" t="s">
        <v>835</v>
      </c>
      <c r="B1289" s="29" t="s">
        <v>395</v>
      </c>
    </row>
    <row r="1290" spans="1:2" x14ac:dyDescent="0.3">
      <c r="A1290" s="29" t="s">
        <v>835</v>
      </c>
      <c r="B1290" s="29" t="s">
        <v>395</v>
      </c>
    </row>
    <row r="1291" spans="1:2" x14ac:dyDescent="0.3">
      <c r="A1291" s="29" t="s">
        <v>835</v>
      </c>
      <c r="B1291" s="29" t="s">
        <v>395</v>
      </c>
    </row>
    <row r="1292" spans="1:2" x14ac:dyDescent="0.3">
      <c r="A1292" s="29" t="s">
        <v>835</v>
      </c>
      <c r="B1292" s="29" t="s">
        <v>395</v>
      </c>
    </row>
    <row r="1293" spans="1:2" x14ac:dyDescent="0.3">
      <c r="A1293" s="29" t="s">
        <v>835</v>
      </c>
      <c r="B1293" s="29" t="s">
        <v>395</v>
      </c>
    </row>
    <row r="1294" spans="1:2" x14ac:dyDescent="0.3">
      <c r="A1294" s="29" t="s">
        <v>835</v>
      </c>
      <c r="B1294" s="29" t="s">
        <v>395</v>
      </c>
    </row>
    <row r="1295" spans="1:2" x14ac:dyDescent="0.3">
      <c r="A1295" s="29" t="s">
        <v>835</v>
      </c>
      <c r="B1295" s="29" t="s">
        <v>395</v>
      </c>
    </row>
    <row r="1296" spans="1:2" x14ac:dyDescent="0.3">
      <c r="A1296" s="29" t="s">
        <v>835</v>
      </c>
      <c r="B1296" s="29" t="s">
        <v>395</v>
      </c>
    </row>
    <row r="1297" spans="1:2" x14ac:dyDescent="0.3">
      <c r="A1297" s="29" t="s">
        <v>836</v>
      </c>
      <c r="B1297" s="29" t="s">
        <v>395</v>
      </c>
    </row>
    <row r="1298" spans="1:2" x14ac:dyDescent="0.3">
      <c r="A1298" s="29" t="s">
        <v>837</v>
      </c>
      <c r="B1298" s="29" t="s">
        <v>395</v>
      </c>
    </row>
    <row r="1299" spans="1:2" x14ac:dyDescent="0.3">
      <c r="A1299" s="29" t="s">
        <v>837</v>
      </c>
      <c r="B1299" s="29" t="s">
        <v>395</v>
      </c>
    </row>
    <row r="1300" spans="1:2" x14ac:dyDescent="0.3">
      <c r="A1300" s="29" t="s">
        <v>837</v>
      </c>
      <c r="B1300" s="29" t="s">
        <v>395</v>
      </c>
    </row>
    <row r="1301" spans="1:2" x14ac:dyDescent="0.3">
      <c r="A1301" s="29" t="s">
        <v>838</v>
      </c>
      <c r="B1301" s="29" t="s">
        <v>395</v>
      </c>
    </row>
    <row r="1302" spans="1:2" x14ac:dyDescent="0.3">
      <c r="A1302" s="29" t="s">
        <v>839</v>
      </c>
      <c r="B1302" s="29" t="s">
        <v>395</v>
      </c>
    </row>
    <row r="1303" spans="1:2" x14ac:dyDescent="0.3">
      <c r="A1303" s="29" t="s">
        <v>840</v>
      </c>
      <c r="B1303" s="29" t="s">
        <v>395</v>
      </c>
    </row>
    <row r="1304" spans="1:2" x14ac:dyDescent="0.3">
      <c r="A1304" s="29" t="s">
        <v>840</v>
      </c>
      <c r="B1304" s="29" t="s">
        <v>395</v>
      </c>
    </row>
    <row r="1305" spans="1:2" x14ac:dyDescent="0.3">
      <c r="A1305" s="29" t="s">
        <v>840</v>
      </c>
      <c r="B1305" s="29" t="s">
        <v>395</v>
      </c>
    </row>
    <row r="1306" spans="1:2" x14ac:dyDescent="0.3">
      <c r="A1306" s="29" t="s">
        <v>840</v>
      </c>
      <c r="B1306" s="29" t="s">
        <v>395</v>
      </c>
    </row>
    <row r="1307" spans="1:2" x14ac:dyDescent="0.3">
      <c r="A1307" s="29" t="s">
        <v>840</v>
      </c>
      <c r="B1307" s="29" t="s">
        <v>395</v>
      </c>
    </row>
    <row r="1308" spans="1:2" x14ac:dyDescent="0.3">
      <c r="A1308" s="29" t="s">
        <v>840</v>
      </c>
      <c r="B1308" s="29" t="s">
        <v>395</v>
      </c>
    </row>
    <row r="1309" spans="1:2" x14ac:dyDescent="0.3">
      <c r="A1309" s="29" t="s">
        <v>840</v>
      </c>
      <c r="B1309" s="29" t="s">
        <v>395</v>
      </c>
    </row>
    <row r="1310" spans="1:2" x14ac:dyDescent="0.3">
      <c r="A1310" s="29" t="s">
        <v>840</v>
      </c>
      <c r="B1310" s="29" t="s">
        <v>395</v>
      </c>
    </row>
    <row r="1311" spans="1:2" x14ac:dyDescent="0.3">
      <c r="A1311" s="29" t="s">
        <v>840</v>
      </c>
      <c r="B1311" s="29" t="s">
        <v>395</v>
      </c>
    </row>
    <row r="1312" spans="1:2" x14ac:dyDescent="0.3">
      <c r="A1312" s="29" t="s">
        <v>840</v>
      </c>
      <c r="B1312" s="29" t="s">
        <v>395</v>
      </c>
    </row>
    <row r="1313" spans="1:2" x14ac:dyDescent="0.3">
      <c r="A1313" s="29" t="s">
        <v>840</v>
      </c>
      <c r="B1313" s="29" t="s">
        <v>395</v>
      </c>
    </row>
    <row r="1314" spans="1:2" x14ac:dyDescent="0.3">
      <c r="A1314" s="29" t="s">
        <v>840</v>
      </c>
      <c r="B1314" s="29" t="s">
        <v>395</v>
      </c>
    </row>
    <row r="1315" spans="1:2" x14ac:dyDescent="0.3">
      <c r="A1315" s="29" t="s">
        <v>840</v>
      </c>
      <c r="B1315" s="29" t="s">
        <v>395</v>
      </c>
    </row>
    <row r="1316" spans="1:2" x14ac:dyDescent="0.3">
      <c r="A1316" s="29" t="s">
        <v>840</v>
      </c>
      <c r="B1316" s="29" t="s">
        <v>395</v>
      </c>
    </row>
    <row r="1317" spans="1:2" x14ac:dyDescent="0.3">
      <c r="A1317" s="29" t="s">
        <v>841</v>
      </c>
      <c r="B1317" s="29" t="s">
        <v>395</v>
      </c>
    </row>
    <row r="1318" spans="1:2" x14ac:dyDescent="0.3">
      <c r="A1318" s="29" t="s">
        <v>842</v>
      </c>
      <c r="B1318" s="29" t="s">
        <v>395</v>
      </c>
    </row>
    <row r="1319" spans="1:2" x14ac:dyDescent="0.3">
      <c r="A1319" s="29" t="s">
        <v>842</v>
      </c>
      <c r="B1319" s="29" t="s">
        <v>395</v>
      </c>
    </row>
    <row r="1320" spans="1:2" x14ac:dyDescent="0.3">
      <c r="A1320" s="29" t="s">
        <v>843</v>
      </c>
      <c r="B1320" s="29" t="s">
        <v>395</v>
      </c>
    </row>
    <row r="1321" spans="1:2" x14ac:dyDescent="0.3">
      <c r="A1321" s="29" t="s">
        <v>844</v>
      </c>
      <c r="B1321" s="29" t="s">
        <v>395</v>
      </c>
    </row>
    <row r="1322" spans="1:2" x14ac:dyDescent="0.3">
      <c r="A1322" s="29" t="s">
        <v>845</v>
      </c>
      <c r="B1322" s="29" t="s">
        <v>395</v>
      </c>
    </row>
    <row r="1323" spans="1:2" x14ac:dyDescent="0.3">
      <c r="A1323" s="29" t="s">
        <v>846</v>
      </c>
      <c r="B1323" s="29" t="s">
        <v>395</v>
      </c>
    </row>
    <row r="1324" spans="1:2" x14ac:dyDescent="0.3">
      <c r="A1324" s="29" t="s">
        <v>846</v>
      </c>
      <c r="B1324" s="29" t="s">
        <v>395</v>
      </c>
    </row>
    <row r="1325" spans="1:2" x14ac:dyDescent="0.3">
      <c r="A1325" s="29" t="s">
        <v>846</v>
      </c>
      <c r="B1325" s="29" t="s">
        <v>395</v>
      </c>
    </row>
    <row r="1326" spans="1:2" x14ac:dyDescent="0.3">
      <c r="A1326" s="29" t="s">
        <v>846</v>
      </c>
      <c r="B1326" s="29" t="s">
        <v>395</v>
      </c>
    </row>
    <row r="1327" spans="1:2" x14ac:dyDescent="0.3">
      <c r="A1327" s="29" t="s">
        <v>846</v>
      </c>
      <c r="B1327" s="29" t="s">
        <v>395</v>
      </c>
    </row>
    <row r="1328" spans="1:2" x14ac:dyDescent="0.3">
      <c r="A1328" s="29" t="s">
        <v>846</v>
      </c>
      <c r="B1328" s="29" t="s">
        <v>395</v>
      </c>
    </row>
    <row r="1329" spans="1:2" x14ac:dyDescent="0.3">
      <c r="A1329" s="29" t="s">
        <v>846</v>
      </c>
      <c r="B1329" s="29" t="s">
        <v>395</v>
      </c>
    </row>
    <row r="1330" spans="1:2" x14ac:dyDescent="0.3">
      <c r="A1330" s="29" t="s">
        <v>846</v>
      </c>
      <c r="B1330" s="29" t="s">
        <v>395</v>
      </c>
    </row>
    <row r="1331" spans="1:2" x14ac:dyDescent="0.3">
      <c r="A1331" s="29" t="s">
        <v>846</v>
      </c>
      <c r="B1331" s="29" t="s">
        <v>395</v>
      </c>
    </row>
    <row r="1332" spans="1:2" x14ac:dyDescent="0.3">
      <c r="A1332" s="29" t="s">
        <v>846</v>
      </c>
      <c r="B1332" s="29" t="s">
        <v>395</v>
      </c>
    </row>
    <row r="1333" spans="1:2" x14ac:dyDescent="0.3">
      <c r="A1333" s="29" t="s">
        <v>846</v>
      </c>
      <c r="B1333" s="29" t="s">
        <v>395</v>
      </c>
    </row>
    <row r="1334" spans="1:2" x14ac:dyDescent="0.3">
      <c r="A1334" s="29" t="s">
        <v>846</v>
      </c>
      <c r="B1334" s="29" t="s">
        <v>395</v>
      </c>
    </row>
    <row r="1335" spans="1:2" x14ac:dyDescent="0.3">
      <c r="A1335" s="29" t="s">
        <v>847</v>
      </c>
      <c r="B1335" s="29" t="s">
        <v>395</v>
      </c>
    </row>
    <row r="1336" spans="1:2" x14ac:dyDescent="0.3">
      <c r="A1336" s="29" t="s">
        <v>847</v>
      </c>
      <c r="B1336" s="29" t="s">
        <v>395</v>
      </c>
    </row>
    <row r="1337" spans="1:2" x14ac:dyDescent="0.3">
      <c r="A1337" s="29" t="s">
        <v>847</v>
      </c>
      <c r="B1337" s="29" t="s">
        <v>395</v>
      </c>
    </row>
    <row r="1338" spans="1:2" x14ac:dyDescent="0.3">
      <c r="A1338" s="29" t="s">
        <v>848</v>
      </c>
      <c r="B1338" s="29" t="s">
        <v>395</v>
      </c>
    </row>
    <row r="1339" spans="1:2" x14ac:dyDescent="0.3">
      <c r="A1339" s="29" t="s">
        <v>849</v>
      </c>
      <c r="B1339" s="29" t="s">
        <v>395</v>
      </c>
    </row>
    <row r="1340" spans="1:2" x14ac:dyDescent="0.3">
      <c r="A1340" s="29" t="s">
        <v>850</v>
      </c>
      <c r="B1340" s="29" t="s">
        <v>395</v>
      </c>
    </row>
    <row r="1341" spans="1:2" x14ac:dyDescent="0.3">
      <c r="A1341" s="29" t="s">
        <v>850</v>
      </c>
      <c r="B1341" s="29" t="s">
        <v>395</v>
      </c>
    </row>
    <row r="1342" spans="1:2" x14ac:dyDescent="0.3">
      <c r="A1342" s="29" t="s">
        <v>850</v>
      </c>
      <c r="B1342" s="29" t="s">
        <v>395</v>
      </c>
    </row>
    <row r="1343" spans="1:2" x14ac:dyDescent="0.3">
      <c r="A1343" s="29" t="s">
        <v>850</v>
      </c>
      <c r="B1343" s="29" t="s">
        <v>395</v>
      </c>
    </row>
    <row r="1344" spans="1:2" x14ac:dyDescent="0.3">
      <c r="A1344" s="29" t="s">
        <v>850</v>
      </c>
      <c r="B1344" s="29" t="s">
        <v>395</v>
      </c>
    </row>
    <row r="1345" spans="1:2" x14ac:dyDescent="0.3">
      <c r="A1345" s="29" t="s">
        <v>850</v>
      </c>
      <c r="B1345" s="29" t="s">
        <v>395</v>
      </c>
    </row>
    <row r="1346" spans="1:2" x14ac:dyDescent="0.3">
      <c r="A1346" s="29" t="s">
        <v>850</v>
      </c>
      <c r="B1346" s="29" t="s">
        <v>395</v>
      </c>
    </row>
    <row r="1347" spans="1:2" x14ac:dyDescent="0.3">
      <c r="A1347" s="29" t="s">
        <v>851</v>
      </c>
      <c r="B1347" s="29" t="s">
        <v>395</v>
      </c>
    </row>
    <row r="1348" spans="1:2" x14ac:dyDescent="0.3">
      <c r="A1348" s="29" t="s">
        <v>852</v>
      </c>
      <c r="B1348" s="29" t="s">
        <v>395</v>
      </c>
    </row>
    <row r="1349" spans="1:2" x14ac:dyDescent="0.3">
      <c r="A1349" s="29" t="s">
        <v>853</v>
      </c>
      <c r="B1349" s="29" t="s">
        <v>395</v>
      </c>
    </row>
    <row r="1350" spans="1:2" x14ac:dyDescent="0.3">
      <c r="A1350" s="29" t="s">
        <v>854</v>
      </c>
      <c r="B1350" s="29" t="s">
        <v>395</v>
      </c>
    </row>
    <row r="1351" spans="1:2" x14ac:dyDescent="0.3">
      <c r="A1351" s="29" t="s">
        <v>854</v>
      </c>
      <c r="B1351" s="29" t="s">
        <v>395</v>
      </c>
    </row>
    <row r="1352" spans="1:2" x14ac:dyDescent="0.3">
      <c r="A1352" s="29" t="s">
        <v>855</v>
      </c>
      <c r="B1352" s="29" t="s">
        <v>395</v>
      </c>
    </row>
    <row r="1353" spans="1:2" x14ac:dyDescent="0.3">
      <c r="A1353" s="29" t="s">
        <v>856</v>
      </c>
      <c r="B1353" s="29" t="s">
        <v>395</v>
      </c>
    </row>
    <row r="1354" spans="1:2" x14ac:dyDescent="0.3">
      <c r="A1354" s="29" t="s">
        <v>857</v>
      </c>
      <c r="B1354" s="29" t="s">
        <v>395</v>
      </c>
    </row>
    <row r="1355" spans="1:2" x14ac:dyDescent="0.3">
      <c r="A1355" s="29" t="s">
        <v>858</v>
      </c>
      <c r="B1355" s="29" t="s">
        <v>395</v>
      </c>
    </row>
    <row r="1356" spans="1:2" x14ac:dyDescent="0.3">
      <c r="A1356" s="29" t="s">
        <v>859</v>
      </c>
      <c r="B1356" s="29" t="s">
        <v>395</v>
      </c>
    </row>
    <row r="1357" spans="1:2" x14ac:dyDescent="0.3">
      <c r="A1357" s="29" t="s">
        <v>860</v>
      </c>
      <c r="B1357" s="29" t="s">
        <v>395</v>
      </c>
    </row>
    <row r="1358" spans="1:2" x14ac:dyDescent="0.3">
      <c r="A1358" s="29" t="s">
        <v>861</v>
      </c>
      <c r="B1358" s="29" t="s">
        <v>395</v>
      </c>
    </row>
    <row r="1359" spans="1:2" x14ac:dyDescent="0.3">
      <c r="A1359" s="29" t="s">
        <v>862</v>
      </c>
      <c r="B1359" s="29" t="s">
        <v>395</v>
      </c>
    </row>
    <row r="1360" spans="1:2" x14ac:dyDescent="0.3">
      <c r="A1360" s="29" t="s">
        <v>862</v>
      </c>
      <c r="B1360" s="29" t="s">
        <v>395</v>
      </c>
    </row>
    <row r="1361" spans="1:2" x14ac:dyDescent="0.3">
      <c r="A1361" s="29" t="s">
        <v>862</v>
      </c>
      <c r="B1361" s="29" t="s">
        <v>395</v>
      </c>
    </row>
    <row r="1362" spans="1:2" x14ac:dyDescent="0.3">
      <c r="A1362" s="29" t="s">
        <v>862</v>
      </c>
      <c r="B1362" s="29" t="s">
        <v>395</v>
      </c>
    </row>
    <row r="1363" spans="1:2" x14ac:dyDescent="0.3">
      <c r="A1363" s="29" t="s">
        <v>862</v>
      </c>
      <c r="B1363" s="29" t="s">
        <v>395</v>
      </c>
    </row>
    <row r="1364" spans="1:2" x14ac:dyDescent="0.3">
      <c r="A1364" s="29" t="s">
        <v>862</v>
      </c>
      <c r="B1364" s="29" t="s">
        <v>395</v>
      </c>
    </row>
    <row r="1365" spans="1:2" x14ac:dyDescent="0.3">
      <c r="A1365" s="29" t="s">
        <v>863</v>
      </c>
      <c r="B1365" s="29" t="s">
        <v>395</v>
      </c>
    </row>
    <row r="1366" spans="1:2" x14ac:dyDescent="0.3">
      <c r="A1366" s="29" t="s">
        <v>864</v>
      </c>
      <c r="B1366" s="29" t="s">
        <v>395</v>
      </c>
    </row>
    <row r="1367" spans="1:2" x14ac:dyDescent="0.3">
      <c r="A1367" s="29" t="s">
        <v>865</v>
      </c>
      <c r="B1367" s="29" t="s">
        <v>395</v>
      </c>
    </row>
    <row r="1368" spans="1:2" x14ac:dyDescent="0.3">
      <c r="A1368" s="29" t="s">
        <v>866</v>
      </c>
      <c r="B1368" s="29" t="s">
        <v>395</v>
      </c>
    </row>
    <row r="1369" spans="1:2" x14ac:dyDescent="0.3">
      <c r="A1369" s="29" t="s">
        <v>866</v>
      </c>
      <c r="B1369" s="29" t="s">
        <v>395</v>
      </c>
    </row>
    <row r="1370" spans="1:2" x14ac:dyDescent="0.3">
      <c r="A1370" s="29" t="s">
        <v>866</v>
      </c>
      <c r="B1370" s="29" t="s">
        <v>395</v>
      </c>
    </row>
    <row r="1371" spans="1:2" x14ac:dyDescent="0.3">
      <c r="A1371" s="29" t="s">
        <v>867</v>
      </c>
      <c r="B1371" s="29" t="s">
        <v>395</v>
      </c>
    </row>
    <row r="1372" spans="1:2" x14ac:dyDescent="0.3">
      <c r="A1372" s="29" t="s">
        <v>868</v>
      </c>
      <c r="B1372" s="29" t="s">
        <v>395</v>
      </c>
    </row>
    <row r="1373" spans="1:2" x14ac:dyDescent="0.3">
      <c r="A1373" s="29" t="s">
        <v>868</v>
      </c>
      <c r="B1373" s="29" t="s">
        <v>395</v>
      </c>
    </row>
    <row r="1374" spans="1:2" x14ac:dyDescent="0.3">
      <c r="A1374" s="29" t="s">
        <v>868</v>
      </c>
      <c r="B1374" s="29" t="s">
        <v>395</v>
      </c>
    </row>
    <row r="1375" spans="1:2" x14ac:dyDescent="0.3">
      <c r="A1375" s="29" t="s">
        <v>868</v>
      </c>
      <c r="B1375" s="29" t="s">
        <v>395</v>
      </c>
    </row>
    <row r="1376" spans="1:2" x14ac:dyDescent="0.3">
      <c r="A1376" s="29" t="s">
        <v>868</v>
      </c>
      <c r="B1376" s="29" t="s">
        <v>395</v>
      </c>
    </row>
    <row r="1377" spans="1:2" x14ac:dyDescent="0.3">
      <c r="A1377" s="29" t="s">
        <v>868</v>
      </c>
      <c r="B1377" s="29" t="s">
        <v>395</v>
      </c>
    </row>
    <row r="1378" spans="1:2" x14ac:dyDescent="0.3">
      <c r="A1378" s="29" t="s">
        <v>869</v>
      </c>
      <c r="B1378" s="29" t="s">
        <v>395</v>
      </c>
    </row>
    <row r="1379" spans="1:2" x14ac:dyDescent="0.3">
      <c r="A1379" s="29" t="s">
        <v>869</v>
      </c>
      <c r="B1379" s="29" t="s">
        <v>395</v>
      </c>
    </row>
    <row r="1380" spans="1:2" x14ac:dyDescent="0.3">
      <c r="A1380" s="29" t="s">
        <v>869</v>
      </c>
      <c r="B1380" s="29" t="s">
        <v>395</v>
      </c>
    </row>
    <row r="1381" spans="1:2" x14ac:dyDescent="0.3">
      <c r="A1381" s="29" t="s">
        <v>869</v>
      </c>
      <c r="B1381" s="29" t="s">
        <v>395</v>
      </c>
    </row>
    <row r="1382" spans="1:2" x14ac:dyDescent="0.3">
      <c r="A1382" s="29" t="s">
        <v>869</v>
      </c>
      <c r="B1382" s="29" t="s">
        <v>395</v>
      </c>
    </row>
    <row r="1383" spans="1:2" x14ac:dyDescent="0.3">
      <c r="A1383" s="29" t="s">
        <v>869</v>
      </c>
      <c r="B1383" s="29" t="s">
        <v>395</v>
      </c>
    </row>
    <row r="1384" spans="1:2" x14ac:dyDescent="0.3">
      <c r="A1384" s="29" t="s">
        <v>870</v>
      </c>
      <c r="B1384" s="29" t="s">
        <v>395</v>
      </c>
    </row>
    <row r="1385" spans="1:2" x14ac:dyDescent="0.3">
      <c r="A1385" s="29" t="s">
        <v>870</v>
      </c>
      <c r="B1385" s="29" t="s">
        <v>395</v>
      </c>
    </row>
    <row r="1386" spans="1:2" x14ac:dyDescent="0.3">
      <c r="A1386" s="29" t="s">
        <v>870</v>
      </c>
      <c r="B1386" s="29" t="s">
        <v>395</v>
      </c>
    </row>
    <row r="1387" spans="1:2" x14ac:dyDescent="0.3">
      <c r="A1387" s="29" t="s">
        <v>870</v>
      </c>
      <c r="B1387" s="29" t="s">
        <v>395</v>
      </c>
    </row>
    <row r="1388" spans="1:2" x14ac:dyDescent="0.3">
      <c r="A1388" s="29" t="s">
        <v>870</v>
      </c>
      <c r="B1388" s="29" t="s">
        <v>395</v>
      </c>
    </row>
    <row r="1389" spans="1:2" x14ac:dyDescent="0.3">
      <c r="A1389" s="29" t="s">
        <v>870</v>
      </c>
      <c r="B1389" s="29" t="s">
        <v>395</v>
      </c>
    </row>
    <row r="1390" spans="1:2" x14ac:dyDescent="0.3">
      <c r="A1390" s="29" t="s">
        <v>871</v>
      </c>
      <c r="B1390" s="29" t="s">
        <v>395</v>
      </c>
    </row>
    <row r="1391" spans="1:2" x14ac:dyDescent="0.3">
      <c r="A1391" s="29" t="s">
        <v>872</v>
      </c>
      <c r="B1391" s="29" t="s">
        <v>395</v>
      </c>
    </row>
    <row r="1392" spans="1:2" x14ac:dyDescent="0.3">
      <c r="A1392" s="29" t="s">
        <v>873</v>
      </c>
      <c r="B1392" s="29" t="s">
        <v>395</v>
      </c>
    </row>
    <row r="1393" spans="1:2" x14ac:dyDescent="0.3">
      <c r="A1393" s="29" t="s">
        <v>874</v>
      </c>
      <c r="B1393" s="29" t="s">
        <v>395</v>
      </c>
    </row>
    <row r="1394" spans="1:2" x14ac:dyDescent="0.3">
      <c r="A1394" s="29" t="s">
        <v>874</v>
      </c>
      <c r="B1394" s="29" t="s">
        <v>395</v>
      </c>
    </row>
    <row r="1395" spans="1:2" x14ac:dyDescent="0.3">
      <c r="A1395" s="29" t="s">
        <v>874</v>
      </c>
      <c r="B1395" s="29" t="s">
        <v>395</v>
      </c>
    </row>
    <row r="1396" spans="1:2" x14ac:dyDescent="0.3">
      <c r="A1396" s="29" t="s">
        <v>874</v>
      </c>
      <c r="B1396" s="29" t="s">
        <v>395</v>
      </c>
    </row>
    <row r="1397" spans="1:2" x14ac:dyDescent="0.3">
      <c r="A1397" s="29" t="s">
        <v>874</v>
      </c>
      <c r="B1397" s="29" t="s">
        <v>395</v>
      </c>
    </row>
    <row r="1398" spans="1:2" x14ac:dyDescent="0.3">
      <c r="A1398" s="29" t="s">
        <v>875</v>
      </c>
      <c r="B1398" s="29" t="s">
        <v>395</v>
      </c>
    </row>
    <row r="1399" spans="1:2" x14ac:dyDescent="0.3">
      <c r="A1399" s="29" t="s">
        <v>876</v>
      </c>
      <c r="B1399" s="29" t="s">
        <v>395</v>
      </c>
    </row>
    <row r="1400" spans="1:2" x14ac:dyDescent="0.3">
      <c r="A1400" s="29" t="s">
        <v>877</v>
      </c>
      <c r="B1400" s="29" t="s">
        <v>395</v>
      </c>
    </row>
    <row r="1401" spans="1:2" x14ac:dyDescent="0.3">
      <c r="A1401" s="29" t="s">
        <v>878</v>
      </c>
      <c r="B1401" s="29" t="s">
        <v>395</v>
      </c>
    </row>
    <row r="1402" spans="1:2" x14ac:dyDescent="0.3">
      <c r="A1402" s="29" t="s">
        <v>879</v>
      </c>
      <c r="B1402" s="29" t="s">
        <v>395</v>
      </c>
    </row>
    <row r="1403" spans="1:2" x14ac:dyDescent="0.3">
      <c r="A1403" s="29" t="s">
        <v>880</v>
      </c>
      <c r="B1403" s="29" t="s">
        <v>395</v>
      </c>
    </row>
    <row r="1404" spans="1:2" x14ac:dyDescent="0.3">
      <c r="A1404" s="29" t="s">
        <v>880</v>
      </c>
      <c r="B1404" s="29" t="s">
        <v>395</v>
      </c>
    </row>
    <row r="1405" spans="1:2" x14ac:dyDescent="0.3">
      <c r="A1405" s="29" t="s">
        <v>881</v>
      </c>
      <c r="B1405" s="29" t="s">
        <v>395</v>
      </c>
    </row>
    <row r="1406" spans="1:2" x14ac:dyDescent="0.3">
      <c r="A1406" s="29" t="s">
        <v>882</v>
      </c>
      <c r="B1406" s="29" t="s">
        <v>395</v>
      </c>
    </row>
    <row r="1407" spans="1:2" x14ac:dyDescent="0.3">
      <c r="A1407" s="29" t="s">
        <v>882</v>
      </c>
      <c r="B1407" s="29" t="s">
        <v>395</v>
      </c>
    </row>
    <row r="1408" spans="1:2" x14ac:dyDescent="0.3">
      <c r="A1408" s="29" t="s">
        <v>882</v>
      </c>
      <c r="B1408" s="29" t="s">
        <v>395</v>
      </c>
    </row>
    <row r="1409" spans="1:2" x14ac:dyDescent="0.3">
      <c r="A1409" s="29" t="s">
        <v>883</v>
      </c>
      <c r="B1409" s="29" t="s">
        <v>395</v>
      </c>
    </row>
    <row r="1410" spans="1:2" x14ac:dyDescent="0.3">
      <c r="A1410" s="29" t="s">
        <v>884</v>
      </c>
      <c r="B1410" s="29" t="s">
        <v>395</v>
      </c>
    </row>
    <row r="1411" spans="1:2" x14ac:dyDescent="0.3">
      <c r="A1411" s="29" t="s">
        <v>885</v>
      </c>
      <c r="B1411" s="29" t="s">
        <v>395</v>
      </c>
    </row>
    <row r="1412" spans="1:2" x14ac:dyDescent="0.3">
      <c r="A1412" s="29" t="s">
        <v>886</v>
      </c>
      <c r="B1412" s="29" t="s">
        <v>395</v>
      </c>
    </row>
    <row r="1413" spans="1:2" x14ac:dyDescent="0.3">
      <c r="A1413" s="29" t="s">
        <v>887</v>
      </c>
      <c r="B1413" s="29" t="s">
        <v>395</v>
      </c>
    </row>
    <row r="1414" spans="1:2" x14ac:dyDescent="0.3">
      <c r="A1414" s="29" t="s">
        <v>887</v>
      </c>
      <c r="B1414" s="29" t="s">
        <v>395</v>
      </c>
    </row>
    <row r="1415" spans="1:2" x14ac:dyDescent="0.3">
      <c r="A1415" s="29" t="s">
        <v>887</v>
      </c>
      <c r="B1415" s="29" t="s">
        <v>395</v>
      </c>
    </row>
    <row r="1416" spans="1:2" x14ac:dyDescent="0.3">
      <c r="A1416" s="29" t="s">
        <v>887</v>
      </c>
      <c r="B1416" s="29" t="s">
        <v>395</v>
      </c>
    </row>
    <row r="1417" spans="1:2" x14ac:dyDescent="0.3">
      <c r="A1417" s="29" t="s">
        <v>888</v>
      </c>
      <c r="B1417" s="29" t="s">
        <v>395</v>
      </c>
    </row>
    <row r="1418" spans="1:2" x14ac:dyDescent="0.3">
      <c r="A1418" s="29" t="s">
        <v>888</v>
      </c>
      <c r="B1418" s="29" t="s">
        <v>395</v>
      </c>
    </row>
    <row r="1419" spans="1:2" x14ac:dyDescent="0.3">
      <c r="A1419" s="29" t="s">
        <v>888</v>
      </c>
      <c r="B1419" s="29" t="s">
        <v>395</v>
      </c>
    </row>
    <row r="1420" spans="1:2" x14ac:dyDescent="0.3">
      <c r="A1420" s="29" t="s">
        <v>888</v>
      </c>
      <c r="B1420" s="29" t="s">
        <v>395</v>
      </c>
    </row>
    <row r="1421" spans="1:2" x14ac:dyDescent="0.3">
      <c r="A1421" s="29" t="s">
        <v>889</v>
      </c>
      <c r="B1421" s="29" t="s">
        <v>395</v>
      </c>
    </row>
    <row r="1422" spans="1:2" x14ac:dyDescent="0.3">
      <c r="A1422" s="29" t="s">
        <v>890</v>
      </c>
      <c r="B1422" s="29" t="s">
        <v>395</v>
      </c>
    </row>
    <row r="1423" spans="1:2" x14ac:dyDescent="0.3">
      <c r="A1423" s="29" t="s">
        <v>890</v>
      </c>
      <c r="B1423" s="29" t="s">
        <v>395</v>
      </c>
    </row>
    <row r="1424" spans="1:2" x14ac:dyDescent="0.3">
      <c r="A1424" s="29" t="s">
        <v>891</v>
      </c>
      <c r="B1424" s="29" t="s">
        <v>395</v>
      </c>
    </row>
    <row r="1425" spans="1:2" x14ac:dyDescent="0.3">
      <c r="A1425" s="29" t="s">
        <v>891</v>
      </c>
      <c r="B1425" s="29" t="s">
        <v>395</v>
      </c>
    </row>
    <row r="1426" spans="1:2" x14ac:dyDescent="0.3">
      <c r="A1426" s="29" t="s">
        <v>891</v>
      </c>
      <c r="B1426" s="29" t="s">
        <v>395</v>
      </c>
    </row>
    <row r="1427" spans="1:2" x14ac:dyDescent="0.3">
      <c r="A1427" s="29" t="s">
        <v>891</v>
      </c>
      <c r="B1427" s="29" t="s">
        <v>395</v>
      </c>
    </row>
    <row r="1428" spans="1:2" x14ac:dyDescent="0.3">
      <c r="A1428" s="29" t="s">
        <v>891</v>
      </c>
      <c r="B1428" s="29" t="s">
        <v>395</v>
      </c>
    </row>
    <row r="1429" spans="1:2" x14ac:dyDescent="0.3">
      <c r="A1429" s="29" t="s">
        <v>891</v>
      </c>
      <c r="B1429" s="29" t="s">
        <v>395</v>
      </c>
    </row>
    <row r="1430" spans="1:2" x14ac:dyDescent="0.3">
      <c r="A1430" s="29" t="s">
        <v>891</v>
      </c>
      <c r="B1430" s="29" t="s">
        <v>395</v>
      </c>
    </row>
    <row r="1431" spans="1:2" x14ac:dyDescent="0.3">
      <c r="A1431" s="29" t="s">
        <v>891</v>
      </c>
      <c r="B1431" s="29" t="s">
        <v>395</v>
      </c>
    </row>
    <row r="1432" spans="1:2" x14ac:dyDescent="0.3">
      <c r="A1432" s="29" t="s">
        <v>891</v>
      </c>
      <c r="B1432" s="29" t="s">
        <v>395</v>
      </c>
    </row>
    <row r="1433" spans="1:2" x14ac:dyDescent="0.3">
      <c r="A1433" s="29" t="s">
        <v>892</v>
      </c>
      <c r="B1433" s="29" t="s">
        <v>395</v>
      </c>
    </row>
    <row r="1434" spans="1:2" x14ac:dyDescent="0.3">
      <c r="A1434" s="29" t="s">
        <v>893</v>
      </c>
      <c r="B1434" s="29" t="s">
        <v>395</v>
      </c>
    </row>
    <row r="1435" spans="1:2" x14ac:dyDescent="0.3">
      <c r="A1435" s="29" t="s">
        <v>893</v>
      </c>
      <c r="B1435" s="29" t="s">
        <v>395</v>
      </c>
    </row>
    <row r="1436" spans="1:2" x14ac:dyDescent="0.3">
      <c r="A1436" s="29" t="s">
        <v>894</v>
      </c>
      <c r="B1436" s="29" t="s">
        <v>395</v>
      </c>
    </row>
    <row r="1437" spans="1:2" x14ac:dyDescent="0.3">
      <c r="A1437" s="29" t="s">
        <v>895</v>
      </c>
      <c r="B1437" s="29" t="s">
        <v>395</v>
      </c>
    </row>
    <row r="1438" spans="1:2" x14ac:dyDescent="0.3">
      <c r="A1438" s="29" t="s">
        <v>895</v>
      </c>
      <c r="B1438" s="29" t="s">
        <v>395</v>
      </c>
    </row>
    <row r="1439" spans="1:2" x14ac:dyDescent="0.3">
      <c r="A1439" s="29" t="s">
        <v>895</v>
      </c>
      <c r="B1439" s="29" t="s">
        <v>395</v>
      </c>
    </row>
    <row r="1440" spans="1:2" x14ac:dyDescent="0.3">
      <c r="A1440" s="29" t="s">
        <v>895</v>
      </c>
      <c r="B1440" s="29" t="s">
        <v>395</v>
      </c>
    </row>
    <row r="1441" spans="1:2" x14ac:dyDescent="0.3">
      <c r="A1441" s="29" t="s">
        <v>895</v>
      </c>
      <c r="B1441" s="29" t="s">
        <v>395</v>
      </c>
    </row>
    <row r="1442" spans="1:2" x14ac:dyDescent="0.3">
      <c r="A1442" s="29" t="s">
        <v>895</v>
      </c>
      <c r="B1442" s="29" t="s">
        <v>395</v>
      </c>
    </row>
    <row r="1443" spans="1:2" x14ac:dyDescent="0.3">
      <c r="A1443" s="29" t="s">
        <v>895</v>
      </c>
      <c r="B1443" s="29" t="s">
        <v>395</v>
      </c>
    </row>
    <row r="1444" spans="1:2" x14ac:dyDescent="0.3">
      <c r="A1444" s="29" t="s">
        <v>895</v>
      </c>
      <c r="B1444" s="29" t="s">
        <v>395</v>
      </c>
    </row>
    <row r="1445" spans="1:2" x14ac:dyDescent="0.3">
      <c r="A1445" s="29" t="s">
        <v>896</v>
      </c>
      <c r="B1445" s="29" t="s">
        <v>395</v>
      </c>
    </row>
    <row r="1446" spans="1:2" x14ac:dyDescent="0.3">
      <c r="A1446" s="29" t="s">
        <v>897</v>
      </c>
      <c r="B1446" s="29" t="s">
        <v>395</v>
      </c>
    </row>
    <row r="1447" spans="1:2" x14ac:dyDescent="0.3">
      <c r="A1447" s="29" t="s">
        <v>897</v>
      </c>
      <c r="B1447" s="29" t="s">
        <v>395</v>
      </c>
    </row>
    <row r="1448" spans="1:2" x14ac:dyDescent="0.3">
      <c r="A1448" s="29" t="s">
        <v>897</v>
      </c>
      <c r="B1448" s="29" t="s">
        <v>395</v>
      </c>
    </row>
    <row r="1449" spans="1:2" x14ac:dyDescent="0.3">
      <c r="A1449" s="29" t="s">
        <v>897</v>
      </c>
      <c r="B1449" s="29" t="s">
        <v>395</v>
      </c>
    </row>
    <row r="1450" spans="1:2" x14ac:dyDescent="0.3">
      <c r="A1450" s="29" t="s">
        <v>897</v>
      </c>
      <c r="B1450" s="29" t="s">
        <v>395</v>
      </c>
    </row>
    <row r="1451" spans="1:2" x14ac:dyDescent="0.3">
      <c r="A1451" s="29" t="s">
        <v>897</v>
      </c>
      <c r="B1451" s="29" t="s">
        <v>395</v>
      </c>
    </row>
    <row r="1452" spans="1:2" x14ac:dyDescent="0.3">
      <c r="A1452" s="29" t="s">
        <v>897</v>
      </c>
      <c r="B1452" s="29" t="s">
        <v>395</v>
      </c>
    </row>
    <row r="1453" spans="1:2" x14ac:dyDescent="0.3">
      <c r="A1453" s="29" t="s">
        <v>897</v>
      </c>
      <c r="B1453" s="29" t="s">
        <v>395</v>
      </c>
    </row>
    <row r="1454" spans="1:2" x14ac:dyDescent="0.3">
      <c r="A1454" s="29" t="s">
        <v>897</v>
      </c>
      <c r="B1454" s="29" t="s">
        <v>395</v>
      </c>
    </row>
    <row r="1455" spans="1:2" x14ac:dyDescent="0.3">
      <c r="A1455" s="29" t="s">
        <v>898</v>
      </c>
      <c r="B1455" s="29" t="s">
        <v>395</v>
      </c>
    </row>
    <row r="1456" spans="1:2" x14ac:dyDescent="0.3">
      <c r="A1456" s="29" t="s">
        <v>898</v>
      </c>
      <c r="B1456" s="29" t="s">
        <v>395</v>
      </c>
    </row>
    <row r="1457" spans="1:2" x14ac:dyDescent="0.3">
      <c r="A1457" s="29" t="s">
        <v>899</v>
      </c>
      <c r="B1457" s="29" t="s">
        <v>395</v>
      </c>
    </row>
    <row r="1458" spans="1:2" x14ac:dyDescent="0.3">
      <c r="A1458" s="29" t="s">
        <v>900</v>
      </c>
      <c r="B1458" s="29" t="s">
        <v>395</v>
      </c>
    </row>
    <row r="1459" spans="1:2" x14ac:dyDescent="0.3">
      <c r="A1459" s="29" t="s">
        <v>900</v>
      </c>
      <c r="B1459" s="29" t="s">
        <v>395</v>
      </c>
    </row>
    <row r="1460" spans="1:2" x14ac:dyDescent="0.3">
      <c r="A1460" s="29" t="s">
        <v>900</v>
      </c>
      <c r="B1460" s="29" t="s">
        <v>395</v>
      </c>
    </row>
    <row r="1461" spans="1:2" x14ac:dyDescent="0.3">
      <c r="A1461" s="29" t="s">
        <v>900</v>
      </c>
      <c r="B1461" s="29" t="s">
        <v>395</v>
      </c>
    </row>
    <row r="1462" spans="1:2" x14ac:dyDescent="0.3">
      <c r="A1462" s="29" t="s">
        <v>900</v>
      </c>
      <c r="B1462" s="29" t="s">
        <v>395</v>
      </c>
    </row>
    <row r="1463" spans="1:2" x14ac:dyDescent="0.3">
      <c r="A1463" s="29" t="s">
        <v>901</v>
      </c>
      <c r="B1463" s="29" t="s">
        <v>395</v>
      </c>
    </row>
    <row r="1464" spans="1:2" x14ac:dyDescent="0.3">
      <c r="A1464" s="29" t="s">
        <v>902</v>
      </c>
      <c r="B1464" s="29" t="s">
        <v>395</v>
      </c>
    </row>
    <row r="1465" spans="1:2" x14ac:dyDescent="0.3">
      <c r="A1465" s="29" t="s">
        <v>902</v>
      </c>
      <c r="B1465" s="29" t="s">
        <v>395</v>
      </c>
    </row>
    <row r="1466" spans="1:2" x14ac:dyDescent="0.3">
      <c r="A1466" s="29" t="s">
        <v>902</v>
      </c>
      <c r="B1466" s="29" t="s">
        <v>395</v>
      </c>
    </row>
    <row r="1467" spans="1:2" x14ac:dyDescent="0.3">
      <c r="A1467" s="29" t="s">
        <v>902</v>
      </c>
      <c r="B1467" s="29" t="s">
        <v>395</v>
      </c>
    </row>
    <row r="1468" spans="1:2" x14ac:dyDescent="0.3">
      <c r="A1468" s="29" t="s">
        <v>902</v>
      </c>
      <c r="B1468" s="29" t="s">
        <v>395</v>
      </c>
    </row>
    <row r="1469" spans="1:2" x14ac:dyDescent="0.3">
      <c r="A1469" s="29" t="s">
        <v>902</v>
      </c>
      <c r="B1469" s="29" t="s">
        <v>395</v>
      </c>
    </row>
    <row r="1470" spans="1:2" x14ac:dyDescent="0.3">
      <c r="A1470" s="29" t="s">
        <v>902</v>
      </c>
      <c r="B1470" s="29" t="s">
        <v>395</v>
      </c>
    </row>
    <row r="1471" spans="1:2" x14ac:dyDescent="0.3">
      <c r="A1471" s="29" t="s">
        <v>903</v>
      </c>
      <c r="B1471" s="29" t="s">
        <v>395</v>
      </c>
    </row>
    <row r="1472" spans="1:2" x14ac:dyDescent="0.3">
      <c r="A1472" s="29" t="s">
        <v>903</v>
      </c>
      <c r="B1472" s="29" t="s">
        <v>395</v>
      </c>
    </row>
    <row r="1473" spans="1:2" x14ac:dyDescent="0.3">
      <c r="A1473" s="29" t="s">
        <v>903</v>
      </c>
      <c r="B1473" s="29" t="s">
        <v>395</v>
      </c>
    </row>
    <row r="1474" spans="1:2" x14ac:dyDescent="0.3">
      <c r="A1474" s="29" t="s">
        <v>903</v>
      </c>
      <c r="B1474" s="29" t="s">
        <v>395</v>
      </c>
    </row>
    <row r="1475" spans="1:2" x14ac:dyDescent="0.3">
      <c r="A1475" s="29" t="s">
        <v>903</v>
      </c>
      <c r="B1475" s="29" t="s">
        <v>395</v>
      </c>
    </row>
    <row r="1476" spans="1:2" x14ac:dyDescent="0.3">
      <c r="A1476" s="29" t="s">
        <v>903</v>
      </c>
      <c r="B1476" s="29" t="s">
        <v>395</v>
      </c>
    </row>
    <row r="1477" spans="1:2" x14ac:dyDescent="0.3">
      <c r="A1477" s="29" t="s">
        <v>904</v>
      </c>
      <c r="B1477" s="29" t="s">
        <v>395</v>
      </c>
    </row>
    <row r="1478" spans="1:2" x14ac:dyDescent="0.3">
      <c r="A1478" s="29" t="s">
        <v>905</v>
      </c>
      <c r="B1478" s="29" t="s">
        <v>395</v>
      </c>
    </row>
    <row r="1479" spans="1:2" x14ac:dyDescent="0.3">
      <c r="A1479" s="29" t="s">
        <v>905</v>
      </c>
      <c r="B1479" s="29" t="s">
        <v>395</v>
      </c>
    </row>
    <row r="1480" spans="1:2" x14ac:dyDescent="0.3">
      <c r="A1480" s="29" t="s">
        <v>906</v>
      </c>
      <c r="B1480" s="29" t="s">
        <v>395</v>
      </c>
    </row>
    <row r="1481" spans="1:2" x14ac:dyDescent="0.3">
      <c r="A1481" s="29" t="s">
        <v>906</v>
      </c>
      <c r="B1481" s="29" t="s">
        <v>395</v>
      </c>
    </row>
    <row r="1482" spans="1:2" x14ac:dyDescent="0.3">
      <c r="A1482" s="29" t="s">
        <v>907</v>
      </c>
      <c r="B1482" s="29" t="s">
        <v>395</v>
      </c>
    </row>
    <row r="1483" spans="1:2" x14ac:dyDescent="0.3">
      <c r="A1483" s="29" t="s">
        <v>908</v>
      </c>
      <c r="B1483" s="29" t="s">
        <v>395</v>
      </c>
    </row>
    <row r="1484" spans="1:2" x14ac:dyDescent="0.3">
      <c r="A1484" s="29" t="s">
        <v>909</v>
      </c>
      <c r="B1484" s="29" t="s">
        <v>395</v>
      </c>
    </row>
    <row r="1485" spans="1:2" x14ac:dyDescent="0.3">
      <c r="A1485" s="29" t="s">
        <v>910</v>
      </c>
      <c r="B1485" s="29" t="s">
        <v>395</v>
      </c>
    </row>
    <row r="1486" spans="1:2" x14ac:dyDescent="0.3">
      <c r="A1486" s="29" t="s">
        <v>911</v>
      </c>
      <c r="B1486" s="29" t="s">
        <v>395</v>
      </c>
    </row>
    <row r="1487" spans="1:2" x14ac:dyDescent="0.3">
      <c r="A1487" s="29" t="s">
        <v>912</v>
      </c>
      <c r="B1487" s="29" t="s">
        <v>395</v>
      </c>
    </row>
    <row r="1488" spans="1:2" x14ac:dyDescent="0.3">
      <c r="A1488" s="29" t="s">
        <v>913</v>
      </c>
      <c r="B1488" s="29" t="s">
        <v>395</v>
      </c>
    </row>
    <row r="1489" spans="1:2" x14ac:dyDescent="0.3">
      <c r="A1489" s="29" t="s">
        <v>914</v>
      </c>
      <c r="B1489" s="29" t="s">
        <v>395</v>
      </c>
    </row>
    <row r="1490" spans="1:2" x14ac:dyDescent="0.3">
      <c r="A1490" s="29" t="s">
        <v>915</v>
      </c>
      <c r="B1490" s="29" t="s">
        <v>395</v>
      </c>
    </row>
    <row r="1491" spans="1:2" x14ac:dyDescent="0.3">
      <c r="A1491" s="29" t="s">
        <v>916</v>
      </c>
      <c r="B1491" s="29" t="s">
        <v>395</v>
      </c>
    </row>
    <row r="1492" spans="1:2" x14ac:dyDescent="0.3">
      <c r="A1492" s="29" t="s">
        <v>916</v>
      </c>
      <c r="B1492" s="29" t="s">
        <v>395</v>
      </c>
    </row>
    <row r="1493" spans="1:2" x14ac:dyDescent="0.3">
      <c r="A1493" s="29" t="s">
        <v>916</v>
      </c>
      <c r="B1493" s="29" t="s">
        <v>395</v>
      </c>
    </row>
    <row r="1494" spans="1:2" x14ac:dyDescent="0.3">
      <c r="A1494" s="29" t="s">
        <v>916</v>
      </c>
      <c r="B1494" s="29" t="s">
        <v>395</v>
      </c>
    </row>
    <row r="1495" spans="1:2" x14ac:dyDescent="0.3">
      <c r="A1495" s="29" t="s">
        <v>916</v>
      </c>
      <c r="B1495" s="29" t="s">
        <v>395</v>
      </c>
    </row>
    <row r="1496" spans="1:2" x14ac:dyDescent="0.3">
      <c r="A1496" s="29" t="s">
        <v>917</v>
      </c>
      <c r="B1496" s="29" t="s">
        <v>395</v>
      </c>
    </row>
    <row r="1497" spans="1:2" x14ac:dyDescent="0.3">
      <c r="A1497" s="29" t="s">
        <v>917</v>
      </c>
      <c r="B1497" s="29" t="s">
        <v>395</v>
      </c>
    </row>
    <row r="1498" spans="1:2" x14ac:dyDescent="0.3">
      <c r="A1498" s="29" t="s">
        <v>918</v>
      </c>
      <c r="B1498" s="29" t="s">
        <v>395</v>
      </c>
    </row>
    <row r="1499" spans="1:2" x14ac:dyDescent="0.3">
      <c r="A1499" s="29" t="s">
        <v>918</v>
      </c>
      <c r="B1499" s="29" t="s">
        <v>395</v>
      </c>
    </row>
    <row r="1500" spans="1:2" x14ac:dyDescent="0.3">
      <c r="A1500" s="29" t="s">
        <v>919</v>
      </c>
      <c r="B1500" s="29" t="s">
        <v>395</v>
      </c>
    </row>
    <row r="1501" spans="1:2" x14ac:dyDescent="0.3">
      <c r="A1501" s="29" t="s">
        <v>919</v>
      </c>
      <c r="B1501" s="29" t="s">
        <v>395</v>
      </c>
    </row>
    <row r="1502" spans="1:2" x14ac:dyDescent="0.3">
      <c r="A1502" s="29" t="s">
        <v>920</v>
      </c>
      <c r="B1502" s="29" t="s">
        <v>395</v>
      </c>
    </row>
    <row r="1503" spans="1:2" x14ac:dyDescent="0.3">
      <c r="A1503" s="29" t="s">
        <v>921</v>
      </c>
      <c r="B1503" s="29" t="s">
        <v>395</v>
      </c>
    </row>
    <row r="1504" spans="1:2" x14ac:dyDescent="0.3">
      <c r="A1504" s="29" t="s">
        <v>921</v>
      </c>
      <c r="B1504" s="29" t="s">
        <v>395</v>
      </c>
    </row>
    <row r="1505" spans="1:2" x14ac:dyDescent="0.3">
      <c r="A1505" s="29" t="s">
        <v>922</v>
      </c>
      <c r="B1505" s="29" t="s">
        <v>395</v>
      </c>
    </row>
    <row r="1506" spans="1:2" x14ac:dyDescent="0.3">
      <c r="A1506" s="29" t="s">
        <v>923</v>
      </c>
      <c r="B1506" s="29" t="s">
        <v>395</v>
      </c>
    </row>
    <row r="1507" spans="1:2" x14ac:dyDescent="0.3">
      <c r="A1507" s="29" t="s">
        <v>924</v>
      </c>
      <c r="B1507" s="29" t="s">
        <v>395</v>
      </c>
    </row>
    <row r="1508" spans="1:2" x14ac:dyDescent="0.3">
      <c r="A1508" s="29" t="s">
        <v>924</v>
      </c>
      <c r="B1508" s="29" t="s">
        <v>395</v>
      </c>
    </row>
    <row r="1509" spans="1:2" x14ac:dyDescent="0.3">
      <c r="A1509" s="29" t="s">
        <v>925</v>
      </c>
      <c r="B1509" s="29" t="s">
        <v>395</v>
      </c>
    </row>
    <row r="1510" spans="1:2" x14ac:dyDescent="0.3">
      <c r="A1510" s="29" t="s">
        <v>926</v>
      </c>
      <c r="B1510" s="29" t="s">
        <v>395</v>
      </c>
    </row>
    <row r="1511" spans="1:2" x14ac:dyDescent="0.3">
      <c r="A1511" s="29" t="s">
        <v>927</v>
      </c>
      <c r="B1511" s="29" t="s">
        <v>395</v>
      </c>
    </row>
    <row r="1512" spans="1:2" x14ac:dyDescent="0.3">
      <c r="A1512" s="29" t="s">
        <v>928</v>
      </c>
      <c r="B1512" s="29" t="s">
        <v>395</v>
      </c>
    </row>
    <row r="1513" spans="1:2" x14ac:dyDescent="0.3">
      <c r="A1513" s="29" t="s">
        <v>929</v>
      </c>
      <c r="B1513" s="29" t="s">
        <v>395</v>
      </c>
    </row>
    <row r="1514" spans="1:2" x14ac:dyDescent="0.3">
      <c r="A1514" s="29" t="s">
        <v>930</v>
      </c>
      <c r="B1514" s="29" t="s">
        <v>395</v>
      </c>
    </row>
    <row r="1515" spans="1:2" x14ac:dyDescent="0.3">
      <c r="A1515" s="29" t="s">
        <v>931</v>
      </c>
      <c r="B1515" s="29" t="s">
        <v>395</v>
      </c>
    </row>
    <row r="1516" spans="1:2" x14ac:dyDescent="0.3">
      <c r="A1516" s="29" t="s">
        <v>932</v>
      </c>
      <c r="B1516" s="29" t="s">
        <v>395</v>
      </c>
    </row>
    <row r="1517" spans="1:2" x14ac:dyDescent="0.3">
      <c r="A1517" s="29" t="s">
        <v>932</v>
      </c>
      <c r="B1517" s="29" t="s">
        <v>395</v>
      </c>
    </row>
    <row r="1518" spans="1:2" x14ac:dyDescent="0.3">
      <c r="A1518" s="29" t="s">
        <v>933</v>
      </c>
      <c r="B1518" s="29" t="s">
        <v>395</v>
      </c>
    </row>
    <row r="1519" spans="1:2" x14ac:dyDescent="0.3">
      <c r="A1519" s="29" t="s">
        <v>934</v>
      </c>
      <c r="B1519" s="29" t="s">
        <v>395</v>
      </c>
    </row>
    <row r="1520" spans="1:2" x14ac:dyDescent="0.3">
      <c r="A1520" s="29" t="s">
        <v>934</v>
      </c>
      <c r="B1520" s="29" t="s">
        <v>395</v>
      </c>
    </row>
    <row r="1521" spans="1:2" x14ac:dyDescent="0.3">
      <c r="A1521" s="29" t="s">
        <v>934</v>
      </c>
      <c r="B1521" s="29" t="s">
        <v>395</v>
      </c>
    </row>
    <row r="1522" spans="1:2" x14ac:dyDescent="0.3">
      <c r="A1522" s="29" t="s">
        <v>934</v>
      </c>
      <c r="B1522" s="29" t="s">
        <v>395</v>
      </c>
    </row>
    <row r="1523" spans="1:2" x14ac:dyDescent="0.3">
      <c r="A1523" s="29" t="s">
        <v>934</v>
      </c>
      <c r="B1523" s="29" t="s">
        <v>395</v>
      </c>
    </row>
    <row r="1524" spans="1:2" x14ac:dyDescent="0.3">
      <c r="A1524" s="29" t="s">
        <v>934</v>
      </c>
      <c r="B1524" s="29" t="s">
        <v>395</v>
      </c>
    </row>
    <row r="1525" spans="1:2" x14ac:dyDescent="0.3">
      <c r="A1525" s="29" t="s">
        <v>934</v>
      </c>
      <c r="B1525" s="29" t="s">
        <v>395</v>
      </c>
    </row>
    <row r="1526" spans="1:2" x14ac:dyDescent="0.3">
      <c r="A1526" s="29" t="s">
        <v>934</v>
      </c>
      <c r="B1526" s="29" t="s">
        <v>395</v>
      </c>
    </row>
    <row r="1527" spans="1:2" x14ac:dyDescent="0.3">
      <c r="A1527" s="29" t="s">
        <v>934</v>
      </c>
      <c r="B1527" s="29" t="s">
        <v>395</v>
      </c>
    </row>
    <row r="1528" spans="1:2" x14ac:dyDescent="0.3">
      <c r="A1528" s="29" t="s">
        <v>934</v>
      </c>
      <c r="B1528" s="29" t="s">
        <v>395</v>
      </c>
    </row>
    <row r="1529" spans="1:2" x14ac:dyDescent="0.3">
      <c r="A1529" s="29" t="s">
        <v>934</v>
      </c>
      <c r="B1529" s="29" t="s">
        <v>395</v>
      </c>
    </row>
    <row r="1530" spans="1:2" x14ac:dyDescent="0.3">
      <c r="A1530" s="29" t="s">
        <v>935</v>
      </c>
      <c r="B1530" s="29" t="s">
        <v>395</v>
      </c>
    </row>
    <row r="1531" spans="1:2" x14ac:dyDescent="0.3">
      <c r="A1531" s="29" t="s">
        <v>935</v>
      </c>
      <c r="B1531" s="29" t="s">
        <v>395</v>
      </c>
    </row>
    <row r="1532" spans="1:2" x14ac:dyDescent="0.3">
      <c r="A1532" s="29" t="s">
        <v>935</v>
      </c>
      <c r="B1532" s="29" t="s">
        <v>395</v>
      </c>
    </row>
    <row r="1533" spans="1:2" x14ac:dyDescent="0.3">
      <c r="A1533" s="29" t="s">
        <v>936</v>
      </c>
      <c r="B1533" s="29" t="s">
        <v>395</v>
      </c>
    </row>
    <row r="1534" spans="1:2" x14ac:dyDescent="0.3">
      <c r="A1534" s="29" t="s">
        <v>937</v>
      </c>
      <c r="B1534" s="29" t="s">
        <v>395</v>
      </c>
    </row>
    <row r="1535" spans="1:2" x14ac:dyDescent="0.3">
      <c r="A1535" s="29" t="s">
        <v>938</v>
      </c>
      <c r="B1535" s="29" t="s">
        <v>395</v>
      </c>
    </row>
    <row r="1536" spans="1:2" x14ac:dyDescent="0.3">
      <c r="A1536" s="29" t="s">
        <v>938</v>
      </c>
      <c r="B1536" s="29" t="s">
        <v>395</v>
      </c>
    </row>
    <row r="1537" spans="1:2" x14ac:dyDescent="0.3">
      <c r="A1537" s="29" t="s">
        <v>938</v>
      </c>
      <c r="B1537" s="29" t="s">
        <v>395</v>
      </c>
    </row>
    <row r="1538" spans="1:2" x14ac:dyDescent="0.3">
      <c r="A1538" s="29" t="s">
        <v>938</v>
      </c>
      <c r="B1538" s="29" t="s">
        <v>395</v>
      </c>
    </row>
    <row r="1539" spans="1:2" x14ac:dyDescent="0.3">
      <c r="A1539" s="29" t="s">
        <v>938</v>
      </c>
      <c r="B1539" s="29" t="s">
        <v>395</v>
      </c>
    </row>
    <row r="1540" spans="1:2" x14ac:dyDescent="0.3">
      <c r="A1540" s="29" t="s">
        <v>938</v>
      </c>
      <c r="B1540" s="29" t="s">
        <v>395</v>
      </c>
    </row>
    <row r="1541" spans="1:2" x14ac:dyDescent="0.3">
      <c r="A1541" s="29" t="s">
        <v>938</v>
      </c>
      <c r="B1541" s="29" t="s">
        <v>395</v>
      </c>
    </row>
    <row r="1542" spans="1:2" x14ac:dyDescent="0.3">
      <c r="A1542" s="29" t="s">
        <v>938</v>
      </c>
      <c r="B1542" s="29" t="s">
        <v>395</v>
      </c>
    </row>
    <row r="1543" spans="1:2" x14ac:dyDescent="0.3">
      <c r="A1543" s="29" t="s">
        <v>938</v>
      </c>
      <c r="B1543" s="29" t="s">
        <v>395</v>
      </c>
    </row>
    <row r="1544" spans="1:2" x14ac:dyDescent="0.3">
      <c r="A1544" s="29" t="s">
        <v>939</v>
      </c>
      <c r="B1544" s="29" t="s">
        <v>395</v>
      </c>
    </row>
    <row r="1545" spans="1:2" x14ac:dyDescent="0.3">
      <c r="A1545" s="29" t="s">
        <v>940</v>
      </c>
      <c r="B1545" s="29" t="s">
        <v>395</v>
      </c>
    </row>
    <row r="1546" spans="1:2" x14ac:dyDescent="0.3">
      <c r="A1546" s="29" t="s">
        <v>940</v>
      </c>
      <c r="B1546" s="29" t="s">
        <v>395</v>
      </c>
    </row>
    <row r="1547" spans="1:2" x14ac:dyDescent="0.3">
      <c r="A1547" s="29" t="s">
        <v>941</v>
      </c>
      <c r="B1547" s="29" t="s">
        <v>395</v>
      </c>
    </row>
    <row r="1548" spans="1:2" x14ac:dyDescent="0.3">
      <c r="A1548" s="29" t="s">
        <v>942</v>
      </c>
      <c r="B1548" s="29" t="s">
        <v>395</v>
      </c>
    </row>
    <row r="1549" spans="1:2" x14ac:dyDescent="0.3">
      <c r="A1549" s="29" t="s">
        <v>942</v>
      </c>
      <c r="B1549" s="29" t="s">
        <v>395</v>
      </c>
    </row>
    <row r="1550" spans="1:2" x14ac:dyDescent="0.3">
      <c r="A1550" s="29" t="s">
        <v>942</v>
      </c>
      <c r="B1550" s="29" t="s">
        <v>395</v>
      </c>
    </row>
    <row r="1551" spans="1:2" x14ac:dyDescent="0.3">
      <c r="A1551" s="29" t="s">
        <v>942</v>
      </c>
      <c r="B1551" s="29" t="s">
        <v>395</v>
      </c>
    </row>
    <row r="1552" spans="1:2" x14ac:dyDescent="0.3">
      <c r="A1552" s="29" t="s">
        <v>942</v>
      </c>
      <c r="B1552" s="29" t="s">
        <v>395</v>
      </c>
    </row>
    <row r="1553" spans="1:2" x14ac:dyDescent="0.3">
      <c r="A1553" s="29" t="s">
        <v>942</v>
      </c>
      <c r="B1553" s="29" t="s">
        <v>395</v>
      </c>
    </row>
    <row r="1554" spans="1:2" x14ac:dyDescent="0.3">
      <c r="A1554" s="29" t="s">
        <v>942</v>
      </c>
      <c r="B1554" s="29" t="s">
        <v>395</v>
      </c>
    </row>
    <row r="1555" spans="1:2" x14ac:dyDescent="0.3">
      <c r="A1555" s="29" t="s">
        <v>942</v>
      </c>
      <c r="B1555" s="29" t="s">
        <v>395</v>
      </c>
    </row>
    <row r="1556" spans="1:2" x14ac:dyDescent="0.3">
      <c r="A1556" s="29" t="s">
        <v>942</v>
      </c>
      <c r="B1556" s="29" t="s">
        <v>395</v>
      </c>
    </row>
    <row r="1557" spans="1:2" x14ac:dyDescent="0.3">
      <c r="A1557" s="29" t="s">
        <v>943</v>
      </c>
      <c r="B1557" s="29" t="s">
        <v>395</v>
      </c>
    </row>
    <row r="1558" spans="1:2" x14ac:dyDescent="0.3">
      <c r="A1558" s="29" t="s">
        <v>943</v>
      </c>
      <c r="B1558" s="29" t="s">
        <v>395</v>
      </c>
    </row>
    <row r="1559" spans="1:2" x14ac:dyDescent="0.3">
      <c r="A1559" s="29" t="s">
        <v>944</v>
      </c>
      <c r="B1559" s="29" t="s">
        <v>395</v>
      </c>
    </row>
    <row r="1560" spans="1:2" x14ac:dyDescent="0.3">
      <c r="A1560" s="29" t="s">
        <v>945</v>
      </c>
      <c r="B1560" s="29" t="s">
        <v>395</v>
      </c>
    </row>
    <row r="1561" spans="1:2" x14ac:dyDescent="0.3">
      <c r="A1561" s="29" t="s">
        <v>946</v>
      </c>
      <c r="B1561" s="29" t="s">
        <v>395</v>
      </c>
    </row>
    <row r="1562" spans="1:2" x14ac:dyDescent="0.3">
      <c r="A1562" s="29" t="s">
        <v>946</v>
      </c>
      <c r="B1562" s="29" t="s">
        <v>395</v>
      </c>
    </row>
    <row r="1563" spans="1:2" x14ac:dyDescent="0.3">
      <c r="A1563" s="29" t="s">
        <v>946</v>
      </c>
      <c r="B1563" s="29" t="s">
        <v>395</v>
      </c>
    </row>
    <row r="1564" spans="1:2" x14ac:dyDescent="0.3">
      <c r="A1564" s="29" t="s">
        <v>946</v>
      </c>
      <c r="B1564" s="29" t="s">
        <v>395</v>
      </c>
    </row>
    <row r="1565" spans="1:2" x14ac:dyDescent="0.3">
      <c r="A1565" s="29" t="s">
        <v>946</v>
      </c>
      <c r="B1565" s="29" t="s">
        <v>395</v>
      </c>
    </row>
    <row r="1566" spans="1:2" x14ac:dyDescent="0.3">
      <c r="A1566" s="29" t="s">
        <v>946</v>
      </c>
      <c r="B1566" s="29" t="s">
        <v>395</v>
      </c>
    </row>
    <row r="1567" spans="1:2" x14ac:dyDescent="0.3">
      <c r="A1567" s="29" t="s">
        <v>946</v>
      </c>
      <c r="B1567" s="29" t="s">
        <v>395</v>
      </c>
    </row>
    <row r="1568" spans="1:2" x14ac:dyDescent="0.3">
      <c r="A1568" s="29" t="s">
        <v>946</v>
      </c>
      <c r="B1568" s="29" t="s">
        <v>395</v>
      </c>
    </row>
    <row r="1569" spans="1:2" x14ac:dyDescent="0.3">
      <c r="A1569" s="29" t="s">
        <v>946</v>
      </c>
      <c r="B1569" s="29" t="s">
        <v>395</v>
      </c>
    </row>
    <row r="1570" spans="1:2" x14ac:dyDescent="0.3">
      <c r="A1570" s="29" t="s">
        <v>946</v>
      </c>
      <c r="B1570" s="29" t="s">
        <v>395</v>
      </c>
    </row>
    <row r="1571" spans="1:2" x14ac:dyDescent="0.3">
      <c r="A1571" s="29" t="s">
        <v>946</v>
      </c>
      <c r="B1571" s="29" t="s">
        <v>395</v>
      </c>
    </row>
    <row r="1572" spans="1:2" x14ac:dyDescent="0.3">
      <c r="A1572" s="29" t="s">
        <v>947</v>
      </c>
      <c r="B1572" s="29" t="s">
        <v>395</v>
      </c>
    </row>
    <row r="1573" spans="1:2" x14ac:dyDescent="0.3">
      <c r="A1573" s="29" t="s">
        <v>947</v>
      </c>
      <c r="B1573" s="29" t="s">
        <v>395</v>
      </c>
    </row>
    <row r="1574" spans="1:2" x14ac:dyDescent="0.3">
      <c r="A1574" s="29" t="s">
        <v>947</v>
      </c>
      <c r="B1574" s="29" t="s">
        <v>395</v>
      </c>
    </row>
    <row r="1575" spans="1:2" x14ac:dyDescent="0.3">
      <c r="A1575" s="29" t="s">
        <v>948</v>
      </c>
      <c r="B1575" s="29" t="s">
        <v>395</v>
      </c>
    </row>
    <row r="1576" spans="1:2" x14ac:dyDescent="0.3">
      <c r="A1576" s="29" t="s">
        <v>949</v>
      </c>
      <c r="B1576" s="29" t="s">
        <v>395</v>
      </c>
    </row>
    <row r="1577" spans="1:2" x14ac:dyDescent="0.3">
      <c r="A1577" s="29" t="s">
        <v>949</v>
      </c>
      <c r="B1577" s="29" t="s">
        <v>395</v>
      </c>
    </row>
    <row r="1578" spans="1:2" x14ac:dyDescent="0.3">
      <c r="A1578" s="29" t="s">
        <v>949</v>
      </c>
      <c r="B1578" s="29" t="s">
        <v>395</v>
      </c>
    </row>
    <row r="1579" spans="1:2" x14ac:dyDescent="0.3">
      <c r="A1579" s="29" t="s">
        <v>949</v>
      </c>
      <c r="B1579" s="29" t="s">
        <v>395</v>
      </c>
    </row>
    <row r="1580" spans="1:2" x14ac:dyDescent="0.3">
      <c r="A1580" s="29" t="s">
        <v>949</v>
      </c>
      <c r="B1580" s="29" t="s">
        <v>395</v>
      </c>
    </row>
    <row r="1581" spans="1:2" x14ac:dyDescent="0.3">
      <c r="A1581" s="29" t="s">
        <v>949</v>
      </c>
      <c r="B1581" s="29" t="s">
        <v>395</v>
      </c>
    </row>
    <row r="1582" spans="1:2" x14ac:dyDescent="0.3">
      <c r="A1582" s="29" t="s">
        <v>949</v>
      </c>
      <c r="B1582" s="29" t="s">
        <v>395</v>
      </c>
    </row>
    <row r="1583" spans="1:2" x14ac:dyDescent="0.3">
      <c r="A1583" s="29" t="s">
        <v>949</v>
      </c>
      <c r="B1583" s="29" t="s">
        <v>395</v>
      </c>
    </row>
    <row r="1584" spans="1:2" x14ac:dyDescent="0.3">
      <c r="A1584" s="29" t="s">
        <v>949</v>
      </c>
      <c r="B1584" s="29" t="s">
        <v>395</v>
      </c>
    </row>
    <row r="1585" spans="1:2" x14ac:dyDescent="0.3">
      <c r="A1585" s="29" t="s">
        <v>949</v>
      </c>
      <c r="B1585" s="29" t="s">
        <v>395</v>
      </c>
    </row>
    <row r="1586" spans="1:2" x14ac:dyDescent="0.3">
      <c r="A1586" s="29" t="s">
        <v>949</v>
      </c>
      <c r="B1586" s="29" t="s">
        <v>395</v>
      </c>
    </row>
    <row r="1587" spans="1:2" x14ac:dyDescent="0.3">
      <c r="A1587" s="29" t="s">
        <v>949</v>
      </c>
      <c r="B1587" s="29" t="s">
        <v>395</v>
      </c>
    </row>
    <row r="1588" spans="1:2" x14ac:dyDescent="0.3">
      <c r="A1588" s="29" t="s">
        <v>949</v>
      </c>
      <c r="B1588" s="29" t="s">
        <v>395</v>
      </c>
    </row>
    <row r="1589" spans="1:2" x14ac:dyDescent="0.3">
      <c r="A1589" s="29" t="s">
        <v>950</v>
      </c>
      <c r="B1589" s="29" t="s">
        <v>395</v>
      </c>
    </row>
    <row r="1590" spans="1:2" x14ac:dyDescent="0.3">
      <c r="A1590" s="29" t="s">
        <v>951</v>
      </c>
      <c r="B1590" s="29" t="s">
        <v>395</v>
      </c>
    </row>
    <row r="1591" spans="1:2" x14ac:dyDescent="0.3">
      <c r="A1591" s="29" t="s">
        <v>951</v>
      </c>
      <c r="B1591" s="29" t="s">
        <v>395</v>
      </c>
    </row>
    <row r="1592" spans="1:2" x14ac:dyDescent="0.3">
      <c r="A1592" s="29" t="s">
        <v>952</v>
      </c>
      <c r="B1592" s="29" t="s">
        <v>395</v>
      </c>
    </row>
    <row r="1593" spans="1:2" x14ac:dyDescent="0.3">
      <c r="A1593" s="29" t="s">
        <v>953</v>
      </c>
      <c r="B1593" s="29" t="s">
        <v>395</v>
      </c>
    </row>
    <row r="1594" spans="1:2" x14ac:dyDescent="0.3">
      <c r="A1594" s="29" t="s">
        <v>954</v>
      </c>
      <c r="B1594" s="29" t="s">
        <v>395</v>
      </c>
    </row>
    <row r="1595" spans="1:2" x14ac:dyDescent="0.3">
      <c r="A1595" s="29" t="s">
        <v>955</v>
      </c>
      <c r="B1595" s="29" t="s">
        <v>395</v>
      </c>
    </row>
    <row r="1596" spans="1:2" x14ac:dyDescent="0.3">
      <c r="A1596" s="29" t="s">
        <v>955</v>
      </c>
      <c r="B1596" s="29" t="s">
        <v>395</v>
      </c>
    </row>
    <row r="1597" spans="1:2" x14ac:dyDescent="0.3">
      <c r="A1597" s="29" t="s">
        <v>955</v>
      </c>
      <c r="B1597" s="29" t="s">
        <v>395</v>
      </c>
    </row>
    <row r="1598" spans="1:2" x14ac:dyDescent="0.3">
      <c r="A1598" s="29" t="s">
        <v>955</v>
      </c>
      <c r="B1598" s="29" t="s">
        <v>395</v>
      </c>
    </row>
    <row r="1599" spans="1:2" x14ac:dyDescent="0.3">
      <c r="A1599" s="29" t="s">
        <v>955</v>
      </c>
      <c r="B1599" s="29" t="s">
        <v>395</v>
      </c>
    </row>
    <row r="1600" spans="1:2" x14ac:dyDescent="0.3">
      <c r="A1600" s="29" t="s">
        <v>955</v>
      </c>
      <c r="B1600" s="29" t="s">
        <v>395</v>
      </c>
    </row>
    <row r="1601" spans="1:2" x14ac:dyDescent="0.3">
      <c r="A1601" s="29" t="s">
        <v>955</v>
      </c>
      <c r="B1601" s="29" t="s">
        <v>395</v>
      </c>
    </row>
    <row r="1602" spans="1:2" x14ac:dyDescent="0.3">
      <c r="A1602" s="29" t="s">
        <v>955</v>
      </c>
      <c r="B1602" s="29" t="s">
        <v>395</v>
      </c>
    </row>
    <row r="1603" spans="1:2" x14ac:dyDescent="0.3">
      <c r="A1603" s="29" t="s">
        <v>955</v>
      </c>
      <c r="B1603" s="29" t="s">
        <v>395</v>
      </c>
    </row>
    <row r="1604" spans="1:2" x14ac:dyDescent="0.3">
      <c r="A1604" s="29" t="s">
        <v>955</v>
      </c>
      <c r="B1604" s="29" t="s">
        <v>395</v>
      </c>
    </row>
    <row r="1605" spans="1:2" x14ac:dyDescent="0.3">
      <c r="A1605" s="29" t="s">
        <v>955</v>
      </c>
      <c r="B1605" s="29" t="s">
        <v>395</v>
      </c>
    </row>
    <row r="1606" spans="1:2" x14ac:dyDescent="0.3">
      <c r="A1606" s="29" t="s">
        <v>956</v>
      </c>
      <c r="B1606" s="29" t="s">
        <v>395</v>
      </c>
    </row>
    <row r="1607" spans="1:2" x14ac:dyDescent="0.3">
      <c r="A1607" s="29" t="s">
        <v>957</v>
      </c>
      <c r="B1607" s="29" t="s">
        <v>395</v>
      </c>
    </row>
    <row r="1608" spans="1:2" x14ac:dyDescent="0.3">
      <c r="A1608" s="29" t="s">
        <v>958</v>
      </c>
      <c r="B1608" s="29" t="s">
        <v>395</v>
      </c>
    </row>
    <row r="1609" spans="1:2" x14ac:dyDescent="0.3">
      <c r="A1609" s="29" t="s">
        <v>959</v>
      </c>
      <c r="B1609" s="29" t="s">
        <v>395</v>
      </c>
    </row>
    <row r="1610" spans="1:2" x14ac:dyDescent="0.3">
      <c r="A1610" s="29" t="s">
        <v>960</v>
      </c>
      <c r="B1610" s="29" t="s">
        <v>395</v>
      </c>
    </row>
    <row r="1611" spans="1:2" x14ac:dyDescent="0.3">
      <c r="A1611" s="29" t="s">
        <v>961</v>
      </c>
      <c r="B1611" s="29" t="s">
        <v>395</v>
      </c>
    </row>
    <row r="1612" spans="1:2" x14ac:dyDescent="0.3">
      <c r="A1612" s="29" t="s">
        <v>962</v>
      </c>
      <c r="B1612" s="29" t="s">
        <v>395</v>
      </c>
    </row>
    <row r="1613" spans="1:2" x14ac:dyDescent="0.3">
      <c r="A1613" s="29" t="s">
        <v>963</v>
      </c>
      <c r="B1613" s="29" t="s">
        <v>395</v>
      </c>
    </row>
    <row r="1614" spans="1:2" x14ac:dyDescent="0.3">
      <c r="A1614" s="29" t="s">
        <v>963</v>
      </c>
      <c r="B1614" s="29" t="s">
        <v>395</v>
      </c>
    </row>
    <row r="1615" spans="1:2" x14ac:dyDescent="0.3">
      <c r="A1615" s="29" t="s">
        <v>963</v>
      </c>
      <c r="B1615" s="29" t="s">
        <v>395</v>
      </c>
    </row>
    <row r="1616" spans="1:2" x14ac:dyDescent="0.3">
      <c r="A1616" s="29" t="s">
        <v>963</v>
      </c>
      <c r="B1616" s="29" t="s">
        <v>395</v>
      </c>
    </row>
    <row r="1617" spans="1:2" x14ac:dyDescent="0.3">
      <c r="A1617" s="29" t="s">
        <v>963</v>
      </c>
      <c r="B1617" s="29" t="s">
        <v>395</v>
      </c>
    </row>
    <row r="1618" spans="1:2" x14ac:dyDescent="0.3">
      <c r="A1618" s="29" t="s">
        <v>963</v>
      </c>
      <c r="B1618" s="29" t="s">
        <v>395</v>
      </c>
    </row>
    <row r="1619" spans="1:2" x14ac:dyDescent="0.3">
      <c r="A1619" s="29" t="s">
        <v>963</v>
      </c>
      <c r="B1619" s="29" t="s">
        <v>395</v>
      </c>
    </row>
    <row r="1620" spans="1:2" x14ac:dyDescent="0.3">
      <c r="A1620" s="29" t="s">
        <v>963</v>
      </c>
      <c r="B1620" s="29" t="s">
        <v>395</v>
      </c>
    </row>
    <row r="1621" spans="1:2" x14ac:dyDescent="0.3">
      <c r="A1621" s="29" t="s">
        <v>963</v>
      </c>
      <c r="B1621" s="29" t="s">
        <v>395</v>
      </c>
    </row>
    <row r="1622" spans="1:2" x14ac:dyDescent="0.3">
      <c r="A1622" s="29" t="s">
        <v>963</v>
      </c>
      <c r="B1622" s="29" t="s">
        <v>395</v>
      </c>
    </row>
    <row r="1623" spans="1:2" x14ac:dyDescent="0.3">
      <c r="A1623" s="29" t="s">
        <v>963</v>
      </c>
      <c r="B1623" s="29" t="s">
        <v>395</v>
      </c>
    </row>
    <row r="1624" spans="1:2" x14ac:dyDescent="0.3">
      <c r="A1624" s="29" t="s">
        <v>964</v>
      </c>
      <c r="B1624" s="29" t="s">
        <v>395</v>
      </c>
    </row>
    <row r="1625" spans="1:2" x14ac:dyDescent="0.3">
      <c r="A1625" s="29" t="s">
        <v>965</v>
      </c>
      <c r="B1625" s="29" t="s">
        <v>395</v>
      </c>
    </row>
    <row r="1626" spans="1:2" x14ac:dyDescent="0.3">
      <c r="A1626" s="29" t="s">
        <v>966</v>
      </c>
      <c r="B1626" s="29" t="s">
        <v>395</v>
      </c>
    </row>
    <row r="1627" spans="1:2" x14ac:dyDescent="0.3">
      <c r="A1627" s="29" t="s">
        <v>967</v>
      </c>
      <c r="B1627" s="29" t="s">
        <v>395</v>
      </c>
    </row>
    <row r="1628" spans="1:2" x14ac:dyDescent="0.3">
      <c r="A1628" s="29" t="s">
        <v>968</v>
      </c>
      <c r="B1628" s="29" t="s">
        <v>395</v>
      </c>
    </row>
    <row r="1629" spans="1:2" x14ac:dyDescent="0.3">
      <c r="A1629" s="29" t="s">
        <v>969</v>
      </c>
      <c r="B1629" s="29" t="s">
        <v>395</v>
      </c>
    </row>
    <row r="1630" spans="1:2" x14ac:dyDescent="0.3">
      <c r="A1630" s="29" t="s">
        <v>970</v>
      </c>
      <c r="B1630" s="29" t="s">
        <v>395</v>
      </c>
    </row>
    <row r="1631" spans="1:2" x14ac:dyDescent="0.3">
      <c r="A1631" s="29" t="s">
        <v>971</v>
      </c>
      <c r="B1631" s="29" t="s">
        <v>395</v>
      </c>
    </row>
    <row r="1632" spans="1:2" x14ac:dyDescent="0.3">
      <c r="A1632" s="29" t="s">
        <v>972</v>
      </c>
      <c r="B1632" s="29" t="s">
        <v>395</v>
      </c>
    </row>
    <row r="1633" spans="1:2" x14ac:dyDescent="0.3">
      <c r="A1633" s="29" t="s">
        <v>973</v>
      </c>
      <c r="B1633" s="29" t="s">
        <v>395</v>
      </c>
    </row>
    <row r="1634" spans="1:2" x14ac:dyDescent="0.3">
      <c r="A1634" s="29" t="s">
        <v>974</v>
      </c>
      <c r="B1634" s="29" t="s">
        <v>395</v>
      </c>
    </row>
    <row r="1635" spans="1:2" x14ac:dyDescent="0.3">
      <c r="A1635" s="29" t="s">
        <v>975</v>
      </c>
      <c r="B1635" s="29" t="s">
        <v>395</v>
      </c>
    </row>
    <row r="1636" spans="1:2" x14ac:dyDescent="0.3">
      <c r="A1636" s="29" t="s">
        <v>976</v>
      </c>
      <c r="B1636" s="29" t="s">
        <v>395</v>
      </c>
    </row>
    <row r="1637" spans="1:2" x14ac:dyDescent="0.3">
      <c r="A1637" s="29" t="s">
        <v>977</v>
      </c>
      <c r="B1637" s="29" t="s">
        <v>395</v>
      </c>
    </row>
    <row r="1638" spans="1:2" x14ac:dyDescent="0.3">
      <c r="A1638" s="29" t="s">
        <v>978</v>
      </c>
      <c r="B1638" s="29" t="s">
        <v>395</v>
      </c>
    </row>
    <row r="1639" spans="1:2" x14ac:dyDescent="0.3">
      <c r="A1639" s="29" t="s">
        <v>979</v>
      </c>
      <c r="B1639" s="29" t="s">
        <v>395</v>
      </c>
    </row>
    <row r="1640" spans="1:2" x14ac:dyDescent="0.3">
      <c r="A1640" s="29" t="s">
        <v>979</v>
      </c>
      <c r="B1640" s="29" t="s">
        <v>395</v>
      </c>
    </row>
    <row r="1641" spans="1:2" x14ac:dyDescent="0.3">
      <c r="A1641" s="29" t="s">
        <v>980</v>
      </c>
      <c r="B1641" s="29" t="s">
        <v>395</v>
      </c>
    </row>
    <row r="1642" spans="1:2" x14ac:dyDescent="0.3">
      <c r="A1642" s="29" t="s">
        <v>981</v>
      </c>
      <c r="B1642" s="29" t="s">
        <v>395</v>
      </c>
    </row>
    <row r="1643" spans="1:2" x14ac:dyDescent="0.3">
      <c r="A1643" s="29" t="s">
        <v>982</v>
      </c>
      <c r="B1643" s="29" t="s">
        <v>395</v>
      </c>
    </row>
    <row r="1644" spans="1:2" x14ac:dyDescent="0.3">
      <c r="A1644" s="29" t="s">
        <v>983</v>
      </c>
      <c r="B1644" s="29" t="s">
        <v>395</v>
      </c>
    </row>
    <row r="1645" spans="1:2" x14ac:dyDescent="0.3">
      <c r="A1645" s="29" t="s">
        <v>984</v>
      </c>
      <c r="B1645" s="29" t="s">
        <v>395</v>
      </c>
    </row>
    <row r="1646" spans="1:2" x14ac:dyDescent="0.3">
      <c r="A1646" s="29" t="s">
        <v>985</v>
      </c>
      <c r="B1646" s="29" t="s">
        <v>395</v>
      </c>
    </row>
    <row r="1647" spans="1:2" x14ac:dyDescent="0.3">
      <c r="A1647" s="29" t="s">
        <v>986</v>
      </c>
      <c r="B1647" s="29" t="s">
        <v>395</v>
      </c>
    </row>
    <row r="1648" spans="1:2" x14ac:dyDescent="0.3">
      <c r="A1648" s="29" t="s">
        <v>986</v>
      </c>
      <c r="B1648" s="29" t="s">
        <v>395</v>
      </c>
    </row>
    <row r="1649" spans="1:2" x14ac:dyDescent="0.3">
      <c r="A1649" s="29" t="s">
        <v>987</v>
      </c>
      <c r="B1649" s="29" t="s">
        <v>395</v>
      </c>
    </row>
    <row r="1650" spans="1:2" x14ac:dyDescent="0.3">
      <c r="A1650" s="29" t="s">
        <v>988</v>
      </c>
      <c r="B1650" s="29" t="s">
        <v>395</v>
      </c>
    </row>
    <row r="1651" spans="1:2" x14ac:dyDescent="0.3">
      <c r="A1651" s="29" t="s">
        <v>989</v>
      </c>
      <c r="B1651" s="29" t="s">
        <v>395</v>
      </c>
    </row>
    <row r="1652" spans="1:2" x14ac:dyDescent="0.3">
      <c r="A1652" s="29" t="s">
        <v>990</v>
      </c>
      <c r="B1652" s="29" t="s">
        <v>395</v>
      </c>
    </row>
    <row r="1653" spans="1:2" x14ac:dyDescent="0.3">
      <c r="A1653" s="29" t="s">
        <v>991</v>
      </c>
      <c r="B1653" s="29" t="s">
        <v>395</v>
      </c>
    </row>
    <row r="1654" spans="1:2" x14ac:dyDescent="0.3">
      <c r="A1654" s="29" t="s">
        <v>991</v>
      </c>
      <c r="B1654" s="29" t="s">
        <v>395</v>
      </c>
    </row>
    <row r="1655" spans="1:2" x14ac:dyDescent="0.3">
      <c r="A1655" s="29" t="s">
        <v>992</v>
      </c>
      <c r="B1655" s="29" t="s">
        <v>395</v>
      </c>
    </row>
    <row r="1656" spans="1:2" x14ac:dyDescent="0.3">
      <c r="A1656" s="29" t="s">
        <v>993</v>
      </c>
      <c r="B1656" s="29" t="s">
        <v>395</v>
      </c>
    </row>
    <row r="1657" spans="1:2" x14ac:dyDescent="0.3">
      <c r="A1657" s="29" t="s">
        <v>994</v>
      </c>
      <c r="B1657" s="29" t="s">
        <v>395</v>
      </c>
    </row>
    <row r="1658" spans="1:2" x14ac:dyDescent="0.3">
      <c r="A1658" s="29" t="s">
        <v>995</v>
      </c>
      <c r="B1658" s="29" t="s">
        <v>395</v>
      </c>
    </row>
    <row r="1659" spans="1:2" x14ac:dyDescent="0.3">
      <c r="A1659" s="29" t="s">
        <v>996</v>
      </c>
      <c r="B1659" s="29" t="s">
        <v>395</v>
      </c>
    </row>
    <row r="1660" spans="1:2" x14ac:dyDescent="0.3">
      <c r="A1660" s="29" t="s">
        <v>997</v>
      </c>
      <c r="B1660" s="29" t="s">
        <v>395</v>
      </c>
    </row>
    <row r="1661" spans="1:2" x14ac:dyDescent="0.3">
      <c r="A1661" s="29" t="s">
        <v>998</v>
      </c>
      <c r="B1661" s="29" t="s">
        <v>395</v>
      </c>
    </row>
    <row r="1662" spans="1:2" x14ac:dyDescent="0.3">
      <c r="A1662" s="29" t="s">
        <v>999</v>
      </c>
      <c r="B1662" s="29" t="s">
        <v>395</v>
      </c>
    </row>
    <row r="1663" spans="1:2" x14ac:dyDescent="0.3">
      <c r="A1663" s="29" t="s">
        <v>1000</v>
      </c>
      <c r="B1663" s="29" t="s">
        <v>395</v>
      </c>
    </row>
    <row r="1664" spans="1:2" x14ac:dyDescent="0.3">
      <c r="A1664" s="29" t="s">
        <v>1001</v>
      </c>
      <c r="B1664" s="29" t="s">
        <v>395</v>
      </c>
    </row>
    <row r="1665" spans="1:2" x14ac:dyDescent="0.3">
      <c r="A1665" s="29" t="s">
        <v>1002</v>
      </c>
      <c r="B1665" s="29" t="s">
        <v>395</v>
      </c>
    </row>
    <row r="1666" spans="1:2" x14ac:dyDescent="0.3">
      <c r="A1666" s="29" t="s">
        <v>1003</v>
      </c>
      <c r="B1666" s="29" t="s">
        <v>395</v>
      </c>
    </row>
    <row r="1667" spans="1:2" x14ac:dyDescent="0.3">
      <c r="A1667" s="29" t="s">
        <v>1003</v>
      </c>
      <c r="B1667" s="29" t="s">
        <v>395</v>
      </c>
    </row>
    <row r="1668" spans="1:2" x14ac:dyDescent="0.3">
      <c r="A1668" s="29" t="s">
        <v>1003</v>
      </c>
      <c r="B1668" s="29" t="s">
        <v>395</v>
      </c>
    </row>
    <row r="1669" spans="1:2" x14ac:dyDescent="0.3">
      <c r="A1669" s="29" t="s">
        <v>1003</v>
      </c>
      <c r="B1669" s="29" t="s">
        <v>395</v>
      </c>
    </row>
    <row r="1670" spans="1:2" x14ac:dyDescent="0.3">
      <c r="A1670" s="29" t="s">
        <v>1004</v>
      </c>
      <c r="B1670" s="29" t="s">
        <v>395</v>
      </c>
    </row>
    <row r="1671" spans="1:2" x14ac:dyDescent="0.3">
      <c r="A1671" s="29" t="s">
        <v>1004</v>
      </c>
      <c r="B1671" s="29" t="s">
        <v>395</v>
      </c>
    </row>
    <row r="1672" spans="1:2" x14ac:dyDescent="0.3">
      <c r="A1672" s="29" t="s">
        <v>1004</v>
      </c>
      <c r="B1672" s="29" t="s">
        <v>395</v>
      </c>
    </row>
    <row r="1673" spans="1:2" x14ac:dyDescent="0.3">
      <c r="A1673" s="29" t="s">
        <v>1005</v>
      </c>
      <c r="B1673" s="29" t="s">
        <v>395</v>
      </c>
    </row>
    <row r="1674" spans="1:2" x14ac:dyDescent="0.3">
      <c r="A1674" s="29" t="s">
        <v>1006</v>
      </c>
      <c r="B1674" s="29" t="s">
        <v>395</v>
      </c>
    </row>
    <row r="1675" spans="1:2" x14ac:dyDescent="0.3">
      <c r="A1675" s="29" t="s">
        <v>1006</v>
      </c>
      <c r="B1675" s="29" t="s">
        <v>395</v>
      </c>
    </row>
    <row r="1676" spans="1:2" x14ac:dyDescent="0.3">
      <c r="A1676" s="29" t="s">
        <v>1007</v>
      </c>
      <c r="B1676" s="29" t="s">
        <v>395</v>
      </c>
    </row>
    <row r="1677" spans="1:2" x14ac:dyDescent="0.3">
      <c r="A1677" s="29" t="s">
        <v>1008</v>
      </c>
      <c r="B1677" s="29" t="s">
        <v>395</v>
      </c>
    </row>
    <row r="1678" spans="1:2" x14ac:dyDescent="0.3">
      <c r="A1678" s="29" t="s">
        <v>1008</v>
      </c>
      <c r="B1678" s="29" t="s">
        <v>395</v>
      </c>
    </row>
    <row r="1679" spans="1:2" x14ac:dyDescent="0.3">
      <c r="A1679" s="29" t="s">
        <v>1009</v>
      </c>
      <c r="B1679" s="29" t="s">
        <v>395</v>
      </c>
    </row>
    <row r="1680" spans="1:2" x14ac:dyDescent="0.3">
      <c r="A1680" s="29" t="s">
        <v>1010</v>
      </c>
      <c r="B1680" s="29" t="s">
        <v>395</v>
      </c>
    </row>
    <row r="1681" spans="1:2" x14ac:dyDescent="0.3">
      <c r="A1681" s="29" t="s">
        <v>1010</v>
      </c>
      <c r="B1681" s="29" t="s">
        <v>395</v>
      </c>
    </row>
    <row r="1682" spans="1:2" x14ac:dyDescent="0.3">
      <c r="A1682" s="29" t="s">
        <v>1010</v>
      </c>
      <c r="B1682" s="29" t="s">
        <v>395</v>
      </c>
    </row>
    <row r="1683" spans="1:2" x14ac:dyDescent="0.3">
      <c r="A1683" s="29" t="s">
        <v>1011</v>
      </c>
      <c r="B1683" s="29" t="s">
        <v>395</v>
      </c>
    </row>
    <row r="1684" spans="1:2" x14ac:dyDescent="0.3">
      <c r="A1684" s="29" t="s">
        <v>1012</v>
      </c>
      <c r="B1684" s="29" t="s">
        <v>395</v>
      </c>
    </row>
    <row r="1685" spans="1:2" x14ac:dyDescent="0.3">
      <c r="A1685" s="29" t="s">
        <v>1013</v>
      </c>
      <c r="B1685" s="29" t="s">
        <v>395</v>
      </c>
    </row>
    <row r="1686" spans="1:2" x14ac:dyDescent="0.3">
      <c r="A1686" s="29" t="s">
        <v>1013</v>
      </c>
      <c r="B1686" s="29" t="s">
        <v>395</v>
      </c>
    </row>
    <row r="1687" spans="1:2" x14ac:dyDescent="0.3">
      <c r="A1687" s="29" t="s">
        <v>1014</v>
      </c>
      <c r="B1687" s="29" t="s">
        <v>395</v>
      </c>
    </row>
    <row r="1688" spans="1:2" x14ac:dyDescent="0.3">
      <c r="A1688" s="29" t="s">
        <v>1015</v>
      </c>
      <c r="B1688" s="29" t="s">
        <v>395</v>
      </c>
    </row>
    <row r="1689" spans="1:2" x14ac:dyDescent="0.3">
      <c r="A1689" s="29" t="s">
        <v>1016</v>
      </c>
      <c r="B1689" s="29" t="s">
        <v>395</v>
      </c>
    </row>
    <row r="1690" spans="1:2" x14ac:dyDescent="0.3">
      <c r="A1690" s="29" t="s">
        <v>1017</v>
      </c>
      <c r="B1690" s="29" t="s">
        <v>395</v>
      </c>
    </row>
    <row r="1691" spans="1:2" x14ac:dyDescent="0.3">
      <c r="A1691" s="29" t="s">
        <v>1018</v>
      </c>
      <c r="B1691" s="29" t="s">
        <v>395</v>
      </c>
    </row>
    <row r="1692" spans="1:2" x14ac:dyDescent="0.3">
      <c r="A1692" s="29" t="s">
        <v>1019</v>
      </c>
      <c r="B1692" s="29" t="s">
        <v>395</v>
      </c>
    </row>
    <row r="1693" spans="1:2" x14ac:dyDescent="0.3">
      <c r="A1693" s="29" t="s">
        <v>1020</v>
      </c>
      <c r="B1693" s="29" t="s">
        <v>395</v>
      </c>
    </row>
    <row r="1694" spans="1:2" x14ac:dyDescent="0.3">
      <c r="A1694" s="29" t="s">
        <v>1056</v>
      </c>
      <c r="B1694" s="29" t="s">
        <v>395</v>
      </c>
    </row>
    <row r="1695" spans="1:2" x14ac:dyDescent="0.3">
      <c r="B1695" s="29" t="s">
        <v>395</v>
      </c>
    </row>
    <row r="1696" spans="1:2" x14ac:dyDescent="0.3">
      <c r="B1696" s="29" t="s">
        <v>395</v>
      </c>
    </row>
    <row r="1697" spans="2:2" x14ac:dyDescent="0.3">
      <c r="B1697" s="29" t="s">
        <v>395</v>
      </c>
    </row>
    <row r="1698" spans="2:2" x14ac:dyDescent="0.3">
      <c r="B1698" s="29" t="s">
        <v>395</v>
      </c>
    </row>
    <row r="1699" spans="2:2" x14ac:dyDescent="0.3">
      <c r="B1699" s="29" t="s">
        <v>395</v>
      </c>
    </row>
    <row r="1700" spans="2:2" x14ac:dyDescent="0.3">
      <c r="B1700" s="29" t="s">
        <v>395</v>
      </c>
    </row>
    <row r="1701" spans="2:2" x14ac:dyDescent="0.3">
      <c r="B1701" s="29" t="s">
        <v>395</v>
      </c>
    </row>
  </sheetData>
  <phoneticPr fontId="1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ist_to_Analysis">
                <anchor moveWithCells="1" sizeWithCells="1">
                  <from>
                    <xdr:col>19</xdr:col>
                    <xdr:colOff>327660</xdr:colOff>
                    <xdr:row>0</xdr:row>
                    <xdr:rowOff>182880</xdr:rowOff>
                  </from>
                  <to>
                    <xdr:col>22</xdr:col>
                    <xdr:colOff>30480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574D-2A8E-43CC-ACDE-14C4993B1EBF}">
  <sheetPr codeName="工作表4"/>
  <dimension ref="A1:T18"/>
  <sheetViews>
    <sheetView workbookViewId="0">
      <selection activeCell="G23" sqref="G23"/>
    </sheetView>
  </sheetViews>
  <sheetFormatPr defaultRowHeight="16.2" x14ac:dyDescent="0.3"/>
  <cols>
    <col min="1" max="1" width="18.5546875" bestFit="1" customWidth="1"/>
    <col min="2" max="2" width="18.88671875" bestFit="1" customWidth="1"/>
    <col min="3" max="8" width="5" bestFit="1" customWidth="1"/>
    <col min="9" max="9" width="3.88671875" bestFit="1" customWidth="1"/>
    <col min="10" max="10" width="4.44140625" bestFit="1" customWidth="1"/>
    <col min="11" max="11" width="3.88671875" bestFit="1" customWidth="1"/>
    <col min="12" max="12" width="8.88671875" bestFit="1" customWidth="1"/>
    <col min="16" max="16" width="17.88671875" bestFit="1" customWidth="1"/>
    <col min="18" max="18" width="16.77734375" bestFit="1" customWidth="1"/>
  </cols>
  <sheetData>
    <row r="1" spans="1:19" x14ac:dyDescent="0.3">
      <c r="A1" s="1" t="s">
        <v>87</v>
      </c>
      <c r="B1" s="1" t="s">
        <v>88</v>
      </c>
      <c r="C1" s="1" t="s">
        <v>89</v>
      </c>
      <c r="D1" s="1" t="s">
        <v>90</v>
      </c>
      <c r="E1" s="1" t="s">
        <v>91</v>
      </c>
      <c r="F1" s="1" t="s">
        <v>92</v>
      </c>
      <c r="G1" s="1" t="s">
        <v>93</v>
      </c>
      <c r="H1" s="1" t="s">
        <v>94</v>
      </c>
      <c r="I1" s="1" t="s">
        <v>0</v>
      </c>
      <c r="J1" s="1" t="s">
        <v>95</v>
      </c>
      <c r="K1" s="1" t="s">
        <v>96</v>
      </c>
      <c r="L1" s="1" t="s">
        <v>97</v>
      </c>
      <c r="M1" t="s">
        <v>82</v>
      </c>
      <c r="N1" t="s">
        <v>83</v>
      </c>
      <c r="O1" s="23" t="s">
        <v>98</v>
      </c>
      <c r="P1" s="23" t="s">
        <v>99</v>
      </c>
      <c r="Q1" s="23" t="s">
        <v>100</v>
      </c>
      <c r="R1" s="24" t="s">
        <v>33</v>
      </c>
      <c r="S1" s="23" t="s">
        <v>34</v>
      </c>
    </row>
    <row r="2" spans="1:19" x14ac:dyDescent="0.3">
      <c r="A2" s="2" t="s">
        <v>12</v>
      </c>
      <c r="B2" t="s">
        <v>241</v>
      </c>
      <c r="C2">
        <v>150</v>
      </c>
      <c r="D2">
        <v>180</v>
      </c>
      <c r="E2">
        <v>110</v>
      </c>
      <c r="F2">
        <v>290</v>
      </c>
      <c r="G2">
        <v>220</v>
      </c>
      <c r="H2">
        <v>200</v>
      </c>
      <c r="I2">
        <v>19</v>
      </c>
      <c r="J2" s="2" t="s">
        <v>1</v>
      </c>
      <c r="K2">
        <v>9</v>
      </c>
      <c r="O2" s="25" t="s">
        <v>35</v>
      </c>
      <c r="P2" s="26" t="s">
        <v>36</v>
      </c>
      <c r="Q2" s="27" t="s">
        <v>61</v>
      </c>
      <c r="R2" s="27" t="s">
        <v>37</v>
      </c>
      <c r="S2" s="26"/>
    </row>
    <row r="3" spans="1:19" x14ac:dyDescent="0.3">
      <c r="A3" s="2" t="str">
        <f>"'1.5"</f>
        <v>'1.5</v>
      </c>
      <c r="B3" t="s">
        <v>241</v>
      </c>
      <c r="C3">
        <v>150</v>
      </c>
      <c r="D3">
        <v>180</v>
      </c>
      <c r="E3">
        <v>110</v>
      </c>
      <c r="F3">
        <v>290</v>
      </c>
      <c r="G3">
        <v>220</v>
      </c>
      <c r="H3">
        <v>200</v>
      </c>
      <c r="I3">
        <v>19</v>
      </c>
      <c r="J3" s="2" t="s">
        <v>1</v>
      </c>
      <c r="K3">
        <v>9</v>
      </c>
      <c r="O3" s="25" t="s">
        <v>38</v>
      </c>
      <c r="P3" s="26" t="s">
        <v>39</v>
      </c>
      <c r="Q3" s="27" t="s">
        <v>62</v>
      </c>
      <c r="R3" s="27" t="s">
        <v>37</v>
      </c>
      <c r="S3" s="26">
        <v>4</v>
      </c>
    </row>
    <row r="4" spans="1:19" x14ac:dyDescent="0.3">
      <c r="A4" s="2" t="s">
        <v>5</v>
      </c>
      <c r="B4" t="s">
        <v>242</v>
      </c>
      <c r="C4">
        <v>150</v>
      </c>
      <c r="D4">
        <v>180</v>
      </c>
      <c r="E4">
        <v>110</v>
      </c>
      <c r="F4">
        <v>290</v>
      </c>
      <c r="G4">
        <v>220</v>
      </c>
      <c r="H4">
        <v>200</v>
      </c>
      <c r="I4">
        <v>19</v>
      </c>
      <c r="J4" s="2" t="s">
        <v>1</v>
      </c>
      <c r="K4">
        <v>9</v>
      </c>
      <c r="O4" s="25" t="s">
        <v>40</v>
      </c>
      <c r="P4" s="26" t="s">
        <v>36</v>
      </c>
      <c r="Q4" s="27" t="s">
        <v>61</v>
      </c>
      <c r="R4" s="27" t="s">
        <v>41</v>
      </c>
      <c r="S4" s="26"/>
    </row>
    <row r="5" spans="1:19" x14ac:dyDescent="0.3">
      <c r="A5" s="2" t="s">
        <v>6</v>
      </c>
      <c r="B5" t="s">
        <v>242</v>
      </c>
      <c r="C5">
        <v>150</v>
      </c>
      <c r="D5">
        <v>180</v>
      </c>
      <c r="E5">
        <v>110</v>
      </c>
      <c r="F5">
        <v>290</v>
      </c>
      <c r="G5">
        <v>220</v>
      </c>
      <c r="H5">
        <v>200</v>
      </c>
      <c r="I5">
        <v>19</v>
      </c>
      <c r="J5" s="2" t="s">
        <v>1</v>
      </c>
      <c r="K5">
        <v>9</v>
      </c>
      <c r="O5" s="25" t="s">
        <v>42</v>
      </c>
      <c r="P5" s="26" t="s">
        <v>43</v>
      </c>
      <c r="Q5" s="27" t="s">
        <v>63</v>
      </c>
      <c r="R5" s="27" t="s">
        <v>44</v>
      </c>
      <c r="S5" s="26"/>
    </row>
    <row r="6" spans="1:19" x14ac:dyDescent="0.3">
      <c r="A6" s="2" t="s">
        <v>4</v>
      </c>
      <c r="B6" t="s">
        <v>243</v>
      </c>
      <c r="C6">
        <v>230</v>
      </c>
      <c r="D6">
        <v>260</v>
      </c>
      <c r="E6">
        <v>190</v>
      </c>
      <c r="F6">
        <v>370</v>
      </c>
      <c r="G6">
        <v>300</v>
      </c>
      <c r="H6">
        <v>280</v>
      </c>
      <c r="I6">
        <v>19</v>
      </c>
      <c r="J6" s="2" t="s">
        <v>1</v>
      </c>
      <c r="K6">
        <v>9</v>
      </c>
      <c r="O6" s="25" t="s">
        <v>45</v>
      </c>
      <c r="P6" s="26" t="s">
        <v>39</v>
      </c>
      <c r="Q6" s="27" t="s">
        <v>62</v>
      </c>
      <c r="R6" s="27" t="s">
        <v>37</v>
      </c>
      <c r="S6" s="26">
        <v>4</v>
      </c>
    </row>
    <row r="7" spans="1:19" x14ac:dyDescent="0.3">
      <c r="A7" s="2" t="s">
        <v>7</v>
      </c>
      <c r="B7" t="s">
        <v>244</v>
      </c>
      <c r="C7">
        <v>230</v>
      </c>
      <c r="D7">
        <v>260</v>
      </c>
      <c r="E7">
        <v>190</v>
      </c>
      <c r="F7">
        <v>370</v>
      </c>
      <c r="G7">
        <v>300</v>
      </c>
      <c r="H7">
        <v>280</v>
      </c>
      <c r="I7">
        <v>19</v>
      </c>
      <c r="J7" s="2" t="s">
        <v>1</v>
      </c>
      <c r="K7">
        <v>9</v>
      </c>
      <c r="O7" s="25" t="s">
        <v>46</v>
      </c>
      <c r="P7" s="26" t="s">
        <v>36</v>
      </c>
      <c r="Q7" s="27" t="s">
        <v>61</v>
      </c>
      <c r="R7" s="27" t="s">
        <v>41</v>
      </c>
      <c r="S7" s="26"/>
    </row>
    <row r="8" spans="1:19" x14ac:dyDescent="0.3">
      <c r="A8" s="2" t="s">
        <v>8</v>
      </c>
      <c r="B8" t="s">
        <v>244</v>
      </c>
      <c r="C8">
        <v>230</v>
      </c>
      <c r="D8">
        <v>260</v>
      </c>
      <c r="E8">
        <v>190</v>
      </c>
      <c r="F8">
        <v>370</v>
      </c>
      <c r="G8">
        <v>300</v>
      </c>
      <c r="H8">
        <v>280</v>
      </c>
      <c r="I8">
        <v>19</v>
      </c>
      <c r="J8" s="2" t="s">
        <v>1</v>
      </c>
      <c r="K8">
        <v>9</v>
      </c>
      <c r="O8" s="25" t="s">
        <v>47</v>
      </c>
      <c r="P8" s="26" t="s">
        <v>48</v>
      </c>
      <c r="Q8" s="27" t="s">
        <v>64</v>
      </c>
      <c r="R8" s="27" t="s">
        <v>37</v>
      </c>
      <c r="S8" s="26">
        <v>4</v>
      </c>
    </row>
    <row r="9" spans="1:19" x14ac:dyDescent="0.3">
      <c r="A9" s="2" t="s">
        <v>9</v>
      </c>
      <c r="B9" t="s">
        <v>279</v>
      </c>
      <c r="C9">
        <v>330</v>
      </c>
      <c r="D9">
        <v>380</v>
      </c>
      <c r="E9">
        <v>300</v>
      </c>
      <c r="F9">
        <v>490</v>
      </c>
      <c r="G9">
        <v>410</v>
      </c>
      <c r="H9">
        <v>380</v>
      </c>
      <c r="I9">
        <v>22</v>
      </c>
      <c r="J9" s="2" t="s">
        <v>2</v>
      </c>
      <c r="K9">
        <v>16</v>
      </c>
      <c r="L9" t="s">
        <v>280</v>
      </c>
      <c r="O9" s="25" t="s">
        <v>49</v>
      </c>
      <c r="P9" s="26" t="s">
        <v>36</v>
      </c>
      <c r="Q9" s="27" t="s">
        <v>61</v>
      </c>
      <c r="R9" s="27" t="s">
        <v>50</v>
      </c>
      <c r="S9" s="26"/>
    </row>
    <row r="10" spans="1:19" x14ac:dyDescent="0.3">
      <c r="A10" s="2" t="s">
        <v>9</v>
      </c>
      <c r="B10" t="s">
        <v>245</v>
      </c>
      <c r="C10">
        <v>330</v>
      </c>
      <c r="D10">
        <v>380</v>
      </c>
      <c r="E10">
        <v>300</v>
      </c>
      <c r="F10">
        <v>490</v>
      </c>
      <c r="G10">
        <v>410</v>
      </c>
      <c r="H10">
        <v>380</v>
      </c>
      <c r="I10">
        <v>22</v>
      </c>
      <c r="J10" s="2" t="s">
        <v>2</v>
      </c>
      <c r="K10">
        <v>16</v>
      </c>
      <c r="O10" s="25" t="s">
        <v>51</v>
      </c>
      <c r="P10" s="26" t="s">
        <v>48</v>
      </c>
      <c r="Q10" s="27" t="s">
        <v>64</v>
      </c>
      <c r="R10" s="27" t="s">
        <v>50</v>
      </c>
      <c r="S10" s="26">
        <v>4</v>
      </c>
    </row>
    <row r="11" spans="1:19" x14ac:dyDescent="0.3">
      <c r="A11" s="2" t="s">
        <v>10</v>
      </c>
      <c r="B11" t="s">
        <v>246</v>
      </c>
      <c r="C11">
        <v>330</v>
      </c>
      <c r="D11">
        <v>380</v>
      </c>
      <c r="E11">
        <v>300</v>
      </c>
      <c r="F11">
        <v>490</v>
      </c>
      <c r="G11">
        <v>410</v>
      </c>
      <c r="H11">
        <v>380</v>
      </c>
      <c r="I11">
        <v>22</v>
      </c>
      <c r="J11" s="2" t="s">
        <v>2</v>
      </c>
      <c r="K11">
        <v>16</v>
      </c>
      <c r="O11" s="25" t="s">
        <v>52</v>
      </c>
      <c r="P11" s="26" t="s">
        <v>36</v>
      </c>
      <c r="Q11" s="27" t="s">
        <v>61</v>
      </c>
      <c r="R11" s="27" t="s">
        <v>50</v>
      </c>
      <c r="S11" s="26"/>
    </row>
    <row r="12" spans="1:19" x14ac:dyDescent="0.3">
      <c r="A12" s="2" t="s">
        <v>11</v>
      </c>
      <c r="B12" t="s">
        <v>247</v>
      </c>
      <c r="C12">
        <v>380</v>
      </c>
      <c r="D12">
        <v>500</v>
      </c>
      <c r="E12">
        <v>410</v>
      </c>
      <c r="F12">
        <v>560</v>
      </c>
      <c r="G12">
        <v>470</v>
      </c>
      <c r="H12">
        <v>430</v>
      </c>
      <c r="I12">
        <v>26</v>
      </c>
      <c r="J12" s="2" t="s">
        <v>3</v>
      </c>
      <c r="K12">
        <v>16</v>
      </c>
      <c r="O12" s="25" t="s">
        <v>53</v>
      </c>
      <c r="P12" s="26" t="s">
        <v>54</v>
      </c>
      <c r="Q12" s="27" t="s">
        <v>64</v>
      </c>
      <c r="R12" s="27" t="s">
        <v>37</v>
      </c>
      <c r="S12" s="26">
        <v>4</v>
      </c>
    </row>
    <row r="13" spans="1:19" x14ac:dyDescent="0.3">
      <c r="A13" s="2" t="s">
        <v>11</v>
      </c>
      <c r="B13" t="s">
        <v>282</v>
      </c>
      <c r="C13">
        <v>380</v>
      </c>
      <c r="D13">
        <v>500</v>
      </c>
      <c r="E13">
        <v>410</v>
      </c>
      <c r="F13">
        <v>560</v>
      </c>
      <c r="G13">
        <v>470</v>
      </c>
      <c r="H13">
        <v>430</v>
      </c>
      <c r="I13">
        <v>26</v>
      </c>
      <c r="J13" s="2" t="s">
        <v>3</v>
      </c>
      <c r="K13">
        <v>16</v>
      </c>
      <c r="O13" s="25" t="s">
        <v>55</v>
      </c>
      <c r="P13" s="26" t="s">
        <v>36</v>
      </c>
      <c r="Q13" s="27" t="s">
        <v>61</v>
      </c>
      <c r="R13" s="27" t="s">
        <v>37</v>
      </c>
      <c r="S13" s="26"/>
    </row>
    <row r="14" spans="1:19" x14ac:dyDescent="0.3">
      <c r="A14" s="2" t="s">
        <v>66</v>
      </c>
      <c r="B14" t="s">
        <v>248</v>
      </c>
      <c r="C14">
        <v>380</v>
      </c>
      <c r="D14">
        <v>500</v>
      </c>
      <c r="E14">
        <v>410</v>
      </c>
      <c r="F14">
        <v>560</v>
      </c>
      <c r="G14">
        <v>470</v>
      </c>
      <c r="H14">
        <v>430</v>
      </c>
      <c r="I14">
        <v>26</v>
      </c>
      <c r="J14" s="2" t="s">
        <v>3</v>
      </c>
      <c r="K14">
        <v>16</v>
      </c>
      <c r="O14" s="25" t="s">
        <v>56</v>
      </c>
      <c r="P14" s="26" t="s">
        <v>36</v>
      </c>
      <c r="Q14" s="27" t="s">
        <v>61</v>
      </c>
      <c r="R14" s="27" t="s">
        <v>50</v>
      </c>
      <c r="S14" s="26"/>
    </row>
    <row r="15" spans="1:19" x14ac:dyDescent="0.3">
      <c r="A15" s="2" t="s">
        <v>67</v>
      </c>
      <c r="B15" t="s">
        <v>248</v>
      </c>
      <c r="C15">
        <v>380</v>
      </c>
      <c r="D15">
        <v>500</v>
      </c>
      <c r="E15">
        <v>410</v>
      </c>
      <c r="F15">
        <v>560</v>
      </c>
      <c r="G15">
        <v>470</v>
      </c>
      <c r="H15">
        <v>430</v>
      </c>
      <c r="I15">
        <v>26</v>
      </c>
      <c r="J15" s="2" t="s">
        <v>3</v>
      </c>
      <c r="K15">
        <v>16</v>
      </c>
      <c r="O15" s="25" t="s">
        <v>57</v>
      </c>
      <c r="P15" s="26" t="s">
        <v>54</v>
      </c>
      <c r="Q15" s="27" t="s">
        <v>64</v>
      </c>
      <c r="R15" s="27" t="s">
        <v>50</v>
      </c>
      <c r="S15" s="26">
        <v>4</v>
      </c>
    </row>
    <row r="16" spans="1:19" x14ac:dyDescent="0.3">
      <c r="A16" s="2" t="s">
        <v>68</v>
      </c>
      <c r="B16" t="s">
        <v>247</v>
      </c>
      <c r="C16">
        <v>540</v>
      </c>
      <c r="D16">
        <v>680</v>
      </c>
      <c r="E16">
        <v>590</v>
      </c>
      <c r="F16">
        <v>680</v>
      </c>
      <c r="G16">
        <v>590</v>
      </c>
      <c r="H16">
        <v>680</v>
      </c>
      <c r="I16">
        <v>26</v>
      </c>
      <c r="J16" s="2" t="s">
        <v>3</v>
      </c>
      <c r="K16">
        <v>16</v>
      </c>
      <c r="O16" s="25" t="s">
        <v>58</v>
      </c>
      <c r="P16" s="26" t="s">
        <v>36</v>
      </c>
      <c r="Q16" s="27" t="s">
        <v>61</v>
      </c>
      <c r="R16" s="27" t="s">
        <v>44</v>
      </c>
      <c r="S16" s="26"/>
    </row>
    <row r="17" spans="1:20" x14ac:dyDescent="0.3">
      <c r="A17" s="2" t="s">
        <v>70</v>
      </c>
      <c r="B17" t="s">
        <v>247</v>
      </c>
      <c r="C17">
        <v>540</v>
      </c>
      <c r="D17">
        <v>680</v>
      </c>
      <c r="E17">
        <v>590</v>
      </c>
      <c r="F17">
        <v>680</v>
      </c>
      <c r="G17">
        <v>590</v>
      </c>
      <c r="H17">
        <v>680</v>
      </c>
      <c r="I17">
        <v>26</v>
      </c>
      <c r="J17" s="2" t="s">
        <v>3</v>
      </c>
      <c r="K17">
        <v>16</v>
      </c>
      <c r="O17" s="25" t="s">
        <v>59</v>
      </c>
      <c r="P17" s="26" t="s">
        <v>60</v>
      </c>
      <c r="Q17" s="27" t="s">
        <v>63</v>
      </c>
      <c r="R17" s="27" t="s">
        <v>41</v>
      </c>
      <c r="S17" s="26"/>
      <c r="T17" t="str">
        <f t="shared" ref="T17" si="0">SUBSTITUTE(SUBSTITUTE(B18,"x","*"),"x","*")</f>
        <v>H150*150*7</v>
      </c>
    </row>
    <row r="18" spans="1:20" x14ac:dyDescent="0.3">
      <c r="A18" s="2" t="s">
        <v>69</v>
      </c>
      <c r="B18" t="s">
        <v>247</v>
      </c>
      <c r="C18">
        <v>690</v>
      </c>
      <c r="D18">
        <v>830</v>
      </c>
      <c r="E18">
        <v>740</v>
      </c>
      <c r="F18">
        <v>830</v>
      </c>
      <c r="G18">
        <v>740</v>
      </c>
      <c r="H18">
        <v>830</v>
      </c>
      <c r="I18">
        <v>26</v>
      </c>
      <c r="J18" s="2" t="s">
        <v>3</v>
      </c>
      <c r="K18">
        <v>16</v>
      </c>
    </row>
  </sheetData>
  <autoFilter ref="A1:S11" xr:uid="{F3F0574D-2A8E-43CC-ACDE-14C4993B1EBF}"/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For_52_Type_data</vt:lpstr>
      <vt:lpstr>For_14_Type_data</vt:lpstr>
      <vt:lpstr>For_15_Type_data</vt:lpstr>
      <vt:lpstr>For_08_Type_data</vt:lpstr>
      <vt:lpstr>For_26_Type_data</vt:lpstr>
      <vt:lpstr>For_M34_Type_data</vt:lpstr>
      <vt:lpstr>For_HBeam_Weight_Table</vt:lpstr>
      <vt:lpstr>Pipe_Table</vt:lpstr>
      <vt:lpstr>For_Channel_Weight_Table</vt:lpstr>
      <vt:lpstr>List_Table</vt:lpstr>
      <vt:lpstr>For_Angle_Weight_Table</vt:lpstr>
      <vt:lpstr>Weight_Analysis</vt:lpstr>
      <vt:lpstr>M_42_Table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宗鴻 李</dc:creator>
  <cp:lastModifiedBy>宗鴻 李</cp:lastModifiedBy>
  <cp:lastPrinted>2024-04-30T07:15:45Z</cp:lastPrinted>
  <dcterms:created xsi:type="dcterms:W3CDTF">2023-12-06T01:13:58Z</dcterms:created>
  <dcterms:modified xsi:type="dcterms:W3CDTF">2024-04-30T08:15:52Z</dcterms:modified>
</cp:coreProperties>
</file>