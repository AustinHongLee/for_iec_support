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C6F34B05-BAFC-4BA6-95EF-E0BF0AF2EE06}" xr6:coauthVersionLast="47" xr6:coauthVersionMax="47" xr10:uidLastSave="{00000000-0000-0000-0000-000000000000}"/>
  <bookViews>
    <workbookView xWindow="28680" yWindow="-120" windowWidth="29040" windowHeight="15840" firstSheet="9" activeTab="12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工作表1" sheetId="17" r:id="rId13"/>
    <sheet name="M_42_Table" sheetId="6" r:id="rId14"/>
  </sheets>
  <functionGroups builtInGroupCount="19"/>
  <definedNames>
    <definedName name="_xlnm._FilterDatabase" localSheetId="13" hidden="1">M_42_Table!$A$1:$S$11</definedName>
    <definedName name="_xlnm._FilterDatabase" localSheetId="11" hidden="1">Weight_Analysis!$B$1:$B$2120</definedName>
    <definedName name="_xlnm._FilterDatabase" localSheetId="12" hidden="1">工作表1!$K$1:$N$1118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pivotCaches>
    <pivotCache cacheId="28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17" l="1"/>
  <c r="C18" i="17"/>
  <c r="C17" i="17"/>
  <c r="M3" i="17" l="1"/>
  <c r="N3" i="17" s="1"/>
  <c r="M4" i="17"/>
  <c r="N4" i="17" s="1"/>
  <c r="M5" i="17"/>
  <c r="N5" i="17" s="1"/>
  <c r="M6" i="17"/>
  <c r="N6" i="17" s="1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M15" i="17"/>
  <c r="N15" i="17" s="1"/>
  <c r="M16" i="17"/>
  <c r="N16" i="17" s="1"/>
  <c r="M17" i="17"/>
  <c r="N17" i="17" s="1"/>
  <c r="M18" i="17"/>
  <c r="N18" i="17" s="1"/>
  <c r="M19" i="17"/>
  <c r="N19" i="17" s="1"/>
  <c r="M20" i="17"/>
  <c r="N20" i="17" s="1"/>
  <c r="M21" i="17"/>
  <c r="N21" i="17" s="1"/>
  <c r="M22" i="17"/>
  <c r="N22" i="17" s="1"/>
  <c r="M23" i="17"/>
  <c r="N23" i="17" s="1"/>
  <c r="M24" i="17"/>
  <c r="N24" i="17" s="1"/>
  <c r="M25" i="17"/>
  <c r="N25" i="17" s="1"/>
  <c r="M26" i="17"/>
  <c r="N26" i="17" s="1"/>
  <c r="M27" i="17"/>
  <c r="N27" i="17" s="1"/>
  <c r="M28" i="17"/>
  <c r="N28" i="17" s="1"/>
  <c r="M29" i="17"/>
  <c r="N29" i="17" s="1"/>
  <c r="M30" i="17"/>
  <c r="N30" i="17" s="1"/>
  <c r="M31" i="17"/>
  <c r="N31" i="17" s="1"/>
  <c r="M32" i="17"/>
  <c r="N32" i="17" s="1"/>
  <c r="M33" i="17"/>
  <c r="N33" i="17" s="1"/>
  <c r="M34" i="17"/>
  <c r="N34" i="17" s="1"/>
  <c r="M35" i="17"/>
  <c r="N35" i="17" s="1"/>
  <c r="M36" i="17"/>
  <c r="N36" i="17" s="1"/>
  <c r="M37" i="17"/>
  <c r="N37" i="17" s="1"/>
  <c r="M38" i="17"/>
  <c r="N38" i="17" s="1"/>
  <c r="M39" i="17"/>
  <c r="N39" i="17" s="1"/>
  <c r="M40" i="17"/>
  <c r="N40" i="17" s="1"/>
  <c r="M41" i="17"/>
  <c r="N41" i="17" s="1"/>
  <c r="M42" i="17"/>
  <c r="N42" i="17" s="1"/>
  <c r="M43" i="17"/>
  <c r="N43" i="17" s="1"/>
  <c r="M44" i="17"/>
  <c r="N44" i="17" s="1"/>
  <c r="M45" i="17"/>
  <c r="N45" i="17" s="1"/>
  <c r="M46" i="17"/>
  <c r="N46" i="17" s="1"/>
  <c r="M47" i="17"/>
  <c r="N47" i="17" s="1"/>
  <c r="M48" i="17"/>
  <c r="N48" i="17" s="1"/>
  <c r="M49" i="17"/>
  <c r="N49" i="17" s="1"/>
  <c r="M50" i="17"/>
  <c r="N50" i="17" s="1"/>
  <c r="M51" i="17"/>
  <c r="N51" i="17" s="1"/>
  <c r="M52" i="17"/>
  <c r="N52" i="17" s="1"/>
  <c r="M53" i="17"/>
  <c r="N53" i="17" s="1"/>
  <c r="M54" i="17"/>
  <c r="N54" i="17" s="1"/>
  <c r="M55" i="17"/>
  <c r="N55" i="17" s="1"/>
  <c r="M56" i="17"/>
  <c r="N56" i="17" s="1"/>
  <c r="M57" i="17"/>
  <c r="N57" i="17" s="1"/>
  <c r="M58" i="17"/>
  <c r="N58" i="17" s="1"/>
  <c r="M59" i="17"/>
  <c r="N59" i="17" s="1"/>
  <c r="M60" i="17"/>
  <c r="N60" i="17" s="1"/>
  <c r="M61" i="17"/>
  <c r="N61" i="17" s="1"/>
  <c r="M62" i="17"/>
  <c r="N62" i="17" s="1"/>
  <c r="M63" i="17"/>
  <c r="N63" i="17" s="1"/>
  <c r="M64" i="17"/>
  <c r="N64" i="17" s="1"/>
  <c r="M65" i="17"/>
  <c r="N65" i="17" s="1"/>
  <c r="M66" i="17"/>
  <c r="N66" i="17" s="1"/>
  <c r="M67" i="17"/>
  <c r="N67" i="17" s="1"/>
  <c r="M68" i="17"/>
  <c r="N68" i="17" s="1"/>
  <c r="M69" i="17"/>
  <c r="N69" i="17" s="1"/>
  <c r="M70" i="17"/>
  <c r="N70" i="17" s="1"/>
  <c r="M71" i="17"/>
  <c r="N71" i="17" s="1"/>
  <c r="M72" i="17"/>
  <c r="N72" i="17" s="1"/>
  <c r="M73" i="17"/>
  <c r="N73" i="17" s="1"/>
  <c r="M74" i="17"/>
  <c r="N74" i="17" s="1"/>
  <c r="M75" i="17"/>
  <c r="N75" i="17" s="1"/>
  <c r="M76" i="17"/>
  <c r="N76" i="17" s="1"/>
  <c r="M77" i="17"/>
  <c r="N77" i="17" s="1"/>
  <c r="M78" i="17"/>
  <c r="N78" i="17" s="1"/>
  <c r="M79" i="17"/>
  <c r="N79" i="17" s="1"/>
  <c r="M80" i="17"/>
  <c r="N80" i="17" s="1"/>
  <c r="M81" i="17"/>
  <c r="N81" i="17" s="1"/>
  <c r="M82" i="17"/>
  <c r="N82" i="17" s="1"/>
  <c r="M83" i="17"/>
  <c r="N83" i="17" s="1"/>
  <c r="M84" i="17"/>
  <c r="N84" i="17" s="1"/>
  <c r="M85" i="17"/>
  <c r="N85" i="17" s="1"/>
  <c r="M86" i="17"/>
  <c r="N86" i="17" s="1"/>
  <c r="M87" i="17"/>
  <c r="N87" i="17" s="1"/>
  <c r="M88" i="17"/>
  <c r="N88" i="17" s="1"/>
  <c r="M89" i="17"/>
  <c r="N89" i="17" s="1"/>
  <c r="M90" i="17"/>
  <c r="N90" i="17" s="1"/>
  <c r="M91" i="17"/>
  <c r="N91" i="17" s="1"/>
  <c r="M92" i="17"/>
  <c r="N92" i="17" s="1"/>
  <c r="M93" i="17"/>
  <c r="N93" i="17" s="1"/>
  <c r="M94" i="17"/>
  <c r="N94" i="17" s="1"/>
  <c r="M95" i="17"/>
  <c r="N95" i="17" s="1"/>
  <c r="M96" i="17"/>
  <c r="N96" i="17" s="1"/>
  <c r="M97" i="17"/>
  <c r="N97" i="17" s="1"/>
  <c r="M98" i="17"/>
  <c r="N98" i="17" s="1"/>
  <c r="M99" i="17"/>
  <c r="N99" i="17" s="1"/>
  <c r="M100" i="17"/>
  <c r="N100" i="17" s="1"/>
  <c r="M101" i="17"/>
  <c r="N101" i="17" s="1"/>
  <c r="M102" i="17"/>
  <c r="N102" i="17" s="1"/>
  <c r="M103" i="17"/>
  <c r="N103" i="17" s="1"/>
  <c r="M104" i="17"/>
  <c r="N104" i="17" s="1"/>
  <c r="M105" i="17"/>
  <c r="N105" i="17" s="1"/>
  <c r="M106" i="17"/>
  <c r="N106" i="17" s="1"/>
  <c r="M107" i="17"/>
  <c r="N107" i="17" s="1"/>
  <c r="M108" i="17"/>
  <c r="N108" i="17" s="1"/>
  <c r="M109" i="17"/>
  <c r="N109" i="17" s="1"/>
  <c r="M110" i="17"/>
  <c r="N110" i="17" s="1"/>
  <c r="M111" i="17"/>
  <c r="N111" i="17" s="1"/>
  <c r="M112" i="17"/>
  <c r="N112" i="17" s="1"/>
  <c r="M113" i="17"/>
  <c r="N113" i="17" s="1"/>
  <c r="M114" i="17"/>
  <c r="N114" i="17" s="1"/>
  <c r="M115" i="17"/>
  <c r="N115" i="17" s="1"/>
  <c r="M116" i="17"/>
  <c r="N116" i="17" s="1"/>
  <c r="M117" i="17"/>
  <c r="N117" i="17" s="1"/>
  <c r="M118" i="17"/>
  <c r="N118" i="17" s="1"/>
  <c r="M119" i="17"/>
  <c r="N119" i="17" s="1"/>
  <c r="M120" i="17"/>
  <c r="N120" i="17" s="1"/>
  <c r="M121" i="17"/>
  <c r="N121" i="17" s="1"/>
  <c r="M122" i="17"/>
  <c r="N122" i="17" s="1"/>
  <c r="M123" i="17"/>
  <c r="N123" i="17" s="1"/>
  <c r="M124" i="17"/>
  <c r="N124" i="17" s="1"/>
  <c r="M125" i="17"/>
  <c r="N125" i="17" s="1"/>
  <c r="M126" i="17"/>
  <c r="N126" i="17" s="1"/>
  <c r="M127" i="17"/>
  <c r="N127" i="17" s="1"/>
  <c r="M128" i="17"/>
  <c r="N128" i="17" s="1"/>
  <c r="M129" i="17"/>
  <c r="N129" i="17" s="1"/>
  <c r="M130" i="17"/>
  <c r="N130" i="17" s="1"/>
  <c r="M131" i="17"/>
  <c r="N131" i="17" s="1"/>
  <c r="M132" i="17"/>
  <c r="N132" i="17" s="1"/>
  <c r="M133" i="17"/>
  <c r="N133" i="17" s="1"/>
  <c r="M134" i="17"/>
  <c r="N134" i="17" s="1"/>
  <c r="M135" i="17"/>
  <c r="N135" i="17" s="1"/>
  <c r="M136" i="17"/>
  <c r="N136" i="17" s="1"/>
  <c r="M137" i="17"/>
  <c r="N137" i="17" s="1"/>
  <c r="M138" i="17"/>
  <c r="N138" i="17" s="1"/>
  <c r="M139" i="17"/>
  <c r="N139" i="17" s="1"/>
  <c r="M140" i="17"/>
  <c r="N140" i="17" s="1"/>
  <c r="M141" i="17"/>
  <c r="N141" i="17" s="1"/>
  <c r="M142" i="17"/>
  <c r="N142" i="17" s="1"/>
  <c r="M143" i="17"/>
  <c r="N143" i="17" s="1"/>
  <c r="M144" i="17"/>
  <c r="N144" i="17" s="1"/>
  <c r="M145" i="17"/>
  <c r="N145" i="17" s="1"/>
  <c r="M146" i="17"/>
  <c r="N146" i="17" s="1"/>
  <c r="M147" i="17"/>
  <c r="N147" i="17" s="1"/>
  <c r="M148" i="17"/>
  <c r="N148" i="17" s="1"/>
  <c r="M149" i="17"/>
  <c r="N149" i="17" s="1"/>
  <c r="M150" i="17"/>
  <c r="N150" i="17" s="1"/>
  <c r="M151" i="17"/>
  <c r="N151" i="17" s="1"/>
  <c r="M152" i="17"/>
  <c r="N152" i="17" s="1"/>
  <c r="M153" i="17"/>
  <c r="N153" i="17" s="1"/>
  <c r="M154" i="17"/>
  <c r="N154" i="17" s="1"/>
  <c r="M155" i="17"/>
  <c r="N155" i="17" s="1"/>
  <c r="M156" i="17"/>
  <c r="N156" i="17" s="1"/>
  <c r="M157" i="17"/>
  <c r="N157" i="17" s="1"/>
  <c r="M158" i="17"/>
  <c r="N158" i="17" s="1"/>
  <c r="M159" i="17"/>
  <c r="N159" i="17" s="1"/>
  <c r="M160" i="17"/>
  <c r="N160" i="17" s="1"/>
  <c r="M161" i="17"/>
  <c r="N161" i="17" s="1"/>
  <c r="M162" i="17"/>
  <c r="N162" i="17" s="1"/>
  <c r="M163" i="17"/>
  <c r="N163" i="17" s="1"/>
  <c r="M164" i="17"/>
  <c r="N164" i="17" s="1"/>
  <c r="M165" i="17"/>
  <c r="N165" i="17" s="1"/>
  <c r="M166" i="17"/>
  <c r="N166" i="17" s="1"/>
  <c r="M167" i="17"/>
  <c r="N167" i="17" s="1"/>
  <c r="M168" i="17"/>
  <c r="N168" i="17" s="1"/>
  <c r="M169" i="17"/>
  <c r="N169" i="17" s="1"/>
  <c r="M170" i="17"/>
  <c r="N170" i="17" s="1"/>
  <c r="M171" i="17"/>
  <c r="N171" i="17" s="1"/>
  <c r="M172" i="17"/>
  <c r="N172" i="17" s="1"/>
  <c r="M173" i="17"/>
  <c r="N173" i="17" s="1"/>
  <c r="M174" i="17"/>
  <c r="N174" i="17" s="1"/>
  <c r="M175" i="17"/>
  <c r="N175" i="17" s="1"/>
  <c r="M176" i="17"/>
  <c r="N176" i="17" s="1"/>
  <c r="M177" i="17"/>
  <c r="N177" i="17" s="1"/>
  <c r="M178" i="17"/>
  <c r="N178" i="17" s="1"/>
  <c r="M179" i="17"/>
  <c r="N179" i="17" s="1"/>
  <c r="M180" i="17"/>
  <c r="N180" i="17" s="1"/>
  <c r="M181" i="17"/>
  <c r="N181" i="17" s="1"/>
  <c r="M182" i="17"/>
  <c r="N182" i="17" s="1"/>
  <c r="M183" i="17"/>
  <c r="N183" i="17" s="1"/>
  <c r="M184" i="17"/>
  <c r="N184" i="17" s="1"/>
  <c r="M185" i="17"/>
  <c r="N185" i="17" s="1"/>
  <c r="M186" i="17"/>
  <c r="N186" i="17" s="1"/>
  <c r="M187" i="17"/>
  <c r="N187" i="17" s="1"/>
  <c r="M188" i="17"/>
  <c r="N188" i="17" s="1"/>
  <c r="M189" i="17"/>
  <c r="N189" i="17" s="1"/>
  <c r="M190" i="17"/>
  <c r="N190" i="17" s="1"/>
  <c r="M191" i="17"/>
  <c r="N191" i="17" s="1"/>
  <c r="M192" i="17"/>
  <c r="N192" i="17" s="1"/>
  <c r="M193" i="17"/>
  <c r="N193" i="17" s="1"/>
  <c r="M194" i="17"/>
  <c r="N194" i="17" s="1"/>
  <c r="M195" i="17"/>
  <c r="N195" i="17" s="1"/>
  <c r="M196" i="17"/>
  <c r="N196" i="17" s="1"/>
  <c r="M197" i="17"/>
  <c r="N197" i="17" s="1"/>
  <c r="M198" i="17"/>
  <c r="N198" i="17" s="1"/>
  <c r="M199" i="17"/>
  <c r="N199" i="17" s="1"/>
  <c r="M200" i="17"/>
  <c r="N200" i="17" s="1"/>
  <c r="M201" i="17"/>
  <c r="N201" i="17" s="1"/>
  <c r="M202" i="17"/>
  <c r="N202" i="17" s="1"/>
  <c r="M203" i="17"/>
  <c r="N203" i="17" s="1"/>
  <c r="M204" i="17"/>
  <c r="N204" i="17" s="1"/>
  <c r="M205" i="17"/>
  <c r="N205" i="17" s="1"/>
  <c r="M206" i="17"/>
  <c r="N206" i="17" s="1"/>
  <c r="M207" i="17"/>
  <c r="N207" i="17" s="1"/>
  <c r="M208" i="17"/>
  <c r="N208" i="17" s="1"/>
  <c r="M209" i="17"/>
  <c r="N209" i="17" s="1"/>
  <c r="M210" i="17"/>
  <c r="N210" i="17" s="1"/>
  <c r="M211" i="17"/>
  <c r="N211" i="17" s="1"/>
  <c r="M212" i="17"/>
  <c r="N212" i="17" s="1"/>
  <c r="M213" i="17"/>
  <c r="N213" i="17" s="1"/>
  <c r="M214" i="17"/>
  <c r="N214" i="17" s="1"/>
  <c r="M215" i="17"/>
  <c r="N215" i="17" s="1"/>
  <c r="M216" i="17"/>
  <c r="N216" i="17" s="1"/>
  <c r="M217" i="17"/>
  <c r="N217" i="17" s="1"/>
  <c r="M218" i="17"/>
  <c r="N218" i="17" s="1"/>
  <c r="M219" i="17"/>
  <c r="N219" i="17" s="1"/>
  <c r="M220" i="17"/>
  <c r="N220" i="17" s="1"/>
  <c r="M221" i="17"/>
  <c r="N221" i="17" s="1"/>
  <c r="M222" i="17"/>
  <c r="N222" i="17" s="1"/>
  <c r="M223" i="17"/>
  <c r="N223" i="17" s="1"/>
  <c r="M224" i="17"/>
  <c r="N224" i="17" s="1"/>
  <c r="M225" i="17"/>
  <c r="N225" i="17" s="1"/>
  <c r="M226" i="17"/>
  <c r="N226" i="17" s="1"/>
  <c r="M227" i="17"/>
  <c r="N227" i="17" s="1"/>
  <c r="M228" i="17"/>
  <c r="N228" i="17" s="1"/>
  <c r="M229" i="17"/>
  <c r="N229" i="17" s="1"/>
  <c r="M230" i="17"/>
  <c r="N230" i="17" s="1"/>
  <c r="M231" i="17"/>
  <c r="N231" i="17" s="1"/>
  <c r="M232" i="17"/>
  <c r="N232" i="17" s="1"/>
  <c r="M233" i="17"/>
  <c r="N233" i="17" s="1"/>
  <c r="M234" i="17"/>
  <c r="N234" i="17" s="1"/>
  <c r="M235" i="17"/>
  <c r="N235" i="17" s="1"/>
  <c r="M236" i="17"/>
  <c r="N236" i="17" s="1"/>
  <c r="M237" i="17"/>
  <c r="N237" i="17" s="1"/>
  <c r="M238" i="17"/>
  <c r="N238" i="17" s="1"/>
  <c r="M239" i="17"/>
  <c r="N239" i="17" s="1"/>
  <c r="M240" i="17"/>
  <c r="N240" i="17" s="1"/>
  <c r="M241" i="17"/>
  <c r="N241" i="17" s="1"/>
  <c r="M242" i="17"/>
  <c r="N242" i="17" s="1"/>
  <c r="M243" i="17"/>
  <c r="N243" i="17" s="1"/>
  <c r="M244" i="17"/>
  <c r="N244" i="17" s="1"/>
  <c r="M245" i="17"/>
  <c r="N245" i="17" s="1"/>
  <c r="M246" i="17"/>
  <c r="N246" i="17" s="1"/>
  <c r="M247" i="17"/>
  <c r="N247" i="17" s="1"/>
  <c r="M248" i="17"/>
  <c r="N248" i="17" s="1"/>
  <c r="M249" i="17"/>
  <c r="N249" i="17" s="1"/>
  <c r="M250" i="17"/>
  <c r="N250" i="17" s="1"/>
  <c r="M251" i="17"/>
  <c r="N251" i="17" s="1"/>
  <c r="M252" i="17"/>
  <c r="N252" i="17" s="1"/>
  <c r="M253" i="17"/>
  <c r="N253" i="17" s="1"/>
  <c r="M254" i="17"/>
  <c r="N254" i="17" s="1"/>
  <c r="M255" i="17"/>
  <c r="N255" i="17" s="1"/>
  <c r="M256" i="17"/>
  <c r="N256" i="17" s="1"/>
  <c r="M257" i="17"/>
  <c r="N257" i="17" s="1"/>
  <c r="M258" i="17"/>
  <c r="N258" i="17" s="1"/>
  <c r="M259" i="17"/>
  <c r="N259" i="17" s="1"/>
  <c r="M260" i="17"/>
  <c r="N260" i="17" s="1"/>
  <c r="M261" i="17"/>
  <c r="N261" i="17" s="1"/>
  <c r="M262" i="17"/>
  <c r="N262" i="17" s="1"/>
  <c r="M263" i="17"/>
  <c r="N263" i="17" s="1"/>
  <c r="M264" i="17"/>
  <c r="N264" i="17" s="1"/>
  <c r="M265" i="17"/>
  <c r="N265" i="17" s="1"/>
  <c r="M266" i="17"/>
  <c r="N266" i="17" s="1"/>
  <c r="M267" i="17"/>
  <c r="N267" i="17" s="1"/>
  <c r="M268" i="17"/>
  <c r="N268" i="17" s="1"/>
  <c r="M269" i="17"/>
  <c r="N269" i="17" s="1"/>
  <c r="M270" i="17"/>
  <c r="N270" i="17" s="1"/>
  <c r="M271" i="17"/>
  <c r="N271" i="17" s="1"/>
  <c r="M272" i="17"/>
  <c r="N272" i="17" s="1"/>
  <c r="M273" i="17"/>
  <c r="N273" i="17" s="1"/>
  <c r="M274" i="17"/>
  <c r="N274" i="17" s="1"/>
  <c r="M275" i="17"/>
  <c r="N275" i="17" s="1"/>
  <c r="M276" i="17"/>
  <c r="N276" i="17" s="1"/>
  <c r="M277" i="17"/>
  <c r="N277" i="17" s="1"/>
  <c r="M278" i="17"/>
  <c r="N278" i="17" s="1"/>
  <c r="M279" i="17"/>
  <c r="N279" i="17" s="1"/>
  <c r="M280" i="17"/>
  <c r="N280" i="17" s="1"/>
  <c r="M281" i="17"/>
  <c r="N281" i="17" s="1"/>
  <c r="M282" i="17"/>
  <c r="N282" i="17" s="1"/>
  <c r="M283" i="17"/>
  <c r="N283" i="17" s="1"/>
  <c r="M284" i="17"/>
  <c r="N284" i="17" s="1"/>
  <c r="M285" i="17"/>
  <c r="N285" i="17" s="1"/>
  <c r="M286" i="17"/>
  <c r="N286" i="17" s="1"/>
  <c r="M287" i="17"/>
  <c r="N287" i="17" s="1"/>
  <c r="M288" i="17"/>
  <c r="N288" i="17" s="1"/>
  <c r="M289" i="17"/>
  <c r="N289" i="17" s="1"/>
  <c r="M290" i="17"/>
  <c r="N290" i="17" s="1"/>
  <c r="M291" i="17"/>
  <c r="N291" i="17" s="1"/>
  <c r="M292" i="17"/>
  <c r="N292" i="17" s="1"/>
  <c r="M293" i="17"/>
  <c r="N293" i="17" s="1"/>
  <c r="M294" i="17"/>
  <c r="N294" i="17" s="1"/>
  <c r="M295" i="17"/>
  <c r="N295" i="17" s="1"/>
  <c r="M296" i="17"/>
  <c r="N296" i="17" s="1"/>
  <c r="M297" i="17"/>
  <c r="N297" i="17" s="1"/>
  <c r="M298" i="17"/>
  <c r="N298" i="17" s="1"/>
  <c r="M299" i="17"/>
  <c r="N299" i="17" s="1"/>
  <c r="M300" i="17"/>
  <c r="N300" i="17" s="1"/>
  <c r="M301" i="17"/>
  <c r="N301" i="17" s="1"/>
  <c r="M302" i="17"/>
  <c r="N302" i="17" s="1"/>
  <c r="M303" i="17"/>
  <c r="N303" i="17" s="1"/>
  <c r="M304" i="17"/>
  <c r="N304" i="17" s="1"/>
  <c r="M305" i="17"/>
  <c r="N305" i="17" s="1"/>
  <c r="M306" i="17"/>
  <c r="N306" i="17" s="1"/>
  <c r="M307" i="17"/>
  <c r="N307" i="17" s="1"/>
  <c r="M308" i="17"/>
  <c r="N308" i="17" s="1"/>
  <c r="M309" i="17"/>
  <c r="N309" i="17" s="1"/>
  <c r="M310" i="17"/>
  <c r="N310" i="17" s="1"/>
  <c r="M311" i="17"/>
  <c r="N311" i="17" s="1"/>
  <c r="M312" i="17"/>
  <c r="N312" i="17" s="1"/>
  <c r="M313" i="17"/>
  <c r="N313" i="17" s="1"/>
  <c r="M314" i="17"/>
  <c r="N314" i="17" s="1"/>
  <c r="M315" i="17"/>
  <c r="N315" i="17" s="1"/>
  <c r="M316" i="17"/>
  <c r="N316" i="17" s="1"/>
  <c r="M317" i="17"/>
  <c r="N317" i="17" s="1"/>
  <c r="M318" i="17"/>
  <c r="N318" i="17" s="1"/>
  <c r="M319" i="17"/>
  <c r="N319" i="17" s="1"/>
  <c r="M320" i="17"/>
  <c r="N320" i="17" s="1"/>
  <c r="M321" i="17"/>
  <c r="N321" i="17" s="1"/>
  <c r="M322" i="17"/>
  <c r="N322" i="17" s="1"/>
  <c r="M323" i="17"/>
  <c r="N323" i="17" s="1"/>
  <c r="M324" i="17"/>
  <c r="N324" i="17" s="1"/>
  <c r="M325" i="17"/>
  <c r="N325" i="17" s="1"/>
  <c r="M326" i="17"/>
  <c r="N326" i="17" s="1"/>
  <c r="M327" i="17"/>
  <c r="N327" i="17" s="1"/>
  <c r="M328" i="17"/>
  <c r="N328" i="17" s="1"/>
  <c r="M329" i="17"/>
  <c r="N329" i="17" s="1"/>
  <c r="M330" i="17"/>
  <c r="N330" i="17" s="1"/>
  <c r="M331" i="17"/>
  <c r="N331" i="17" s="1"/>
  <c r="M332" i="17"/>
  <c r="N332" i="17" s="1"/>
  <c r="M333" i="17"/>
  <c r="N333" i="17" s="1"/>
  <c r="M334" i="17"/>
  <c r="N334" i="17" s="1"/>
  <c r="M335" i="17"/>
  <c r="N335" i="17" s="1"/>
  <c r="M336" i="17"/>
  <c r="N336" i="17" s="1"/>
  <c r="M337" i="17"/>
  <c r="N337" i="17" s="1"/>
  <c r="M338" i="17"/>
  <c r="N338" i="17" s="1"/>
  <c r="M339" i="17"/>
  <c r="N339" i="17" s="1"/>
  <c r="M340" i="17"/>
  <c r="N340" i="17" s="1"/>
  <c r="M341" i="17"/>
  <c r="N341" i="17" s="1"/>
  <c r="M342" i="17"/>
  <c r="N342" i="17" s="1"/>
  <c r="M343" i="17"/>
  <c r="N343" i="17" s="1"/>
  <c r="M344" i="17"/>
  <c r="N344" i="17" s="1"/>
  <c r="M345" i="17"/>
  <c r="N345" i="17" s="1"/>
  <c r="M346" i="17"/>
  <c r="N346" i="17" s="1"/>
  <c r="M347" i="17"/>
  <c r="N347" i="17" s="1"/>
  <c r="M348" i="17"/>
  <c r="N348" i="17" s="1"/>
  <c r="M349" i="17"/>
  <c r="N349" i="17" s="1"/>
  <c r="M350" i="17"/>
  <c r="N350" i="17" s="1"/>
  <c r="M351" i="17"/>
  <c r="N351" i="17" s="1"/>
  <c r="M352" i="17"/>
  <c r="N352" i="17" s="1"/>
  <c r="M353" i="17"/>
  <c r="N353" i="17" s="1"/>
  <c r="M354" i="17"/>
  <c r="N354" i="17" s="1"/>
  <c r="M355" i="17"/>
  <c r="N355" i="17" s="1"/>
  <c r="M356" i="17"/>
  <c r="N356" i="17" s="1"/>
  <c r="M357" i="17"/>
  <c r="N357" i="17" s="1"/>
  <c r="M358" i="17"/>
  <c r="N358" i="17" s="1"/>
  <c r="M359" i="17"/>
  <c r="N359" i="17" s="1"/>
  <c r="M360" i="17"/>
  <c r="N360" i="17" s="1"/>
  <c r="M361" i="17"/>
  <c r="N361" i="17" s="1"/>
  <c r="M362" i="17"/>
  <c r="N362" i="17" s="1"/>
  <c r="M363" i="17"/>
  <c r="N363" i="17" s="1"/>
  <c r="M364" i="17"/>
  <c r="N364" i="17" s="1"/>
  <c r="M365" i="17"/>
  <c r="N365" i="17" s="1"/>
  <c r="M366" i="17"/>
  <c r="N366" i="17" s="1"/>
  <c r="M367" i="17"/>
  <c r="N367" i="17" s="1"/>
  <c r="M368" i="17"/>
  <c r="N368" i="17" s="1"/>
  <c r="M369" i="17"/>
  <c r="N369" i="17" s="1"/>
  <c r="M370" i="17"/>
  <c r="N370" i="17" s="1"/>
  <c r="M371" i="17"/>
  <c r="N371" i="17" s="1"/>
  <c r="M372" i="17"/>
  <c r="N372" i="17" s="1"/>
  <c r="M373" i="17"/>
  <c r="N373" i="17" s="1"/>
  <c r="M374" i="17"/>
  <c r="N374" i="17" s="1"/>
  <c r="M375" i="17"/>
  <c r="N375" i="17" s="1"/>
  <c r="M376" i="17"/>
  <c r="N376" i="17" s="1"/>
  <c r="M377" i="17"/>
  <c r="N377" i="17" s="1"/>
  <c r="M378" i="17"/>
  <c r="N378" i="17" s="1"/>
  <c r="M379" i="17"/>
  <c r="N379" i="17" s="1"/>
  <c r="M380" i="17"/>
  <c r="N380" i="17" s="1"/>
  <c r="M381" i="17"/>
  <c r="N381" i="17" s="1"/>
  <c r="M382" i="17"/>
  <c r="N382" i="17" s="1"/>
  <c r="M383" i="17"/>
  <c r="N383" i="17" s="1"/>
  <c r="M384" i="17"/>
  <c r="N384" i="17" s="1"/>
  <c r="M385" i="17"/>
  <c r="N385" i="17" s="1"/>
  <c r="M386" i="17"/>
  <c r="N386" i="17" s="1"/>
  <c r="M387" i="17"/>
  <c r="N387" i="17" s="1"/>
  <c r="M388" i="17"/>
  <c r="N388" i="17" s="1"/>
  <c r="M389" i="17"/>
  <c r="N389" i="17" s="1"/>
  <c r="M390" i="17"/>
  <c r="N390" i="17" s="1"/>
  <c r="M391" i="17"/>
  <c r="N391" i="17" s="1"/>
  <c r="M392" i="17"/>
  <c r="N392" i="17" s="1"/>
  <c r="M393" i="17"/>
  <c r="N393" i="17" s="1"/>
  <c r="M394" i="17"/>
  <c r="N394" i="17" s="1"/>
  <c r="M395" i="17"/>
  <c r="N395" i="17" s="1"/>
  <c r="M396" i="17"/>
  <c r="N396" i="17" s="1"/>
  <c r="M397" i="17"/>
  <c r="N397" i="17" s="1"/>
  <c r="M398" i="17"/>
  <c r="N398" i="17" s="1"/>
  <c r="M399" i="17"/>
  <c r="N399" i="17" s="1"/>
  <c r="M400" i="17"/>
  <c r="N400" i="17" s="1"/>
  <c r="M401" i="17"/>
  <c r="N401" i="17" s="1"/>
  <c r="M402" i="17"/>
  <c r="N402" i="17" s="1"/>
  <c r="M403" i="17"/>
  <c r="N403" i="17" s="1"/>
  <c r="M404" i="17"/>
  <c r="N404" i="17" s="1"/>
  <c r="M405" i="17"/>
  <c r="N405" i="17" s="1"/>
  <c r="M406" i="17"/>
  <c r="N406" i="17" s="1"/>
  <c r="M407" i="17"/>
  <c r="N407" i="17" s="1"/>
  <c r="M408" i="17"/>
  <c r="N408" i="17" s="1"/>
  <c r="M409" i="17"/>
  <c r="N409" i="17" s="1"/>
  <c r="M410" i="17"/>
  <c r="N410" i="17" s="1"/>
  <c r="M411" i="17"/>
  <c r="N411" i="17" s="1"/>
  <c r="M412" i="17"/>
  <c r="N412" i="17" s="1"/>
  <c r="M413" i="17"/>
  <c r="N413" i="17" s="1"/>
  <c r="M414" i="17"/>
  <c r="N414" i="17" s="1"/>
  <c r="M415" i="17"/>
  <c r="N415" i="17" s="1"/>
  <c r="M416" i="17"/>
  <c r="N416" i="17" s="1"/>
  <c r="M417" i="17"/>
  <c r="N417" i="17" s="1"/>
  <c r="M418" i="17"/>
  <c r="N418" i="17" s="1"/>
  <c r="M419" i="17"/>
  <c r="N419" i="17" s="1"/>
  <c r="M420" i="17"/>
  <c r="N420" i="17" s="1"/>
  <c r="M421" i="17"/>
  <c r="N421" i="17" s="1"/>
  <c r="M422" i="17"/>
  <c r="N422" i="17" s="1"/>
  <c r="M423" i="17"/>
  <c r="N423" i="17" s="1"/>
  <c r="M424" i="17"/>
  <c r="N424" i="17" s="1"/>
  <c r="M425" i="17"/>
  <c r="N425" i="17" s="1"/>
  <c r="M426" i="17"/>
  <c r="N426" i="17" s="1"/>
  <c r="M427" i="17"/>
  <c r="N427" i="17" s="1"/>
  <c r="M428" i="17"/>
  <c r="N428" i="17" s="1"/>
  <c r="M429" i="17"/>
  <c r="N429" i="17" s="1"/>
  <c r="M430" i="17"/>
  <c r="N430" i="17" s="1"/>
  <c r="M431" i="17"/>
  <c r="N431" i="17" s="1"/>
  <c r="M432" i="17"/>
  <c r="N432" i="17" s="1"/>
  <c r="M433" i="17"/>
  <c r="N433" i="17" s="1"/>
  <c r="M434" i="17"/>
  <c r="N434" i="17" s="1"/>
  <c r="M435" i="17"/>
  <c r="N435" i="17" s="1"/>
  <c r="M436" i="17"/>
  <c r="N436" i="17" s="1"/>
  <c r="M437" i="17"/>
  <c r="N437" i="17" s="1"/>
  <c r="M438" i="17"/>
  <c r="N438" i="17" s="1"/>
  <c r="M439" i="17"/>
  <c r="N439" i="17" s="1"/>
  <c r="M440" i="17"/>
  <c r="N440" i="17" s="1"/>
  <c r="M441" i="17"/>
  <c r="N441" i="17" s="1"/>
  <c r="M442" i="17"/>
  <c r="N442" i="17" s="1"/>
  <c r="M443" i="17"/>
  <c r="N443" i="17" s="1"/>
  <c r="M444" i="17"/>
  <c r="N444" i="17" s="1"/>
  <c r="M445" i="17"/>
  <c r="N445" i="17" s="1"/>
  <c r="M446" i="17"/>
  <c r="N446" i="17" s="1"/>
  <c r="M447" i="17"/>
  <c r="N447" i="17" s="1"/>
  <c r="M448" i="17"/>
  <c r="N448" i="17" s="1"/>
  <c r="M449" i="17"/>
  <c r="N449" i="17" s="1"/>
  <c r="M450" i="17"/>
  <c r="N450" i="17" s="1"/>
  <c r="M451" i="17"/>
  <c r="N451" i="17" s="1"/>
  <c r="M452" i="17"/>
  <c r="N452" i="17" s="1"/>
  <c r="M453" i="17"/>
  <c r="N453" i="17" s="1"/>
  <c r="M454" i="17"/>
  <c r="N454" i="17" s="1"/>
  <c r="M455" i="17"/>
  <c r="N455" i="17" s="1"/>
  <c r="M456" i="17"/>
  <c r="N456" i="17" s="1"/>
  <c r="M457" i="17"/>
  <c r="N457" i="17" s="1"/>
  <c r="M458" i="17"/>
  <c r="N458" i="17" s="1"/>
  <c r="M459" i="17"/>
  <c r="N459" i="17" s="1"/>
  <c r="M460" i="17"/>
  <c r="N460" i="17" s="1"/>
  <c r="M461" i="17"/>
  <c r="N461" i="17" s="1"/>
  <c r="M462" i="17"/>
  <c r="N462" i="17" s="1"/>
  <c r="M463" i="17"/>
  <c r="N463" i="17" s="1"/>
  <c r="M464" i="17"/>
  <c r="N464" i="17" s="1"/>
  <c r="M465" i="17"/>
  <c r="N465" i="17" s="1"/>
  <c r="M466" i="17"/>
  <c r="N466" i="17" s="1"/>
  <c r="M467" i="17"/>
  <c r="N467" i="17" s="1"/>
  <c r="M468" i="17"/>
  <c r="N468" i="17" s="1"/>
  <c r="M469" i="17"/>
  <c r="N469" i="17" s="1"/>
  <c r="M470" i="17"/>
  <c r="N470" i="17" s="1"/>
  <c r="M471" i="17"/>
  <c r="N471" i="17" s="1"/>
  <c r="M472" i="17"/>
  <c r="N472" i="17" s="1"/>
  <c r="M473" i="17"/>
  <c r="N473" i="17" s="1"/>
  <c r="M474" i="17"/>
  <c r="N474" i="17" s="1"/>
  <c r="M475" i="17"/>
  <c r="N475" i="17" s="1"/>
  <c r="M476" i="17"/>
  <c r="N476" i="17" s="1"/>
  <c r="M477" i="17"/>
  <c r="N477" i="17" s="1"/>
  <c r="M478" i="17"/>
  <c r="N478" i="17" s="1"/>
  <c r="M479" i="17"/>
  <c r="N479" i="17" s="1"/>
  <c r="M480" i="17"/>
  <c r="N480" i="17" s="1"/>
  <c r="M481" i="17"/>
  <c r="N481" i="17" s="1"/>
  <c r="M482" i="17"/>
  <c r="N482" i="17" s="1"/>
  <c r="M483" i="17"/>
  <c r="N483" i="17" s="1"/>
  <c r="M484" i="17"/>
  <c r="N484" i="17" s="1"/>
  <c r="M485" i="17"/>
  <c r="N485" i="17" s="1"/>
  <c r="M486" i="17"/>
  <c r="N486" i="17" s="1"/>
  <c r="M487" i="17"/>
  <c r="N487" i="17" s="1"/>
  <c r="M488" i="17"/>
  <c r="N488" i="17" s="1"/>
  <c r="M489" i="17"/>
  <c r="N489" i="17" s="1"/>
  <c r="M490" i="17"/>
  <c r="N490" i="17" s="1"/>
  <c r="M491" i="17"/>
  <c r="N491" i="17" s="1"/>
  <c r="M492" i="17"/>
  <c r="N492" i="17" s="1"/>
  <c r="M493" i="17"/>
  <c r="N493" i="17" s="1"/>
  <c r="M494" i="17"/>
  <c r="N494" i="17" s="1"/>
  <c r="M495" i="17"/>
  <c r="N495" i="17" s="1"/>
  <c r="M496" i="17"/>
  <c r="N496" i="17" s="1"/>
  <c r="M497" i="17"/>
  <c r="N497" i="17" s="1"/>
  <c r="M498" i="17"/>
  <c r="N498" i="17" s="1"/>
  <c r="M499" i="17"/>
  <c r="N499" i="17" s="1"/>
  <c r="M500" i="17"/>
  <c r="N500" i="17" s="1"/>
  <c r="M501" i="17"/>
  <c r="N501" i="17" s="1"/>
  <c r="M502" i="17"/>
  <c r="N502" i="17" s="1"/>
  <c r="M503" i="17"/>
  <c r="N503" i="17" s="1"/>
  <c r="M504" i="17"/>
  <c r="N504" i="17" s="1"/>
  <c r="M505" i="17"/>
  <c r="N505" i="17" s="1"/>
  <c r="M506" i="17"/>
  <c r="N506" i="17" s="1"/>
  <c r="M507" i="17"/>
  <c r="N507" i="17" s="1"/>
  <c r="M508" i="17"/>
  <c r="N508" i="17" s="1"/>
  <c r="M509" i="17"/>
  <c r="N509" i="17" s="1"/>
  <c r="M510" i="17"/>
  <c r="N510" i="17" s="1"/>
  <c r="M511" i="17"/>
  <c r="N511" i="17" s="1"/>
  <c r="M512" i="17"/>
  <c r="N512" i="17" s="1"/>
  <c r="M513" i="17"/>
  <c r="N513" i="17" s="1"/>
  <c r="M514" i="17"/>
  <c r="N514" i="17" s="1"/>
  <c r="M515" i="17"/>
  <c r="N515" i="17" s="1"/>
  <c r="M516" i="17"/>
  <c r="N516" i="17" s="1"/>
  <c r="M517" i="17"/>
  <c r="N517" i="17" s="1"/>
  <c r="M518" i="17"/>
  <c r="N518" i="17" s="1"/>
  <c r="M519" i="17"/>
  <c r="N519" i="17" s="1"/>
  <c r="M520" i="17"/>
  <c r="N520" i="17" s="1"/>
  <c r="M521" i="17"/>
  <c r="N521" i="17" s="1"/>
  <c r="M522" i="17"/>
  <c r="N522" i="17" s="1"/>
  <c r="M523" i="17"/>
  <c r="N523" i="17" s="1"/>
  <c r="M524" i="17"/>
  <c r="N524" i="17" s="1"/>
  <c r="M525" i="17"/>
  <c r="N525" i="17" s="1"/>
  <c r="M526" i="17"/>
  <c r="N526" i="17" s="1"/>
  <c r="M527" i="17"/>
  <c r="N527" i="17" s="1"/>
  <c r="M528" i="17"/>
  <c r="N528" i="17" s="1"/>
  <c r="M529" i="17"/>
  <c r="N529" i="17" s="1"/>
  <c r="M530" i="17"/>
  <c r="N530" i="17" s="1"/>
  <c r="M531" i="17"/>
  <c r="N531" i="17" s="1"/>
  <c r="M532" i="17"/>
  <c r="N532" i="17" s="1"/>
  <c r="M533" i="17"/>
  <c r="N533" i="17" s="1"/>
  <c r="M534" i="17"/>
  <c r="N534" i="17" s="1"/>
  <c r="M535" i="17"/>
  <c r="N535" i="17" s="1"/>
  <c r="M536" i="17"/>
  <c r="N536" i="17" s="1"/>
  <c r="M537" i="17"/>
  <c r="N537" i="17" s="1"/>
  <c r="M538" i="17"/>
  <c r="N538" i="17" s="1"/>
  <c r="M539" i="17"/>
  <c r="N539" i="17" s="1"/>
  <c r="M540" i="17"/>
  <c r="N540" i="17" s="1"/>
  <c r="M541" i="17"/>
  <c r="N541" i="17" s="1"/>
  <c r="M542" i="17"/>
  <c r="N542" i="17" s="1"/>
  <c r="M543" i="17"/>
  <c r="N543" i="17" s="1"/>
  <c r="M544" i="17"/>
  <c r="N544" i="17" s="1"/>
  <c r="M545" i="17"/>
  <c r="N545" i="17" s="1"/>
  <c r="M546" i="17"/>
  <c r="N546" i="17" s="1"/>
  <c r="M547" i="17"/>
  <c r="N547" i="17" s="1"/>
  <c r="M548" i="17"/>
  <c r="N548" i="17" s="1"/>
  <c r="M549" i="17"/>
  <c r="N549" i="17" s="1"/>
  <c r="M550" i="17"/>
  <c r="N550" i="17" s="1"/>
  <c r="M551" i="17"/>
  <c r="N551" i="17" s="1"/>
  <c r="M552" i="17"/>
  <c r="N552" i="17" s="1"/>
  <c r="M553" i="17"/>
  <c r="N553" i="17" s="1"/>
  <c r="M554" i="17"/>
  <c r="N554" i="17" s="1"/>
  <c r="M555" i="17"/>
  <c r="N555" i="17" s="1"/>
  <c r="M556" i="17"/>
  <c r="N556" i="17" s="1"/>
  <c r="M557" i="17"/>
  <c r="N557" i="17" s="1"/>
  <c r="M558" i="17"/>
  <c r="N558" i="17" s="1"/>
  <c r="M559" i="17"/>
  <c r="N559" i="17" s="1"/>
  <c r="M560" i="17"/>
  <c r="N560" i="17" s="1"/>
  <c r="M561" i="17"/>
  <c r="N561" i="17" s="1"/>
  <c r="M562" i="17"/>
  <c r="N562" i="17" s="1"/>
  <c r="M563" i="17"/>
  <c r="N563" i="17" s="1"/>
  <c r="M564" i="17"/>
  <c r="N564" i="17" s="1"/>
  <c r="M565" i="17"/>
  <c r="N565" i="17" s="1"/>
  <c r="M566" i="17"/>
  <c r="N566" i="17" s="1"/>
  <c r="M567" i="17"/>
  <c r="N567" i="17" s="1"/>
  <c r="M568" i="17"/>
  <c r="N568" i="17" s="1"/>
  <c r="M569" i="17"/>
  <c r="N569" i="17" s="1"/>
  <c r="M570" i="17"/>
  <c r="N570" i="17" s="1"/>
  <c r="M571" i="17"/>
  <c r="N571" i="17" s="1"/>
  <c r="M572" i="17"/>
  <c r="N572" i="17" s="1"/>
  <c r="M573" i="17"/>
  <c r="N573" i="17" s="1"/>
  <c r="M574" i="17"/>
  <c r="N574" i="17" s="1"/>
  <c r="M575" i="17"/>
  <c r="N575" i="17" s="1"/>
  <c r="M576" i="17"/>
  <c r="N576" i="17" s="1"/>
  <c r="M577" i="17"/>
  <c r="N577" i="17" s="1"/>
  <c r="M578" i="17"/>
  <c r="N578" i="17" s="1"/>
  <c r="M579" i="17"/>
  <c r="N579" i="17" s="1"/>
  <c r="M580" i="17"/>
  <c r="N580" i="17" s="1"/>
  <c r="M581" i="17"/>
  <c r="N581" i="17" s="1"/>
  <c r="M582" i="17"/>
  <c r="N582" i="17" s="1"/>
  <c r="M583" i="17"/>
  <c r="N583" i="17" s="1"/>
  <c r="M584" i="17"/>
  <c r="N584" i="17" s="1"/>
  <c r="M585" i="17"/>
  <c r="N585" i="17" s="1"/>
  <c r="M586" i="17"/>
  <c r="N586" i="17" s="1"/>
  <c r="M587" i="17"/>
  <c r="N587" i="17" s="1"/>
  <c r="M588" i="17"/>
  <c r="N588" i="17" s="1"/>
  <c r="M589" i="17"/>
  <c r="N589" i="17" s="1"/>
  <c r="M590" i="17"/>
  <c r="N590" i="17" s="1"/>
  <c r="M591" i="17"/>
  <c r="N591" i="17" s="1"/>
  <c r="M592" i="17"/>
  <c r="N592" i="17" s="1"/>
  <c r="M593" i="17"/>
  <c r="N593" i="17" s="1"/>
  <c r="M594" i="17"/>
  <c r="N594" i="17" s="1"/>
  <c r="M595" i="17"/>
  <c r="N595" i="17" s="1"/>
  <c r="M596" i="17"/>
  <c r="N596" i="17" s="1"/>
  <c r="M597" i="17"/>
  <c r="N597" i="17" s="1"/>
  <c r="M598" i="17"/>
  <c r="N598" i="17" s="1"/>
  <c r="M599" i="17"/>
  <c r="N599" i="17" s="1"/>
  <c r="M600" i="17"/>
  <c r="N600" i="17" s="1"/>
  <c r="M601" i="17"/>
  <c r="N601" i="17" s="1"/>
  <c r="M602" i="17"/>
  <c r="N602" i="17" s="1"/>
  <c r="M603" i="17"/>
  <c r="N603" i="17" s="1"/>
  <c r="M604" i="17"/>
  <c r="N604" i="17" s="1"/>
  <c r="M605" i="17"/>
  <c r="N605" i="17" s="1"/>
  <c r="M606" i="17"/>
  <c r="N606" i="17" s="1"/>
  <c r="M607" i="17"/>
  <c r="N607" i="17" s="1"/>
  <c r="M608" i="17"/>
  <c r="N608" i="17" s="1"/>
  <c r="M609" i="17"/>
  <c r="N609" i="17" s="1"/>
  <c r="M610" i="17"/>
  <c r="N610" i="17" s="1"/>
  <c r="M611" i="17"/>
  <c r="N611" i="17" s="1"/>
  <c r="M612" i="17"/>
  <c r="N612" i="17" s="1"/>
  <c r="M613" i="17"/>
  <c r="N613" i="17" s="1"/>
  <c r="M614" i="17"/>
  <c r="N614" i="17" s="1"/>
  <c r="M615" i="17"/>
  <c r="N615" i="17" s="1"/>
  <c r="M616" i="17"/>
  <c r="N616" i="17" s="1"/>
  <c r="M617" i="17"/>
  <c r="N617" i="17" s="1"/>
  <c r="M618" i="17"/>
  <c r="N618" i="17" s="1"/>
  <c r="M619" i="17"/>
  <c r="N619" i="17" s="1"/>
  <c r="M620" i="17"/>
  <c r="N620" i="17" s="1"/>
  <c r="M621" i="17"/>
  <c r="N621" i="17" s="1"/>
  <c r="M622" i="17"/>
  <c r="N622" i="17" s="1"/>
  <c r="M623" i="17"/>
  <c r="N623" i="17" s="1"/>
  <c r="M624" i="17"/>
  <c r="N624" i="17" s="1"/>
  <c r="M625" i="17"/>
  <c r="N625" i="17" s="1"/>
  <c r="M626" i="17"/>
  <c r="N626" i="17" s="1"/>
  <c r="M627" i="17"/>
  <c r="N627" i="17" s="1"/>
  <c r="M628" i="17"/>
  <c r="N628" i="17" s="1"/>
  <c r="M629" i="17"/>
  <c r="N629" i="17" s="1"/>
  <c r="M630" i="17"/>
  <c r="N630" i="17" s="1"/>
  <c r="M631" i="17"/>
  <c r="N631" i="17" s="1"/>
  <c r="M632" i="17"/>
  <c r="N632" i="17" s="1"/>
  <c r="M633" i="17"/>
  <c r="N633" i="17" s="1"/>
  <c r="M634" i="17"/>
  <c r="N634" i="17" s="1"/>
  <c r="M635" i="17"/>
  <c r="N635" i="17" s="1"/>
  <c r="M636" i="17"/>
  <c r="N636" i="17" s="1"/>
  <c r="M637" i="17"/>
  <c r="N637" i="17" s="1"/>
  <c r="M638" i="17"/>
  <c r="N638" i="17" s="1"/>
  <c r="M639" i="17"/>
  <c r="N639" i="17" s="1"/>
  <c r="M640" i="17"/>
  <c r="N640" i="17" s="1"/>
  <c r="M641" i="17"/>
  <c r="N641" i="17" s="1"/>
  <c r="M642" i="17"/>
  <c r="N642" i="17" s="1"/>
  <c r="M643" i="17"/>
  <c r="N643" i="17" s="1"/>
  <c r="M644" i="17"/>
  <c r="N644" i="17" s="1"/>
  <c r="M645" i="17"/>
  <c r="N645" i="17" s="1"/>
  <c r="M646" i="17"/>
  <c r="N646" i="17" s="1"/>
  <c r="M647" i="17"/>
  <c r="N647" i="17" s="1"/>
  <c r="M648" i="17"/>
  <c r="N648" i="17" s="1"/>
  <c r="M649" i="17"/>
  <c r="N649" i="17" s="1"/>
  <c r="M650" i="17"/>
  <c r="N650" i="17" s="1"/>
  <c r="M651" i="17"/>
  <c r="N651" i="17" s="1"/>
  <c r="M652" i="17"/>
  <c r="N652" i="17" s="1"/>
  <c r="M653" i="17"/>
  <c r="N653" i="17" s="1"/>
  <c r="M654" i="17"/>
  <c r="N654" i="17" s="1"/>
  <c r="M655" i="17"/>
  <c r="N655" i="17" s="1"/>
  <c r="M656" i="17"/>
  <c r="N656" i="17" s="1"/>
  <c r="M657" i="17"/>
  <c r="N657" i="17" s="1"/>
  <c r="M658" i="17"/>
  <c r="N658" i="17" s="1"/>
  <c r="M659" i="17"/>
  <c r="N659" i="17" s="1"/>
  <c r="M660" i="17"/>
  <c r="N660" i="17" s="1"/>
  <c r="M661" i="17"/>
  <c r="N661" i="17" s="1"/>
  <c r="M662" i="17"/>
  <c r="N662" i="17" s="1"/>
  <c r="M663" i="17"/>
  <c r="N663" i="17" s="1"/>
  <c r="M664" i="17"/>
  <c r="N664" i="17" s="1"/>
  <c r="M665" i="17"/>
  <c r="N665" i="17" s="1"/>
  <c r="M666" i="17"/>
  <c r="N666" i="17" s="1"/>
  <c r="M667" i="17"/>
  <c r="N667" i="17" s="1"/>
  <c r="M668" i="17"/>
  <c r="N668" i="17" s="1"/>
  <c r="M669" i="17"/>
  <c r="N669" i="17" s="1"/>
  <c r="M670" i="17"/>
  <c r="N670" i="17" s="1"/>
  <c r="M671" i="17"/>
  <c r="N671" i="17" s="1"/>
  <c r="M672" i="17"/>
  <c r="N672" i="17" s="1"/>
  <c r="M673" i="17"/>
  <c r="N673" i="17" s="1"/>
  <c r="M674" i="17"/>
  <c r="N674" i="17" s="1"/>
  <c r="M675" i="17"/>
  <c r="N675" i="17" s="1"/>
  <c r="M676" i="17"/>
  <c r="N676" i="17" s="1"/>
  <c r="M677" i="17"/>
  <c r="N677" i="17" s="1"/>
  <c r="M678" i="17"/>
  <c r="N678" i="17" s="1"/>
  <c r="M679" i="17"/>
  <c r="N679" i="17" s="1"/>
  <c r="M680" i="17"/>
  <c r="N680" i="17" s="1"/>
  <c r="M681" i="17"/>
  <c r="N681" i="17" s="1"/>
  <c r="M682" i="17"/>
  <c r="N682" i="17" s="1"/>
  <c r="M683" i="17"/>
  <c r="N683" i="17" s="1"/>
  <c r="M684" i="17"/>
  <c r="N684" i="17" s="1"/>
  <c r="M685" i="17"/>
  <c r="N685" i="17" s="1"/>
  <c r="M686" i="17"/>
  <c r="N686" i="17" s="1"/>
  <c r="M687" i="17"/>
  <c r="N687" i="17" s="1"/>
  <c r="M688" i="17"/>
  <c r="N688" i="17" s="1"/>
  <c r="M689" i="17"/>
  <c r="N689" i="17" s="1"/>
  <c r="M690" i="17"/>
  <c r="N690" i="17" s="1"/>
  <c r="M691" i="17"/>
  <c r="N691" i="17" s="1"/>
  <c r="M692" i="17"/>
  <c r="N692" i="17" s="1"/>
  <c r="M693" i="17"/>
  <c r="N693" i="17" s="1"/>
  <c r="M694" i="17"/>
  <c r="N694" i="17" s="1"/>
  <c r="M695" i="17"/>
  <c r="N695" i="17" s="1"/>
  <c r="M696" i="17"/>
  <c r="N696" i="17" s="1"/>
  <c r="M697" i="17"/>
  <c r="N697" i="17" s="1"/>
  <c r="M698" i="17"/>
  <c r="N698" i="17" s="1"/>
  <c r="M699" i="17"/>
  <c r="N699" i="17" s="1"/>
  <c r="M700" i="17"/>
  <c r="N700" i="17" s="1"/>
  <c r="M701" i="17"/>
  <c r="N701" i="17" s="1"/>
  <c r="M702" i="17"/>
  <c r="N702" i="17" s="1"/>
  <c r="M703" i="17"/>
  <c r="N703" i="17" s="1"/>
  <c r="M704" i="17"/>
  <c r="N704" i="17" s="1"/>
  <c r="M705" i="17"/>
  <c r="N705" i="17" s="1"/>
  <c r="M706" i="17"/>
  <c r="N706" i="17" s="1"/>
  <c r="M707" i="17"/>
  <c r="N707" i="17" s="1"/>
  <c r="M708" i="17"/>
  <c r="N708" i="17" s="1"/>
  <c r="M709" i="17"/>
  <c r="N709" i="17" s="1"/>
  <c r="M710" i="17"/>
  <c r="N710" i="17" s="1"/>
  <c r="M711" i="17"/>
  <c r="N711" i="17" s="1"/>
  <c r="M712" i="17"/>
  <c r="N712" i="17" s="1"/>
  <c r="M713" i="17"/>
  <c r="N713" i="17" s="1"/>
  <c r="M714" i="17"/>
  <c r="N714" i="17" s="1"/>
  <c r="M715" i="17"/>
  <c r="N715" i="17" s="1"/>
  <c r="M716" i="17"/>
  <c r="N716" i="17" s="1"/>
  <c r="M717" i="17"/>
  <c r="N717" i="17" s="1"/>
  <c r="M718" i="17"/>
  <c r="N718" i="17" s="1"/>
  <c r="M719" i="17"/>
  <c r="N719" i="17" s="1"/>
  <c r="M720" i="17"/>
  <c r="N720" i="17" s="1"/>
  <c r="M721" i="17"/>
  <c r="N721" i="17" s="1"/>
  <c r="M722" i="17"/>
  <c r="N722" i="17" s="1"/>
  <c r="M723" i="17"/>
  <c r="N723" i="17" s="1"/>
  <c r="M724" i="17"/>
  <c r="N724" i="17" s="1"/>
  <c r="M725" i="17"/>
  <c r="N725" i="17" s="1"/>
  <c r="M726" i="17"/>
  <c r="N726" i="17" s="1"/>
  <c r="M727" i="17"/>
  <c r="N727" i="17" s="1"/>
  <c r="M728" i="17"/>
  <c r="N728" i="17" s="1"/>
  <c r="M729" i="17"/>
  <c r="N729" i="17" s="1"/>
  <c r="M730" i="17"/>
  <c r="N730" i="17" s="1"/>
  <c r="M731" i="17"/>
  <c r="N731" i="17" s="1"/>
  <c r="M732" i="17"/>
  <c r="N732" i="17" s="1"/>
  <c r="M733" i="17"/>
  <c r="N733" i="17" s="1"/>
  <c r="M734" i="17"/>
  <c r="N734" i="17" s="1"/>
  <c r="M735" i="17"/>
  <c r="N735" i="17" s="1"/>
  <c r="M736" i="17"/>
  <c r="N736" i="17" s="1"/>
  <c r="M737" i="17"/>
  <c r="N737" i="17" s="1"/>
  <c r="M738" i="17"/>
  <c r="N738" i="17" s="1"/>
  <c r="M739" i="17"/>
  <c r="N739" i="17" s="1"/>
  <c r="M740" i="17"/>
  <c r="N740" i="17" s="1"/>
  <c r="M741" i="17"/>
  <c r="N741" i="17" s="1"/>
  <c r="M742" i="17"/>
  <c r="N742" i="17" s="1"/>
  <c r="M743" i="17"/>
  <c r="N743" i="17" s="1"/>
  <c r="M744" i="17"/>
  <c r="N744" i="17" s="1"/>
  <c r="M745" i="17"/>
  <c r="N745" i="17" s="1"/>
  <c r="M746" i="17"/>
  <c r="N746" i="17" s="1"/>
  <c r="M747" i="17"/>
  <c r="N747" i="17" s="1"/>
  <c r="M748" i="17"/>
  <c r="N748" i="17" s="1"/>
  <c r="M749" i="17"/>
  <c r="N749" i="17" s="1"/>
  <c r="M750" i="17"/>
  <c r="N750" i="17" s="1"/>
  <c r="M751" i="17"/>
  <c r="N751" i="17" s="1"/>
  <c r="M752" i="17"/>
  <c r="N752" i="17" s="1"/>
  <c r="M753" i="17"/>
  <c r="N753" i="17" s="1"/>
  <c r="M754" i="17"/>
  <c r="N754" i="17" s="1"/>
  <c r="M755" i="17"/>
  <c r="N755" i="17" s="1"/>
  <c r="M756" i="17"/>
  <c r="N756" i="17" s="1"/>
  <c r="M757" i="17"/>
  <c r="N757" i="17" s="1"/>
  <c r="M758" i="17"/>
  <c r="N758" i="17" s="1"/>
  <c r="M759" i="17"/>
  <c r="N759" i="17" s="1"/>
  <c r="M760" i="17"/>
  <c r="N760" i="17" s="1"/>
  <c r="M761" i="17"/>
  <c r="N761" i="17" s="1"/>
  <c r="M762" i="17"/>
  <c r="N762" i="17" s="1"/>
  <c r="M763" i="17"/>
  <c r="N763" i="17" s="1"/>
  <c r="M764" i="17"/>
  <c r="N764" i="17" s="1"/>
  <c r="M765" i="17"/>
  <c r="N765" i="17" s="1"/>
  <c r="M766" i="17"/>
  <c r="N766" i="17" s="1"/>
  <c r="M767" i="17"/>
  <c r="N767" i="17" s="1"/>
  <c r="M768" i="17"/>
  <c r="N768" i="17" s="1"/>
  <c r="M769" i="17"/>
  <c r="N769" i="17" s="1"/>
  <c r="M770" i="17"/>
  <c r="N770" i="17" s="1"/>
  <c r="M771" i="17"/>
  <c r="N771" i="17" s="1"/>
  <c r="M772" i="17"/>
  <c r="N772" i="17" s="1"/>
  <c r="M773" i="17"/>
  <c r="N773" i="17" s="1"/>
  <c r="M774" i="17"/>
  <c r="N774" i="17" s="1"/>
  <c r="M775" i="17"/>
  <c r="N775" i="17" s="1"/>
  <c r="M776" i="17"/>
  <c r="N776" i="17" s="1"/>
  <c r="M777" i="17"/>
  <c r="N777" i="17" s="1"/>
  <c r="M778" i="17"/>
  <c r="N778" i="17" s="1"/>
  <c r="M779" i="17"/>
  <c r="N779" i="17" s="1"/>
  <c r="M780" i="17"/>
  <c r="N780" i="17" s="1"/>
  <c r="M781" i="17"/>
  <c r="N781" i="17" s="1"/>
  <c r="M782" i="17"/>
  <c r="N782" i="17" s="1"/>
  <c r="M783" i="17"/>
  <c r="N783" i="17" s="1"/>
  <c r="M784" i="17"/>
  <c r="N784" i="17" s="1"/>
  <c r="M785" i="17"/>
  <c r="N785" i="17" s="1"/>
  <c r="M786" i="17"/>
  <c r="N786" i="17" s="1"/>
  <c r="M787" i="17"/>
  <c r="N787" i="17" s="1"/>
  <c r="M788" i="17"/>
  <c r="N788" i="17" s="1"/>
  <c r="M789" i="17"/>
  <c r="N789" i="17" s="1"/>
  <c r="M790" i="17"/>
  <c r="N790" i="17" s="1"/>
  <c r="M791" i="17"/>
  <c r="N791" i="17" s="1"/>
  <c r="M792" i="17"/>
  <c r="N792" i="17" s="1"/>
  <c r="M793" i="17"/>
  <c r="N793" i="17" s="1"/>
  <c r="M794" i="17"/>
  <c r="N794" i="17" s="1"/>
  <c r="M795" i="17"/>
  <c r="N795" i="17" s="1"/>
  <c r="M796" i="17"/>
  <c r="N796" i="17" s="1"/>
  <c r="M797" i="17"/>
  <c r="N797" i="17" s="1"/>
  <c r="M798" i="17"/>
  <c r="N798" i="17" s="1"/>
  <c r="M799" i="17"/>
  <c r="N799" i="17" s="1"/>
  <c r="M800" i="17"/>
  <c r="N800" i="17" s="1"/>
  <c r="M801" i="17"/>
  <c r="N801" i="17" s="1"/>
  <c r="M802" i="17"/>
  <c r="N802" i="17" s="1"/>
  <c r="M803" i="17"/>
  <c r="N803" i="17" s="1"/>
  <c r="M804" i="17"/>
  <c r="N804" i="17" s="1"/>
  <c r="M805" i="17"/>
  <c r="N805" i="17" s="1"/>
  <c r="M806" i="17"/>
  <c r="N806" i="17" s="1"/>
  <c r="M807" i="17"/>
  <c r="N807" i="17" s="1"/>
  <c r="M808" i="17"/>
  <c r="N808" i="17" s="1"/>
  <c r="M809" i="17"/>
  <c r="N809" i="17" s="1"/>
  <c r="M810" i="17"/>
  <c r="N810" i="17" s="1"/>
  <c r="M811" i="17"/>
  <c r="N811" i="17" s="1"/>
  <c r="M812" i="17"/>
  <c r="N812" i="17" s="1"/>
  <c r="M813" i="17"/>
  <c r="N813" i="17" s="1"/>
  <c r="M814" i="17"/>
  <c r="N814" i="17" s="1"/>
  <c r="M815" i="17"/>
  <c r="N815" i="17" s="1"/>
  <c r="M816" i="17"/>
  <c r="N816" i="17" s="1"/>
  <c r="M817" i="17"/>
  <c r="N817" i="17" s="1"/>
  <c r="M818" i="17"/>
  <c r="N818" i="17" s="1"/>
  <c r="M819" i="17"/>
  <c r="N819" i="17" s="1"/>
  <c r="M820" i="17"/>
  <c r="N820" i="17" s="1"/>
  <c r="M821" i="17"/>
  <c r="N821" i="17" s="1"/>
  <c r="M822" i="17"/>
  <c r="N822" i="17" s="1"/>
  <c r="M823" i="17"/>
  <c r="N823" i="17" s="1"/>
  <c r="M824" i="17"/>
  <c r="N824" i="17" s="1"/>
  <c r="M825" i="17"/>
  <c r="N825" i="17" s="1"/>
  <c r="M826" i="17"/>
  <c r="N826" i="17" s="1"/>
  <c r="M827" i="17"/>
  <c r="N827" i="17" s="1"/>
  <c r="M828" i="17"/>
  <c r="N828" i="17" s="1"/>
  <c r="M829" i="17"/>
  <c r="N829" i="17" s="1"/>
  <c r="M830" i="17"/>
  <c r="N830" i="17" s="1"/>
  <c r="M831" i="17"/>
  <c r="N831" i="17" s="1"/>
  <c r="M832" i="17"/>
  <c r="N832" i="17" s="1"/>
  <c r="M833" i="17"/>
  <c r="N833" i="17" s="1"/>
  <c r="M834" i="17"/>
  <c r="N834" i="17" s="1"/>
  <c r="M835" i="17"/>
  <c r="N835" i="17" s="1"/>
  <c r="M836" i="17"/>
  <c r="N836" i="17" s="1"/>
  <c r="M837" i="17"/>
  <c r="N837" i="17" s="1"/>
  <c r="M838" i="17"/>
  <c r="N838" i="17" s="1"/>
  <c r="M839" i="17"/>
  <c r="N839" i="17" s="1"/>
  <c r="M840" i="17"/>
  <c r="N840" i="17" s="1"/>
  <c r="M841" i="17"/>
  <c r="N841" i="17" s="1"/>
  <c r="M842" i="17"/>
  <c r="N842" i="17" s="1"/>
  <c r="M843" i="17"/>
  <c r="N843" i="17" s="1"/>
  <c r="M844" i="17"/>
  <c r="N844" i="17" s="1"/>
  <c r="M845" i="17"/>
  <c r="N845" i="17" s="1"/>
  <c r="M846" i="17"/>
  <c r="N846" i="17" s="1"/>
  <c r="M847" i="17"/>
  <c r="N847" i="17" s="1"/>
  <c r="M848" i="17"/>
  <c r="N848" i="17" s="1"/>
  <c r="M849" i="17"/>
  <c r="N849" i="17" s="1"/>
  <c r="M850" i="17"/>
  <c r="N850" i="17" s="1"/>
  <c r="M851" i="17"/>
  <c r="N851" i="17" s="1"/>
  <c r="M852" i="17"/>
  <c r="N852" i="17" s="1"/>
  <c r="M853" i="17"/>
  <c r="N853" i="17" s="1"/>
  <c r="M854" i="17"/>
  <c r="N854" i="17" s="1"/>
  <c r="M855" i="17"/>
  <c r="N855" i="17" s="1"/>
  <c r="M856" i="17"/>
  <c r="N856" i="17" s="1"/>
  <c r="M857" i="17"/>
  <c r="N857" i="17" s="1"/>
  <c r="M858" i="17"/>
  <c r="N858" i="17" s="1"/>
  <c r="M859" i="17"/>
  <c r="N859" i="17" s="1"/>
  <c r="M860" i="17"/>
  <c r="N860" i="17" s="1"/>
  <c r="M861" i="17"/>
  <c r="N861" i="17" s="1"/>
  <c r="M862" i="17"/>
  <c r="N862" i="17" s="1"/>
  <c r="M863" i="17"/>
  <c r="N863" i="17" s="1"/>
  <c r="M864" i="17"/>
  <c r="N864" i="17" s="1"/>
  <c r="M865" i="17"/>
  <c r="N865" i="17" s="1"/>
  <c r="M866" i="17"/>
  <c r="N866" i="17" s="1"/>
  <c r="M867" i="17"/>
  <c r="N867" i="17" s="1"/>
  <c r="M868" i="17"/>
  <c r="N868" i="17" s="1"/>
  <c r="M869" i="17"/>
  <c r="N869" i="17" s="1"/>
  <c r="M870" i="17"/>
  <c r="N870" i="17" s="1"/>
  <c r="M871" i="17"/>
  <c r="N871" i="17" s="1"/>
  <c r="M872" i="17"/>
  <c r="N872" i="17" s="1"/>
  <c r="M873" i="17"/>
  <c r="N873" i="17" s="1"/>
  <c r="M874" i="17"/>
  <c r="N874" i="17" s="1"/>
  <c r="M875" i="17"/>
  <c r="N875" i="17" s="1"/>
  <c r="M876" i="17"/>
  <c r="N876" i="17" s="1"/>
  <c r="M877" i="17"/>
  <c r="N877" i="17" s="1"/>
  <c r="M878" i="17"/>
  <c r="N878" i="17" s="1"/>
  <c r="M879" i="17"/>
  <c r="N879" i="17" s="1"/>
  <c r="M880" i="17"/>
  <c r="N880" i="17" s="1"/>
  <c r="M881" i="17"/>
  <c r="N881" i="17" s="1"/>
  <c r="M882" i="17"/>
  <c r="N882" i="17" s="1"/>
  <c r="M883" i="17"/>
  <c r="N883" i="17" s="1"/>
  <c r="M884" i="17"/>
  <c r="N884" i="17" s="1"/>
  <c r="M885" i="17"/>
  <c r="N885" i="17" s="1"/>
  <c r="M886" i="17"/>
  <c r="N886" i="17" s="1"/>
  <c r="M887" i="17"/>
  <c r="N887" i="17" s="1"/>
  <c r="M888" i="17"/>
  <c r="N888" i="17" s="1"/>
  <c r="M889" i="17"/>
  <c r="N889" i="17" s="1"/>
  <c r="M890" i="17"/>
  <c r="N890" i="17" s="1"/>
  <c r="M891" i="17"/>
  <c r="N891" i="17" s="1"/>
  <c r="M892" i="17"/>
  <c r="N892" i="17" s="1"/>
  <c r="M893" i="17"/>
  <c r="N893" i="17" s="1"/>
  <c r="M894" i="17"/>
  <c r="N894" i="17" s="1"/>
  <c r="M895" i="17"/>
  <c r="N895" i="17" s="1"/>
  <c r="M896" i="17"/>
  <c r="N896" i="17" s="1"/>
  <c r="M897" i="17"/>
  <c r="N897" i="17" s="1"/>
  <c r="M898" i="17"/>
  <c r="N898" i="17" s="1"/>
  <c r="M899" i="17"/>
  <c r="N899" i="17" s="1"/>
  <c r="M900" i="17"/>
  <c r="N900" i="17" s="1"/>
  <c r="M901" i="17"/>
  <c r="N901" i="17" s="1"/>
  <c r="M902" i="17"/>
  <c r="N902" i="17" s="1"/>
  <c r="M903" i="17"/>
  <c r="N903" i="17" s="1"/>
  <c r="M904" i="17"/>
  <c r="N904" i="17" s="1"/>
  <c r="M905" i="17"/>
  <c r="N905" i="17" s="1"/>
  <c r="M906" i="17"/>
  <c r="N906" i="17" s="1"/>
  <c r="M907" i="17"/>
  <c r="N907" i="17" s="1"/>
  <c r="M908" i="17"/>
  <c r="N908" i="17" s="1"/>
  <c r="M909" i="17"/>
  <c r="N909" i="17" s="1"/>
  <c r="M910" i="17"/>
  <c r="N910" i="17" s="1"/>
  <c r="M911" i="17"/>
  <c r="N911" i="17" s="1"/>
  <c r="M912" i="17"/>
  <c r="N912" i="17" s="1"/>
  <c r="M913" i="17"/>
  <c r="N913" i="17" s="1"/>
  <c r="M914" i="17"/>
  <c r="N914" i="17" s="1"/>
  <c r="M915" i="17"/>
  <c r="N915" i="17" s="1"/>
  <c r="M916" i="17"/>
  <c r="N916" i="17" s="1"/>
  <c r="M917" i="17"/>
  <c r="N917" i="17" s="1"/>
  <c r="M918" i="17"/>
  <c r="N918" i="17" s="1"/>
  <c r="M919" i="17"/>
  <c r="N919" i="17" s="1"/>
  <c r="M920" i="17"/>
  <c r="N920" i="17" s="1"/>
  <c r="M921" i="17"/>
  <c r="N921" i="17" s="1"/>
  <c r="M922" i="17"/>
  <c r="N922" i="17" s="1"/>
  <c r="M923" i="17"/>
  <c r="N923" i="17" s="1"/>
  <c r="M924" i="17"/>
  <c r="N924" i="17" s="1"/>
  <c r="M925" i="17"/>
  <c r="N925" i="17" s="1"/>
  <c r="M926" i="17"/>
  <c r="N926" i="17" s="1"/>
  <c r="M927" i="17"/>
  <c r="N927" i="17" s="1"/>
  <c r="M928" i="17"/>
  <c r="N928" i="17" s="1"/>
  <c r="M929" i="17"/>
  <c r="N929" i="17" s="1"/>
  <c r="M930" i="17"/>
  <c r="N930" i="17" s="1"/>
  <c r="M931" i="17"/>
  <c r="N931" i="17" s="1"/>
  <c r="M932" i="17"/>
  <c r="N932" i="17" s="1"/>
  <c r="M933" i="17"/>
  <c r="N933" i="17" s="1"/>
  <c r="M934" i="17"/>
  <c r="N934" i="17" s="1"/>
  <c r="M935" i="17"/>
  <c r="N935" i="17" s="1"/>
  <c r="M936" i="17"/>
  <c r="N936" i="17" s="1"/>
  <c r="M937" i="17"/>
  <c r="N937" i="17" s="1"/>
  <c r="M938" i="17"/>
  <c r="N938" i="17" s="1"/>
  <c r="M939" i="17"/>
  <c r="N939" i="17" s="1"/>
  <c r="M940" i="17"/>
  <c r="N940" i="17" s="1"/>
  <c r="M941" i="17"/>
  <c r="N941" i="17" s="1"/>
  <c r="M942" i="17"/>
  <c r="N942" i="17" s="1"/>
  <c r="M943" i="17"/>
  <c r="N943" i="17" s="1"/>
  <c r="M944" i="17"/>
  <c r="N944" i="17" s="1"/>
  <c r="M945" i="17"/>
  <c r="N945" i="17" s="1"/>
  <c r="M946" i="17"/>
  <c r="N946" i="17" s="1"/>
  <c r="M947" i="17"/>
  <c r="N947" i="17" s="1"/>
  <c r="M948" i="17"/>
  <c r="N948" i="17" s="1"/>
  <c r="M949" i="17"/>
  <c r="N949" i="17" s="1"/>
  <c r="M950" i="17"/>
  <c r="N950" i="17" s="1"/>
  <c r="M951" i="17"/>
  <c r="N951" i="17" s="1"/>
  <c r="M952" i="17"/>
  <c r="N952" i="17" s="1"/>
  <c r="M953" i="17"/>
  <c r="N953" i="17" s="1"/>
  <c r="M954" i="17"/>
  <c r="N954" i="17" s="1"/>
  <c r="M955" i="17"/>
  <c r="N955" i="17" s="1"/>
  <c r="M956" i="17"/>
  <c r="N956" i="17" s="1"/>
  <c r="M957" i="17"/>
  <c r="N957" i="17" s="1"/>
  <c r="M958" i="17"/>
  <c r="N958" i="17" s="1"/>
  <c r="M959" i="17"/>
  <c r="N959" i="17" s="1"/>
  <c r="M960" i="17"/>
  <c r="N960" i="17" s="1"/>
  <c r="M961" i="17"/>
  <c r="N961" i="17" s="1"/>
  <c r="M962" i="17"/>
  <c r="N962" i="17" s="1"/>
  <c r="M963" i="17"/>
  <c r="N963" i="17" s="1"/>
  <c r="M964" i="17"/>
  <c r="N964" i="17" s="1"/>
  <c r="M965" i="17"/>
  <c r="N965" i="17" s="1"/>
  <c r="M966" i="17"/>
  <c r="N966" i="17" s="1"/>
  <c r="M967" i="17"/>
  <c r="N967" i="17" s="1"/>
  <c r="M968" i="17"/>
  <c r="N968" i="17" s="1"/>
  <c r="M969" i="17"/>
  <c r="N969" i="17" s="1"/>
  <c r="M970" i="17"/>
  <c r="N970" i="17" s="1"/>
  <c r="M971" i="17"/>
  <c r="N971" i="17" s="1"/>
  <c r="M972" i="17"/>
  <c r="N972" i="17" s="1"/>
  <c r="M973" i="17"/>
  <c r="N973" i="17" s="1"/>
  <c r="M974" i="17"/>
  <c r="N974" i="17" s="1"/>
  <c r="M975" i="17"/>
  <c r="N975" i="17" s="1"/>
  <c r="M976" i="17"/>
  <c r="N976" i="17" s="1"/>
  <c r="M977" i="17"/>
  <c r="N977" i="17" s="1"/>
  <c r="M978" i="17"/>
  <c r="N978" i="17" s="1"/>
  <c r="M979" i="17"/>
  <c r="N979" i="17" s="1"/>
  <c r="M980" i="17"/>
  <c r="N980" i="17" s="1"/>
  <c r="M981" i="17"/>
  <c r="N981" i="17" s="1"/>
  <c r="M982" i="17"/>
  <c r="N982" i="17" s="1"/>
  <c r="M983" i="17"/>
  <c r="N983" i="17" s="1"/>
  <c r="M984" i="17"/>
  <c r="N984" i="17" s="1"/>
  <c r="M985" i="17"/>
  <c r="N985" i="17" s="1"/>
  <c r="M986" i="17"/>
  <c r="N986" i="17" s="1"/>
  <c r="M987" i="17"/>
  <c r="N987" i="17" s="1"/>
  <c r="M988" i="17"/>
  <c r="N988" i="17" s="1"/>
  <c r="M989" i="17"/>
  <c r="N989" i="17" s="1"/>
  <c r="M990" i="17"/>
  <c r="N990" i="17" s="1"/>
  <c r="M991" i="17"/>
  <c r="N991" i="17" s="1"/>
  <c r="M992" i="17"/>
  <c r="N992" i="17" s="1"/>
  <c r="M993" i="17"/>
  <c r="N993" i="17" s="1"/>
  <c r="M994" i="17"/>
  <c r="N994" i="17" s="1"/>
  <c r="M995" i="17"/>
  <c r="N995" i="17" s="1"/>
  <c r="M996" i="17"/>
  <c r="N996" i="17" s="1"/>
  <c r="M997" i="17"/>
  <c r="N997" i="17" s="1"/>
  <c r="M998" i="17"/>
  <c r="N998" i="17" s="1"/>
  <c r="M999" i="17"/>
  <c r="N999" i="17" s="1"/>
  <c r="M1000" i="17"/>
  <c r="N1000" i="17" s="1"/>
  <c r="M1001" i="17"/>
  <c r="N1001" i="17" s="1"/>
  <c r="M1002" i="17"/>
  <c r="N1002" i="17" s="1"/>
  <c r="M1003" i="17"/>
  <c r="N1003" i="17" s="1"/>
  <c r="M1004" i="17"/>
  <c r="N1004" i="17" s="1"/>
  <c r="M1005" i="17"/>
  <c r="N1005" i="17" s="1"/>
  <c r="M1006" i="17"/>
  <c r="N1006" i="17" s="1"/>
  <c r="M1007" i="17"/>
  <c r="N1007" i="17" s="1"/>
  <c r="M1008" i="17"/>
  <c r="N1008" i="17" s="1"/>
  <c r="M1009" i="17"/>
  <c r="N1009" i="17" s="1"/>
  <c r="M1010" i="17"/>
  <c r="N1010" i="17" s="1"/>
  <c r="M1011" i="17"/>
  <c r="N1011" i="17" s="1"/>
  <c r="M1012" i="17"/>
  <c r="N1012" i="17" s="1"/>
  <c r="M1013" i="17"/>
  <c r="N1013" i="17" s="1"/>
  <c r="M1014" i="17"/>
  <c r="N1014" i="17" s="1"/>
  <c r="M1015" i="17"/>
  <c r="N1015" i="17" s="1"/>
  <c r="M1016" i="17"/>
  <c r="N1016" i="17" s="1"/>
  <c r="M1017" i="17"/>
  <c r="N1017" i="17" s="1"/>
  <c r="M1018" i="17"/>
  <c r="N1018" i="17" s="1"/>
  <c r="M1019" i="17"/>
  <c r="N1019" i="17" s="1"/>
  <c r="M1020" i="17"/>
  <c r="N1020" i="17" s="1"/>
  <c r="M1021" i="17"/>
  <c r="N1021" i="17" s="1"/>
  <c r="M1022" i="17"/>
  <c r="N1022" i="17" s="1"/>
  <c r="M1023" i="17"/>
  <c r="N1023" i="17" s="1"/>
  <c r="M1024" i="17"/>
  <c r="N1024" i="17" s="1"/>
  <c r="M1025" i="17"/>
  <c r="N1025" i="17" s="1"/>
  <c r="M1026" i="17"/>
  <c r="N1026" i="17" s="1"/>
  <c r="M1027" i="17"/>
  <c r="N1027" i="17" s="1"/>
  <c r="M1028" i="17"/>
  <c r="N1028" i="17" s="1"/>
  <c r="M1029" i="17"/>
  <c r="N1029" i="17" s="1"/>
  <c r="M1030" i="17"/>
  <c r="N1030" i="17" s="1"/>
  <c r="M1031" i="17"/>
  <c r="N1031" i="17" s="1"/>
  <c r="M1032" i="17"/>
  <c r="N1032" i="17" s="1"/>
  <c r="M1033" i="17"/>
  <c r="N1033" i="17" s="1"/>
  <c r="M1034" i="17"/>
  <c r="N1034" i="17" s="1"/>
  <c r="M1035" i="17"/>
  <c r="N1035" i="17" s="1"/>
  <c r="M1036" i="17"/>
  <c r="N1036" i="17" s="1"/>
  <c r="M1037" i="17"/>
  <c r="N1037" i="17" s="1"/>
  <c r="M1038" i="17"/>
  <c r="N1038" i="17" s="1"/>
  <c r="M1039" i="17"/>
  <c r="N1039" i="17" s="1"/>
  <c r="M1040" i="17"/>
  <c r="N1040" i="17" s="1"/>
  <c r="M1041" i="17"/>
  <c r="N1041" i="17" s="1"/>
  <c r="M1042" i="17"/>
  <c r="N1042" i="17" s="1"/>
  <c r="M1043" i="17"/>
  <c r="N1043" i="17" s="1"/>
  <c r="M1044" i="17"/>
  <c r="N1044" i="17" s="1"/>
  <c r="M1045" i="17"/>
  <c r="N1045" i="17" s="1"/>
  <c r="M1046" i="17"/>
  <c r="N1046" i="17" s="1"/>
  <c r="M1047" i="17"/>
  <c r="N1047" i="17" s="1"/>
  <c r="M1048" i="17"/>
  <c r="N1048" i="17" s="1"/>
  <c r="M1049" i="17"/>
  <c r="N1049" i="17" s="1"/>
  <c r="M1050" i="17"/>
  <c r="N1050" i="17" s="1"/>
  <c r="M1051" i="17"/>
  <c r="N1051" i="17" s="1"/>
  <c r="M1052" i="17"/>
  <c r="N1052" i="17" s="1"/>
  <c r="M1053" i="17"/>
  <c r="N1053" i="17" s="1"/>
  <c r="M1054" i="17"/>
  <c r="N1054" i="17" s="1"/>
  <c r="M1055" i="17"/>
  <c r="N1055" i="17" s="1"/>
  <c r="M1056" i="17"/>
  <c r="N1056" i="17" s="1"/>
  <c r="M1057" i="17"/>
  <c r="N1057" i="17" s="1"/>
  <c r="M1058" i="17"/>
  <c r="N1058" i="17" s="1"/>
  <c r="M1059" i="17"/>
  <c r="N1059" i="17" s="1"/>
  <c r="M1060" i="17"/>
  <c r="N1060" i="17" s="1"/>
  <c r="M1061" i="17"/>
  <c r="N1061" i="17" s="1"/>
  <c r="M1062" i="17"/>
  <c r="N1062" i="17" s="1"/>
  <c r="M1063" i="17"/>
  <c r="N1063" i="17" s="1"/>
  <c r="M1064" i="17"/>
  <c r="N1064" i="17" s="1"/>
  <c r="M1065" i="17"/>
  <c r="N1065" i="17" s="1"/>
  <c r="M1066" i="17"/>
  <c r="N1066" i="17" s="1"/>
  <c r="M1067" i="17"/>
  <c r="N1067" i="17" s="1"/>
  <c r="M1068" i="17"/>
  <c r="N1068" i="17" s="1"/>
  <c r="M1069" i="17"/>
  <c r="N1069" i="17" s="1"/>
  <c r="M1070" i="17"/>
  <c r="N1070" i="17" s="1"/>
  <c r="M1071" i="17"/>
  <c r="N1071" i="17" s="1"/>
  <c r="M1072" i="17"/>
  <c r="N1072" i="17" s="1"/>
  <c r="M1073" i="17"/>
  <c r="N1073" i="17" s="1"/>
  <c r="M1074" i="17"/>
  <c r="N1074" i="17" s="1"/>
  <c r="M1075" i="17"/>
  <c r="N1075" i="17" s="1"/>
  <c r="M1076" i="17"/>
  <c r="N1076" i="17" s="1"/>
  <c r="M1077" i="17"/>
  <c r="N1077" i="17" s="1"/>
  <c r="M1078" i="17"/>
  <c r="N1078" i="17" s="1"/>
  <c r="M1079" i="17"/>
  <c r="N1079" i="17" s="1"/>
  <c r="M1080" i="17"/>
  <c r="N1080" i="17" s="1"/>
  <c r="M1081" i="17"/>
  <c r="N1081" i="17" s="1"/>
  <c r="M1082" i="17"/>
  <c r="N1082" i="17" s="1"/>
  <c r="M1083" i="17"/>
  <c r="N1083" i="17" s="1"/>
  <c r="M1084" i="17"/>
  <c r="N1084" i="17" s="1"/>
  <c r="M1085" i="17"/>
  <c r="N1085" i="17" s="1"/>
  <c r="M1086" i="17"/>
  <c r="N1086" i="17" s="1"/>
  <c r="M1087" i="17"/>
  <c r="N1087" i="17" s="1"/>
  <c r="M1088" i="17"/>
  <c r="N1088" i="17" s="1"/>
  <c r="M1089" i="17"/>
  <c r="N1089" i="17" s="1"/>
  <c r="M1090" i="17"/>
  <c r="N1090" i="17" s="1"/>
  <c r="M1091" i="17"/>
  <c r="N1091" i="17" s="1"/>
  <c r="M1092" i="17"/>
  <c r="N1092" i="17" s="1"/>
  <c r="M1093" i="17"/>
  <c r="N1093" i="17" s="1"/>
  <c r="M1094" i="17"/>
  <c r="N1094" i="17" s="1"/>
  <c r="M1095" i="17"/>
  <c r="N1095" i="17" s="1"/>
  <c r="M1096" i="17"/>
  <c r="N1096" i="17" s="1"/>
  <c r="M1097" i="17"/>
  <c r="N1097" i="17" s="1"/>
  <c r="M1098" i="17"/>
  <c r="N1098" i="17" s="1"/>
  <c r="M1099" i="17"/>
  <c r="N1099" i="17" s="1"/>
  <c r="M1100" i="17"/>
  <c r="N1100" i="17" s="1"/>
  <c r="M1101" i="17"/>
  <c r="N1101" i="17" s="1"/>
  <c r="M1102" i="17"/>
  <c r="N1102" i="17" s="1"/>
  <c r="M1103" i="17"/>
  <c r="N1103" i="17" s="1"/>
  <c r="M1104" i="17"/>
  <c r="N1104" i="17" s="1"/>
  <c r="M1105" i="17"/>
  <c r="N1105" i="17" s="1"/>
  <c r="M1106" i="17"/>
  <c r="N1106" i="17" s="1"/>
  <c r="M1107" i="17"/>
  <c r="N1107" i="17" s="1"/>
  <c r="M1108" i="17"/>
  <c r="N1108" i="17" s="1"/>
  <c r="M1109" i="17"/>
  <c r="N1109" i="17" s="1"/>
  <c r="M1110" i="17"/>
  <c r="N1110" i="17" s="1"/>
  <c r="M1111" i="17"/>
  <c r="N1111" i="17" s="1"/>
  <c r="M1112" i="17"/>
  <c r="N1112" i="17" s="1"/>
  <c r="M1113" i="17"/>
  <c r="N1113" i="17" s="1"/>
  <c r="M1114" i="17"/>
  <c r="N1114" i="17" s="1"/>
  <c r="M1115" i="17"/>
  <c r="N1115" i="17" s="1"/>
  <c r="M1116" i="17"/>
  <c r="N1116" i="17" s="1"/>
  <c r="M1117" i="17"/>
  <c r="N1117" i="17" s="1"/>
  <c r="M1118" i="17"/>
  <c r="N1118" i="17" s="1"/>
  <c r="M2" i="17"/>
  <c r="N2" i="17" s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<sst xmlns="http://schemas.openxmlformats.org/spreadsheetml/2006/main" count="15401" uniqueCount="1133">
  <si>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</si>
  <si>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</si>
  <si>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</si>
  <si>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</si>
  <si>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</si>
  <si>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</si>
  <si>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</si>
  <si>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</si>
  <si>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</si>
  <si>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</si>
  <si>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</si>
  <si>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</si>
  <si>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</si>
  <si>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</si>
  <si>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</si>
  <si>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</si>
  <si>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</si>
  <si>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</si>
  <si>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</si>
  <si>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</si>
  <si>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</si>
  <si>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</si>
  <si>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</si>
  <si>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</si>
  <si>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</si>
  <si>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</si>
  <si>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</si>
  <si>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</si>
  <si>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</si>
  <si>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</si>
  <si>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</si>
  <si>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</si>
  <si>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</si>
  <si>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</si>
  <si>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</si>
  <si>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</si>
  <si>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</si>
  <si>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</si>
  <si>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</si>
  <si>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</si>
  <si>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</si>
  <si>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</si>
  <si>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</si>
  <si>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</si>
  <si>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</si>
  <si>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</si>
  <si>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</si>
  <si>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</si>
  <si>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</si>
  <si>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</si>
  <si>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</si>
  <si>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</si>
  <si>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</si>
  <si>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</si>
  <si>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</si>
  <si>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</si>
  <si>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</si>
  <si>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</si>
  <si>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</si>
  <si>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</si>
  <si>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</si>
  <si>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</si>
  <si>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</si>
  <si>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</si>
  <si>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</si>
  <si>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</si>
  <si>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</si>
  <si>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</si>
  <si>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</si>
  <si>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</si>
  <si>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</si>
  <si>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</si>
  <si>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</si>
  <si>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</si>
  <si>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</si>
  <si>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</si>
  <si>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</si>
  <si>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</si>
  <si>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</si>
  <si>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</si>
  <si>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</si>
  <si>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</si>
  <si>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</si>
  <si>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</si>
  <si>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</si>
  <si>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</si>
  <si>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</si>
  <si>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</si>
  <si>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</si>
  <si>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長度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</si>
  <si>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</si>
  <si>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</si>
  <si>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</si>
  <si>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</si>
  <si>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</si>
  <si>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</si>
  <si>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</si>
  <si>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</si>
  <si>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</si>
  <si>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</si>
  <si>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</si>
  <si>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</si>
  <si>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</si>
  <si>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</si>
  <si>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</si>
  <si>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</si>
  <si>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</si>
  <si>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</si>
  <si>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</si>
  <si>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</si>
  <si>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</si>
  <si>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</si>
  <si>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</si>
  <si>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</si>
  <si>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</si>
  <si>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</si>
  <si>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</si>
  <si>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</si>
  <si>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</si>
  <si>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</si>
  <si>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</si>
  <si>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</si>
  <si>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</si>
  <si>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</si>
  <si>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</si>
  <si>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</si>
  <si>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</si>
  <si>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</si>
  <si>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</si>
  <si>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</si>
  <si>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</si>
  <si>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</si>
  <si>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</si>
  <si>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</si>
  <si>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</si>
  <si>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</si>
  <si>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</si>
  <si>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</si>
  <si>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</si>
  <si>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</si>
  <si>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</si>
  <si>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</si>
  <si>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</si>
  <si>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</si>
  <si>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</si>
  <si>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</si>
  <si>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</si>
  <si>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</si>
  <si>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</si>
  <si>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</si>
  <si>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</si>
  <si>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</si>
  <si>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</si>
  <si>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</si>
  <si>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</si>
  <si>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</si>
  <si>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</si>
  <si>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</si>
  <si>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</si>
  <si>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</si>
  <si>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</si>
  <si>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</si>
  <si>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</si>
  <si>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</si>
  <si>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</si>
  <si>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</si>
  <si>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</si>
  <si>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</si>
  <si>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</si>
  <si>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</si>
  <si>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</si>
  <si>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</si>
  <si>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</si>
  <si>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</si>
  <si>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</si>
  <si>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</si>
  <si>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</si>
  <si>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</si>
  <si>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</si>
  <si>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</si>
  <si>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</si>
  <si>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</si>
  <si>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</si>
  <si>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</si>
  <si>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</si>
  <si>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</si>
  <si>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</si>
  <si>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</si>
  <si>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</si>
  <si>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</si>
  <si>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</si>
  <si>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</si>
  <si>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</si>
  <si>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</si>
  <si>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</si>
  <si>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</si>
  <si>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</si>
  <si>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</si>
  <si>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</si>
  <si>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</si>
  <si>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</si>
  <si>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</si>
  <si>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</si>
  <si>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</si>
  <si>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</si>
  <si>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</si>
  <si>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</si>
  <si>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</si>
  <si>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</si>
  <si>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</si>
  <si>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</si>
  <si>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</si>
  <si>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</si>
  <si>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</si>
  <si>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</si>
  <si>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</si>
  <si>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</si>
  <si>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</si>
  <si>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</si>
  <si>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</si>
  <si>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</si>
  <si>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</si>
  <si>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</si>
  <si>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</si>
  <si>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</si>
  <si>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</si>
  <si>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</si>
  <si>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</si>
  <si>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</si>
  <si>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</si>
  <si>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</si>
  <si>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</si>
  <si>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</si>
  <si>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</si>
  <si>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</si>
  <si>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</si>
  <si>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</si>
  <si>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</si>
  <si>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</si>
  <si>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</si>
  <si>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</si>
  <si>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</si>
  <si>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</si>
  <si>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</si>
  <si>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</si>
  <si>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</si>
  <si>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</si>
  <si>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</si>
  <si>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</si>
  <si>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</si>
  <si>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</si>
  <si>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</si>
  <si>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</si>
  <si>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</si>
  <si>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</si>
  <si>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</si>
  <si>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</si>
  <si>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</si>
  <si>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</si>
  <si>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</si>
  <si>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</si>
  <si>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</si>
  <si>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</si>
  <si>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</si>
  <si>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</si>
  <si>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</si>
  <si>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</si>
  <si>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</si>
  <si>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</si>
  <si>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</si>
  <si>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</si>
  <si>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</si>
  <si>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</si>
  <si>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</si>
  <si>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</si>
  <si>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</si>
  <si>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</si>
  <si>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</si>
  <si>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</si>
  <si>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</si>
  <si>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</si>
  <si>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</si>
  <si>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</si>
  <si>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</si>
  <si>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</si>
  <si>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</si>
  <si>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</si>
  <si>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</si>
  <si>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</si>
  <si>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</si>
  <si>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</si>
  <si>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</si>
  <si>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</si>
  <si>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</si>
  <si>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</si>
  <si>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</si>
  <si>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</si>
  <si>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</si>
  <si>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</si>
  <si>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</si>
  <si>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</si>
  <si>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</si>
  <si>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</si>
  <si>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</si>
  <si>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</si>
  <si>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</si>
  <si>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</si>
  <si>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</si>
  <si>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</si>
  <si>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</si>
  <si>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</si>
  <si>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</si>
  <si>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</si>
  <si>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</si>
  <si>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</si>
  <si>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</si>
  <si>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</si>
  <si>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</si>
  <si>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</si>
  <si>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</si>
  <si>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</si>
  <si>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</si>
  <si>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</si>
  <si>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</si>
  <si>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</si>
  <si>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</si>
  <si>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</si>
  <si>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</si>
  <si>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</si>
  <si>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</si>
  <si>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</si>
  <si>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</si>
  <si>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</si>
  <si>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</si>
  <si>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</si>
  <si>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</si>
  <si>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</si>
  <si>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</si>
  <si>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</si>
  <si>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</si>
  <si>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</si>
  <si>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</si>
  <si>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</si>
  <si>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</si>
  <si>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</si>
  <si>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</si>
  <si>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</si>
  <si>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</si>
  <si>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</si>
  <si>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</si>
  <si>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</si>
  <si>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</si>
  <si>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</si>
  <si>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</si>
  <si>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</si>
  <si>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</si>
  <si>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</si>
  <si>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</si>
  <si>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</si>
  <si>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</si>
  <si>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</si>
  <si>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</si>
  <si>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</si>
  <si>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</si>
  <si>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</si>
  <si>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</si>
  <si>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</si>
  <si>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</si>
  <si>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</si>
  <si>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</si>
  <si>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</si>
  <si>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</si>
  <si>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</si>
  <si>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</si>
  <si>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</si>
  <si>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</si>
  <si>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</si>
  <si>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</si>
  <si>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</si>
  <si>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</si>
  <si>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</si>
  <si>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</si>
  <si>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</si>
  <si>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</si>
  <si>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</si>
  <si>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</si>
  <si>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</si>
  <si>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</si>
  <si>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</si>
  <si>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</si>
  <si>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</si>
  <si>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</si>
  <si>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</si>
  <si>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</si>
  <si>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</si>
  <si>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</si>
  <si>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</si>
  <si>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</si>
  <si>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</si>
  <si>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</si>
  <si>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</si>
  <si>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</si>
  <si>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</si>
  <si>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</si>
  <si>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</si>
  <si>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</si>
  <si>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</si>
  <si>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</si>
  <si>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</si>
  <si>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</si>
  <si>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</si>
  <si>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</si>
  <si>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</si>
  <si>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</si>
  <si>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</si>
  <si>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</si>
  <si>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</si>
  <si>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</si>
  <si>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</si>
  <si>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</si>
  <si>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</si>
  <si>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</si>
  <si>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</si>
  <si>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</si>
  <si>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</si>
  <si>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</si>
  <si>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</si>
  <si>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</si>
  <si>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</si>
  <si>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</si>
  <si>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</si>
  <si>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</si>
  <si>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</si>
  <si>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</si>
  <si>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</si>
  <si>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</si>
  <si>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</si>
  <si>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</si>
  <si>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</si>
  <si>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</si>
  <si>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</si>
  <si>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</si>
  <si>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</si>
  <si>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</si>
  <si>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</si>
  <si>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</si>
  <si>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</si>
  <si>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</si>
  <si>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</si>
  <si>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</si>
  <si>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</si>
  <si>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</si>
  <si>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</si>
  <si>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</si>
  <si>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</si>
  <si>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</si>
  <si>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</si>
  <si>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</si>
  <si>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</si>
  <si>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</si>
  <si>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</si>
  <si>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</si>
  <si>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</si>
  <si>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</si>
  <si>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</si>
  <si>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</si>
  <si>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</si>
  <si>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</si>
  <si>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</si>
  <si>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</si>
  <si>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</si>
  <si>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</si>
  <si>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</si>
  <si>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</si>
  <si>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</si>
  <si>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</si>
  <si>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</si>
  <si>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</si>
  <si>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</si>
  <si>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</si>
  <si>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</si>
  <si>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</si>
  <si>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</si>
  <si>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</si>
  <si>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</si>
  <si>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</si>
  <si>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</si>
  <si>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</si>
  <si>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</si>
  <si>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</si>
  <si>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</si>
  <si>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</si>
  <si>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</si>
  <si>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</si>
  <si>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</si>
  <si>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</si>
  <si>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</si>
  <si>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</si>
  <si>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</si>
  <si>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</si>
  <si>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</si>
  <si>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</si>
  <si>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</si>
  <si>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</si>
  <si>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</si>
  <si>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</si>
  <si>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</si>
  <si>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</si>
  <si>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</si>
  <si>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</si>
  <si>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</si>
  <si>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</si>
  <si>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</si>
  <si>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</si>
  <si>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</si>
  <si>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</si>
  <si>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</si>
  <si>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</si>
  <si>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</si>
  <si>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</si>
  <si>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</si>
  <si>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</si>
  <si>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</si>
  <si>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</si>
  <si>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</si>
  <si>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</si>
  <si>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</si>
  <si>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</si>
  <si>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</si>
  <si>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</si>
  <si>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</si>
  <si>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</si>
  <si>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</si>
  <si>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</si>
  <si>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</si>
  <si>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</si>
  <si>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</si>
  <si>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</si>
  <si>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</si>
  <si>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</si>
  <si>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</si>
  <si>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</si>
  <si>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</si>
  <si>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</si>
  <si>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</si>
  <si>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</si>
  <si>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</si>
  <si>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</si>
  <si>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</si>
  <si>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</si>
  <si>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</si>
  <si>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</si>
  <si>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</si>
  <si>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</si>
  <si>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</si>
  <si>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</si>
  <si>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</si>
  <si>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</si>
  <si>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</si>
  <si>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</si>
  <si>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</si>
  <si>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</si>
  <si>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</si>
  <si>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</si>
  <si>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</si>
  <si>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</si>
  <si>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</si>
  <si>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</si>
  <si>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</si>
  <si>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</si>
  <si>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</si>
  <si>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</si>
  <si>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</si>
  <si>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</si>
  <si>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</si>
  <si>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</si>
  <si>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</si>
  <si>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</si>
  <si>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</si>
  <si>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</si>
  <si>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</si>
  <si>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</si>
  <si>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</si>
  <si>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</si>
  <si>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</si>
  <si>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</si>
  <si>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</si>
  <si>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</si>
  <si>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</si>
  <si>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</si>
  <si>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</si>
  <si>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</si>
  <si>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</si>
  <si>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</si>
  <si>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</si>
  <si>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</si>
  <si>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</si>
  <si>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</si>
  <si>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</si>
  <si>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</si>
  <si>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</si>
  <si>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</si>
  <si>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</si>
  <si>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</si>
  <si>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</si>
  <si>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</si>
  <si>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</si>
  <si>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</si>
  <si>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</si>
  <si>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</si>
  <si>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</si>
  <si>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</si>
  <si>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</si>
  <si>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</si>
  <si>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</si>
  <si>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</si>
  <si>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</si>
  <si>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</si>
  <si>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</si>
  <si>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</si>
  <si>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</si>
  <si>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</si>
  <si>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</si>
  <si>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</si>
  <si>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</si>
  <si>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</si>
  <si>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</si>
  <si>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</si>
  <si>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</si>
  <si>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</si>
  <si>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</si>
  <si>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</si>
  <si>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</si>
  <si>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</si>
  <si>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</si>
  <si>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</si>
  <si>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</si>
  <si>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</si>
  <si>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</si>
  <si>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</si>
  <si>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</si>
  <si>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</si>
  <si>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</si>
  <si>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</si>
  <si>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</si>
  <si>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</si>
  <si>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</si>
  <si>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</si>
  <si>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</si>
  <si>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</si>
  <si>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</si>
  <si>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</si>
  <si>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</si>
  <si>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</si>
  <si>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</si>
  <si>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</si>
  <si>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</si>
  <si>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</si>
  <si>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</si>
  <si>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</si>
  <si>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</si>
  <si>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</si>
  <si>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</si>
  <si>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</si>
  <si>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</si>
  <si>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</si>
  <si>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</si>
  <si>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</si>
  <si>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</si>
  <si>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</si>
  <si>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</si>
  <si>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</si>
  <si>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</si>
  <si>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</si>
  <si>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</si>
  <si>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</si>
  <si>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</si>
  <si>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</si>
  <si>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</si>
  <si>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</si>
  <si>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</si>
  <si>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</si>
  <si>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</si>
  <si>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</si>
  <si>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</si>
  <si>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</si>
  <si>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</si>
  <si>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</si>
  <si>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</si>
  <si>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</si>
  <si>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</si>
  <si>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</si>
  <si>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</si>
  <si>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</si>
  <si>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</si>
  <si>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</si>
  <si>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</si>
  <si>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</si>
  <si>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</si>
  <si>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</si>
  <si>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</si>
  <si>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</si>
  <si>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</si>
  <si>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</si>
  <si>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</si>
  <si>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</si>
  <si>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</si>
  <si>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</si>
  <si>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</si>
  <si>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</si>
  <si>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</si>
  <si>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</si>
  <si>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</si>
  <si>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</si>
  <si>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</si>
  <si>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</si>
  <si>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</si>
  <si>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</si>
  <si>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</si>
  <si>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</si>
  <si>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</si>
  <si>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</si>
  <si>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</si>
  <si>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</si>
  <si>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</si>
  <si>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</si>
  <si>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</si>
  <si>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</si>
  <si>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</si>
  <si>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</si>
  <si>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</si>
  <si>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</si>
  <si>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</si>
  <si>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</si>
  <si>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</si>
  <si>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</si>
  <si>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</si>
  <si>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</si>
  <si>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</si>
  <si>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</si>
  <si>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</si>
  <si>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</si>
  <si>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</si>
  <si>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</si>
  <si>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</si>
  <si>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</si>
  <si>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</si>
  <si>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</si>
  <si>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</si>
  <si>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</si>
  <si>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</si>
  <si>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</si>
  <si>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</si>
  <si>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</si>
  <si>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</si>
  <si>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</si>
  <si>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</si>
  <si>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</si>
  <si>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</si>
  <si>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</si>
  <si>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</si>
  <si>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</si>
  <si>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</si>
  <si>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</si>
  <si>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</si>
  <si>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</si>
  <si>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</si>
  <si>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</si>
  <si>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</si>
  <si>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</si>
  <si>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</si>
  <si>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</si>
  <si>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</si>
  <si>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</si>
  <si>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</si>
  <si>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</si>
  <si>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</si>
  <si>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</si>
  <si>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</si>
  <si>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</si>
  <si>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</si>
  <si>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</si>
  <si>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</si>
  <si>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</si>
  <si>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</si>
  <si>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</si>
  <si>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</si>
  <si>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</si>
  <si>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</si>
  <si>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</si>
  <si>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</si>
  <si>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</si>
  <si>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</si>
  <si>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</si>
  <si>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</si>
  <si>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</si>
  <si>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</si>
  <si>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</si>
  <si>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</si>
  <si>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</si>
  <si>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</si>
  <si>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</si>
  <si>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</si>
  <si>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</si>
  <si>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</si>
  <si>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</si>
  <si>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</si>
  <si>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</si>
  <si>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</si>
  <si>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</si>
  <si>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</si>
  <si>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</si>
  <si>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</si>
  <si>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</si>
  <si>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</si>
  <si>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</si>
  <si>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</si>
  <si>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</si>
  <si>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</si>
  <si>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</si>
  <si>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</si>
  <si>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</si>
  <si>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</si>
  <si>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</si>
  <si>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</si>
  <si>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</si>
  <si>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</si>
  <si>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</si>
  <si>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</si>
  <si>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</si>
  <si>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</si>
  <si>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</si>
  <si>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</si>
  <si>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</si>
  <si>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</si>
  <si>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</si>
  <si>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</si>
  <si>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</si>
  <si>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</si>
  <si>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</si>
  <si>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</si>
  <si>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</si>
  <si>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</si>
  <si>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</si>
  <si>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</si>
  <si>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</si>
  <si>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</si>
  <si>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</si>
  <si>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</si>
  <si>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</si>
  <si>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</si>
  <si>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</si>
  <si>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</si>
  <si>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</si>
  <si>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</si>
  <si>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</si>
  <si>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</si>
  <si>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</si>
  <si>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</si>
  <si>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</si>
  <si>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</si>
  <si>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</si>
  <si>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</si>
  <si>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</si>
  <si>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</si>
  <si>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</si>
  <si>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</si>
  <si>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</si>
  <si>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</si>
  <si>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</si>
  <si>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</si>
  <si>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</si>
  <si>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</si>
  <si>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</si>
  <si>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</si>
  <si>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</si>
  <si>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</si>
  <si>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</si>
  <si>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</si>
  <si>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</si>
  <si>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</si>
  <si>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</si>
  <si>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</si>
  <si>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</si>
  <si>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</si>
  <si>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</si>
  <si>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</si>
  <si>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</si>
  <si>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</si>
  <si>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</si>
  <si>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</si>
  <si>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</si>
  <si>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</si>
  <si>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</si>
  <si>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</si>
  <si>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</si>
  <si>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</si>
  <si>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</si>
  <si>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</si>
  <si>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</si>
  <si>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</si>
  <si>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</si>
  <si>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</si>
  <si>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</si>
  <si>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</si>
  <si>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</si>
  <si>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</si>
  <si>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</si>
  <si>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</si>
  <si>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</si>
  <si>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</si>
  <si>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</si>
  <si>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</si>
  <si>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</si>
  <si>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</si>
  <si>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</si>
  <si>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</si>
  <si>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</si>
  <si>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</si>
  <si>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</si>
  <si>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</si>
  <si>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</si>
  <si>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</si>
  <si>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</si>
  <si>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</si>
  <si>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</si>
  <si>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</si>
  <si>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</si>
  <si>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</si>
  <si>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</si>
  <si>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</si>
  <si>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</si>
  <si>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</si>
  <si>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</si>
  <si>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</si>
  <si>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</si>
  <si>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</si>
  <si>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</si>
  <si>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</si>
  <si>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</si>
  <si>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</si>
  <si>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</si>
  <si>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</si>
  <si>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</si>
  <si>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</si>
  <si>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</si>
  <si>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</si>
  <si>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</si>
  <si>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</si>
  <si>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</si>
  <si>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</si>
  <si>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</si>
  <si>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</si>
  <si>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</si>
  <si>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</si>
  <si>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</si>
  <si>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</si>
  <si>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</si>
  <si>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</si>
  <si>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</si>
  <si>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</si>
  <si>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</si>
  <si>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</si>
  <si>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</si>
  <si>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</si>
  <si>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</si>
  <si>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</si>
  <si>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</si>
  <si>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</si>
  <si>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</si>
  <si>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</si>
  <si>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</si>
  <si>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</si>
  <si>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</si>
  <si>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</si>
  <si>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</si>
  <si>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</si>
  <si>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</si>
  <si>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</si>
  <si>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</si>
  <si>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</si>
  <si>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</si>
  <si>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</si>
  <si>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</si>
  <si>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</si>
  <si>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</si>
  <si>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</si>
  <si>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</si>
  <si>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</si>
  <si>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</si>
  <si>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</si>
  <si>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</si>
  <si>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</si>
  <si>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</si>
  <si>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</si>
  <si>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</si>
  <si>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</si>
  <si>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</si>
  <si>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</si>
  <si>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</si>
  <si>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</si>
  <si>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</si>
  <si>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</si>
  <si>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</si>
  <si>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</si>
  <si>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</si>
  <si>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</si>
  <si>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</si>
  <si>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</si>
  <si>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</si>
  <si>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</si>
  <si>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</si>
  <si>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</si>
  <si>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</si>
  <si>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</si>
  <si>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</si>
  <si>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</si>
  <si>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</si>
  <si>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</si>
  <si>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</si>
  <si>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</si>
  <si>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</si>
  <si>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</si>
  <si>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</si>
  <si>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</si>
  <si>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</si>
  <si>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</si>
  <si>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</si>
  <si>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</si>
  <si>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</si>
  <si>
    <t>Pipe</t>
  </si>
  <si>
    <t>SUS304</t>
  </si>
  <si>
    <t>M</t>
  </si>
  <si>
    <t>素材類</t>
  </si>
  <si>
    <t>A53Gr.B</t>
  </si>
  <si>
    <t>A36/SS400</t>
  </si>
  <si>
    <t>PC</t>
  </si>
  <si>
    <t>鋼板類</t>
  </si>
  <si>
    <t>EXP.BOLT</t>
  </si>
  <si>
    <t>SET</t>
  </si>
  <si>
    <t>螺絲類</t>
  </si>
  <si>
    <t>Plate_b_需鑽孔</t>
  </si>
  <si>
    <t>Error</t>
  </si>
  <si>
    <t>列標籤</t>
  </si>
  <si>
    <t>總計</t>
  </si>
  <si>
    <t>SUPPORT_NO</t>
  </si>
  <si>
    <t>資料驗證</t>
    <phoneticPr fontId="19" type="noConversion"/>
  </si>
  <si>
    <t>比對</t>
    <phoneticPr fontId="19" type="noConversion"/>
  </si>
  <si>
    <t>8"*SCH.40</t>
  </si>
  <si>
    <t>Plate_a_不需鑽孔</t>
  </si>
  <si>
    <t>Angle</t>
  </si>
  <si>
    <t>40*40*5</t>
  </si>
  <si>
    <t>10"*SCH.40</t>
  </si>
  <si>
    <t>1.5"*SCH.80</t>
  </si>
  <si>
    <t>Plate_d_需鑽孔</t>
  </si>
  <si>
    <t>額外備註</t>
  </si>
  <si>
    <t>2"*SCH.40</t>
  </si>
  <si>
    <t>3"*SCH.40</t>
  </si>
  <si>
    <t>4"*SCH.40</t>
  </si>
  <si>
    <t>6"*SCH.40</t>
  </si>
  <si>
    <t>Plate_e_不需鑽孔</t>
  </si>
  <si>
    <t>(空白)</t>
  </si>
  <si>
    <t>加總 - 數量</t>
  </si>
  <si>
    <t>Channel</t>
  </si>
  <si>
    <t>125*65*6</t>
  </si>
  <si>
    <t>Plate(STOPPER)_08Type</t>
  </si>
  <si>
    <t>Plate(TOP)_08Type</t>
  </si>
  <si>
    <t>2"*SCH.80</t>
  </si>
  <si>
    <t>MACHINE BOLT</t>
  </si>
  <si>
    <t>1-5/8""*150L</t>
  </si>
  <si>
    <t>A307Gr.B(熱浸鋅)</t>
  </si>
  <si>
    <t>PLATE_102Type_T</t>
  </si>
  <si>
    <t>PLATE_102Type_B</t>
  </si>
  <si>
    <t>1-5/8""*300L</t>
  </si>
  <si>
    <t>washer</t>
  </si>
  <si>
    <t>92*9t*50</t>
  </si>
  <si>
    <t>Spring</t>
  </si>
  <si>
    <t>12W46ID</t>
  </si>
  <si>
    <t>A229</t>
  </si>
  <si>
    <t>12"*STD.WT</t>
  </si>
  <si>
    <t>200*90*8</t>
  </si>
  <si>
    <t>Plate(wing)_15Type</t>
  </si>
  <si>
    <t>Plate(STOPPER)_15Type</t>
  </si>
  <si>
    <t>Plate(BASE PLATE)_15Type</t>
  </si>
  <si>
    <t>Plate(TOP)_15Type</t>
  </si>
  <si>
    <t>Plate</t>
  </si>
  <si>
    <t>50*50*6</t>
  </si>
  <si>
    <t>75*75*9</t>
  </si>
  <si>
    <t>Plate_c_需鑽孔</t>
  </si>
  <si>
    <t>H Beam</t>
  </si>
  <si>
    <t>125*125*6.5</t>
  </si>
  <si>
    <t>Plate(Wing)_27Type</t>
  </si>
  <si>
    <t>150*150*10</t>
  </si>
  <si>
    <t>3/4"</t>
  </si>
  <si>
    <t>150*75*9</t>
  </si>
  <si>
    <t>100*50*5</t>
  </si>
  <si>
    <t>100*100*6</t>
  </si>
  <si>
    <t>Plate_48Type</t>
  </si>
  <si>
    <t>65*65*6</t>
  </si>
  <si>
    <t>200*100*5.5</t>
  </si>
  <si>
    <t>200*200*8</t>
  </si>
  <si>
    <t>FB_52Type_3</t>
  </si>
  <si>
    <t>AS</t>
  </si>
  <si>
    <t>FB_52Type_1</t>
  </si>
  <si>
    <t>FB_52Type_2</t>
  </si>
  <si>
    <t>U.bolt</t>
  </si>
  <si>
    <t>UB-1 1/2B</t>
  </si>
  <si>
    <t>UB-1/2B</t>
  </si>
  <si>
    <t>UB-1B</t>
  </si>
  <si>
    <t>UB-2B</t>
  </si>
  <si>
    <t>UB-3/4B</t>
  </si>
  <si>
    <t>LUGPLATE_59Type</t>
  </si>
  <si>
    <t>Pad_52Type</t>
  </si>
  <si>
    <t>83-16B- -100-410</t>
    <phoneticPr fontId="19" type="noConversion"/>
  </si>
  <si>
    <t>Type86_M47Clamp</t>
  </si>
  <si>
    <t>4"*STD</t>
  </si>
  <si>
    <t>PLATE_Type87_Top</t>
  </si>
  <si>
    <t>PLATE_Type87_buttom</t>
  </si>
  <si>
    <t>1.5"*215L</t>
  </si>
  <si>
    <t>Lock Nut</t>
  </si>
  <si>
    <t>96mm Nut dimeter</t>
  </si>
  <si>
    <t>A283-C GALV.</t>
  </si>
  <si>
    <t>ADJUT Nut</t>
  </si>
  <si>
    <t>3"*STD</t>
  </si>
  <si>
    <t>1"*190L</t>
  </si>
  <si>
    <t>72mm Nut dimeter</t>
  </si>
  <si>
    <t>SPS-3000D-004</t>
    <phoneticPr fontId="19" type="noConversion"/>
  </si>
  <si>
    <t>290x290x9[220x220]_19%5/8</t>
  </si>
  <si>
    <t>260x260x9[190x190]_19%5/8</t>
  </si>
  <si>
    <t>370x370x9[300x300]_19%5/8</t>
  </si>
  <si>
    <t>180x180x9[110x110]_19%5/8</t>
  </si>
  <si>
    <t>500x500x16[410x410]_26%7/8</t>
  </si>
  <si>
    <t>380x380x16[300x300]_22%3/4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</si>
</sst>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71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  <xf numFmtId="0" fontId="0" fillId="0" borderId="0" xfId="0" applyNumberFormat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429.720710879628" createdVersion="8" refreshedVersion="8" minRefreshableVersion="3" recordCount="2018" xr:uid="{B2645E50-C59E-4025-A2C9-AB117BAE7967}">
  <cacheSource type="worksheet">
    <worksheetSource ref="A1:R2019" sheet="Weight_Analysis"/>
  </cacheSource>
  <cacheFields count="18">
    <cacheField name="管支撐型號" numFmtId="0">
      <sharedItems containsBlank="1"/>
    </cacheField>
    <cacheField name="項次" numFmtId="0">
      <sharedItems containsMixedTypes="1" containsNumber="1" containsInteger="1" minValue="1" maxValue="7"/>
    </cacheField>
    <cacheField name="品名" numFmtId="0">
      <sharedItems containsBlank="1"/>
    </cacheField>
    <cacheField name="尺寸/厚度" numFmtId="0">
      <sharedItems containsBlank="1" containsMixedTypes="1" containsNumber="1" containsInteger="1" minValue="6" maxValue="19"/>
    </cacheField>
    <cacheField name="長度" numFmtId="0">
      <sharedItems containsString="0" containsBlank="1" containsNumber="1" minValue="55" maxValue="4700"/>
    </cacheField>
    <cacheField name="寬度" numFmtId="0">
      <sharedItems containsString="0" containsBlank="1" containsNumber="1" containsInteger="1" minValue="70" maxValue="500"/>
    </cacheField>
    <cacheField name="材質" numFmtId="0">
      <sharedItems containsBlank="1"/>
    </cacheField>
    <cacheField name="數量" numFmtId="0">
      <sharedItems containsString="0" containsBlank="1" containsNumber="1" containsInteger="1" minValue="1" maxValue="4"/>
    </cacheField>
    <cacheField name="每米重" numFmtId="0">
      <sharedItems containsString="0" containsBlank="1" containsNumber="1" minValue="2.95" maxValue="73.86"/>
    </cacheField>
    <cacheField name="單重" numFmtId="0">
      <sharedItems containsString="0" containsBlank="1" containsNumber="1" minValue="0.20935199999999998" maxValue="96"/>
    </cacheField>
    <cacheField name="重量小計" numFmtId="0">
      <sharedItems containsString="0" containsBlank="1" containsNumber="1" minValue="0.20935199999999998" maxValue="96"/>
    </cacheField>
    <cacheField name="單位" numFmtId="0">
      <sharedItems containsBlank="1"/>
    </cacheField>
    <cacheField name="組數" numFmtId="0">
      <sharedItems containsString="0" containsBlank="1" containsNumber="1" containsInteger="1" minValue="1" maxValue="1"/>
    </cacheField>
    <cacheField name="長度小計" numFmtId="0">
      <sharedItems containsString="0" containsBlank="1" containsNumber="1" minValue="0.1" maxValue="4.7"/>
    </cacheField>
    <cacheField name="數量小計" numFmtId="0">
      <sharedItems containsString="0" containsBlank="1" containsNumber="1" containsInteger="1" minValue="1" maxValue="4"/>
    </cacheField>
    <cacheField name="重量合計" numFmtId="0">
      <sharedItems containsString="0" containsBlank="1" containsNumber="1" minValue="0.20935199999999998" maxValue="96"/>
    </cacheField>
    <cacheField name="屬性" numFmtId="0">
      <sharedItems containsBlank="1"/>
    </cacheField>
    <cacheField name="額外備註" numFmtId="0">
      <sharedItems containsBlank="1" count="10">
        <m/>
        <s v="290x290x9[220x220]_19%5/8"/>
        <s v="260x260x9[190x190]_19%5/8"/>
        <s v="370x370x9[300x300]_19%5/8"/>
        <s v="180x180x9[110x110]_19%5/8"/>
        <s v="500x500x16[410x410]_26%7/8"/>
        <s v="380x380x16[300x300]_22%3/4"/>
        <s v="290x290x9[220x220]" u="1"/>
        <s v="260x260x9[190x190]" u="1"/>
        <s v="370x370x9[300x300]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8">
  <r>
    <s v="01-10B-08K-A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8K-G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8K-G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9H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800"/>
    <m/>
    <s v="A53Gr.B"/>
    <n v="1"/>
    <n v="42.55"/>
    <n v="34.04"/>
    <n v="34.04"/>
    <s v="M"/>
    <n v="1"/>
    <n v="0.8"/>
    <m/>
    <n v="34.04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2B-03C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m/>
    <n v="2"/>
    <s v="Pipe"/>
    <s v="8&quot;*SCH.40"/>
    <n v="200"/>
    <m/>
    <s v="A53Gr.B"/>
    <n v="1"/>
    <n v="42.55"/>
    <n v="8.51"/>
    <n v="8.51"/>
    <s v="M"/>
    <n v="1"/>
    <n v="0.2"/>
    <m/>
    <n v="8.51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2B-06C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m/>
    <n v="2"/>
    <s v="Pipe"/>
    <s v="8&quot;*SCH.40"/>
    <n v="500"/>
    <m/>
    <s v="A53Gr.B"/>
    <n v="1"/>
    <n v="42.55"/>
    <n v="21.274999999999999"/>
    <n v="21.274999999999999"/>
    <s v="M"/>
    <n v="1"/>
    <n v="0.5"/>
    <m/>
    <n v="21.274999999999999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4B-02C"/>
    <n v="1"/>
    <s v="Pipe"/>
    <s v="10&quot;*SCH.40"/>
    <n v="573"/>
    <m/>
    <s v="SUS304"/>
    <n v="1"/>
    <n v="60.29"/>
    <n v="34.546169999999996"/>
    <n v="34.546169999999996"/>
    <s v="M"/>
    <n v="1"/>
    <n v="0.57299999999999995"/>
    <m/>
    <n v="34.546169999999996"/>
    <s v="素材類"/>
    <x v="0"/>
  </r>
  <r>
    <m/>
    <n v="2"/>
    <s v="Pipe"/>
    <s v="10&quot;*SCH.40"/>
    <n v="100"/>
    <m/>
    <s v="A53Gr.B"/>
    <n v="1"/>
    <n v="60.29"/>
    <n v="6.0289999999999999"/>
    <n v="6.0289999999999999"/>
    <s v="M"/>
    <n v="1"/>
    <n v="0.1"/>
    <m/>
    <n v="6.0289999999999999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2B-02F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100"/>
    <m/>
    <s v="A53Gr.B"/>
    <n v="1"/>
    <n v="5.41"/>
    <n v="0.54100000000000004"/>
    <n v="0.54100000000000004"/>
    <s v="M"/>
    <n v="1"/>
    <n v="0.1"/>
    <m/>
    <n v="0.541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E-F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F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7E-A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7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8B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700"/>
    <m/>
    <s v="A53Gr.B"/>
    <n v="1"/>
    <n v="5.41"/>
    <n v="3.7869999999999999"/>
    <n v="3.7869999999999999"/>
    <s v="M"/>
    <n v="1"/>
    <n v="0.7"/>
    <m/>
    <n v="3.7869999999999999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2B-10E-A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10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2F-A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2F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3F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A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F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6C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500"/>
    <m/>
    <s v="A53Gr.B"/>
    <n v="1"/>
    <n v="5.44"/>
    <n v="2.72"/>
    <n v="2.72"/>
    <s v="M"/>
    <n v="1"/>
    <n v="0.5"/>
    <m/>
    <n v="2.7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3B-08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3B-08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8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10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900"/>
    <m/>
    <s v="A53Gr.B"/>
    <n v="1"/>
    <n v="5.44"/>
    <n v="4.8960000000000008"/>
    <n v="4.8960000000000008"/>
    <s v="M"/>
    <n v="1"/>
    <n v="0.9"/>
    <m/>
    <n v="4.896000000000000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2F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100"/>
    <m/>
    <s v="A53Gr.B"/>
    <n v="1"/>
    <n v="11.29"/>
    <n v="1.129"/>
    <n v="1.129"/>
    <s v="M"/>
    <n v="1"/>
    <n v="0.1"/>
    <m/>
    <n v="1.129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4H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300"/>
    <m/>
    <s v="A53Gr.B"/>
    <n v="1"/>
    <n v="11.29"/>
    <n v="3.3869999999999996"/>
    <n v="3.3869999999999996"/>
    <s v="M"/>
    <n v="1"/>
    <n v="0.3"/>
    <m/>
    <n v="3.386999999999999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5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B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4B-07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8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700"/>
    <m/>
    <s v="A53Gr.B"/>
    <n v="1"/>
    <n v="11.29"/>
    <n v="7.9029999999999987"/>
    <n v="7.9029999999999987"/>
    <s v="M"/>
    <n v="1"/>
    <n v="0.7"/>
    <m/>
    <n v="7.902999999999998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2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2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4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4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5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400"/>
    <m/>
    <s v="A53Gr.B"/>
    <n v="1"/>
    <n v="16.079999999999998"/>
    <n v="6.4319999999999995"/>
    <n v="6.4319999999999995"/>
    <s v="M"/>
    <n v="1"/>
    <n v="0.4"/>
    <m/>
    <n v="6.4319999999999995"/>
    <s v="素材類"/>
    <x v="0"/>
  </r>
  <r>
    <m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01-6B-06K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500"/>
    <m/>
    <s v="A53Gr.B"/>
    <n v="1"/>
    <n v="16.079999999999998"/>
    <n v="8.0399999999999991"/>
    <n v="8.0399999999999991"/>
    <s v="M"/>
    <n v="1"/>
    <n v="0.5"/>
    <m/>
    <n v="8.0399999999999991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7E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7E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8E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8E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2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100"/>
    <m/>
    <s v="A53Gr.B"/>
    <n v="1"/>
    <n v="28.26"/>
    <n v="2.8260000000000005"/>
    <n v="2.8260000000000005"/>
    <s v="M"/>
    <n v="1"/>
    <n v="0.1"/>
    <m/>
    <n v="2.8260000000000005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5B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8B-05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5E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5E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5R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6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6F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6F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6S-F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e_不需鑽孔"/>
    <n v="9"/>
    <n v="280"/>
    <n v="280"/>
    <s v="A36/SS400"/>
    <n v="1"/>
    <m/>
    <n v="5.5389599999999994"/>
    <n v="5.5389599999999994"/>
    <s v="PC"/>
    <n v="1"/>
    <m/>
    <n v="1"/>
    <n v="5.5389599999999994"/>
    <s v="鋼板類"/>
    <x v="0"/>
  </r>
  <r>
    <m/>
    <n v="5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7B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8B-07E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7E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8H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8K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8K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8-4B-0515G"/>
    <n v="1"/>
    <s v="Pipe"/>
    <s v="4&quot;*SCH.40"/>
    <n v="1422.5"/>
    <m/>
    <s v="SUS304"/>
    <n v="1"/>
    <n v="16.079999999999998"/>
    <n v="22.873799999999999"/>
    <n v="22.873799999999999"/>
    <s v="M"/>
    <n v="1"/>
    <n v="1.4225000000000001"/>
    <m/>
    <n v="22.873799999999999"/>
    <s v="素材類"/>
    <x v="0"/>
  </r>
  <r>
    <m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Plate(STOPPER)_08Type"/>
    <n v="6"/>
    <n v="85"/>
    <n v="185"/>
    <s v="A36/SS400"/>
    <n v="1"/>
    <m/>
    <n v="0.74064750000000001"/>
    <n v="0.74064750000000001"/>
    <s v="PC"/>
    <n v="1"/>
    <m/>
    <n v="1"/>
    <n v="0.74064750000000001"/>
    <s v="鋼板類"/>
    <x v="0"/>
  </r>
  <r>
    <m/>
    <n v="6"/>
    <s v="Plate(TOP)_08Type"/>
    <n v="6"/>
    <n v="135"/>
    <n v="135"/>
    <s v="A36/SS400"/>
    <n v="1"/>
    <m/>
    <n v="0.85839749999999992"/>
    <n v="0.85839749999999992"/>
    <s v="PC"/>
    <n v="1"/>
    <m/>
    <n v="1"/>
    <n v="0.85839749999999992"/>
    <s v="鋼板類"/>
    <x v="0"/>
  </r>
  <r>
    <s v="09-2B-06B"/>
    <n v="1"/>
    <s v="Pipe"/>
    <s v="2&quot;*SCH.80"/>
    <n v="206"/>
    <m/>
    <s v="SUS304"/>
    <n v="1"/>
    <n v="7.48"/>
    <n v="1.54088"/>
    <n v="1.54088"/>
    <s v="M"/>
    <n v="1"/>
    <n v="0.20599999999999999"/>
    <m/>
    <n v="1.54088"/>
    <s v="素材類"/>
    <x v="0"/>
  </r>
  <r>
    <m/>
    <n v="2"/>
    <s v="Pipe"/>
    <s v="2&quot;*SCH.80"/>
    <n v="500"/>
    <m/>
    <s v="A53Gr.B"/>
    <n v="1"/>
    <n v="7.48"/>
    <n v="3.74"/>
    <n v="3.74"/>
    <s v="M"/>
    <n v="1"/>
    <n v="0.5"/>
    <m/>
    <n v="3.7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3B-13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200"/>
    <m/>
    <s v="A53Gr.B"/>
    <n v="1"/>
    <n v="5.44"/>
    <n v="6.5280000000000005"/>
    <n v="6.5280000000000005"/>
    <s v="M"/>
    <n v="1"/>
    <n v="1.2"/>
    <m/>
    <n v="6.5280000000000005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3B-15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400"/>
    <m/>
    <s v="A53Gr.B"/>
    <n v="1"/>
    <n v="5.44"/>
    <n v="7.6159999999999997"/>
    <n v="7.6159999999999997"/>
    <s v="M"/>
    <n v="1"/>
    <n v="1.4"/>
    <m/>
    <n v="7.615999999999999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3C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7B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600"/>
    <m/>
    <s v="A53Gr.B"/>
    <n v="1"/>
    <n v="5.44"/>
    <n v="3.2640000000000002"/>
    <n v="3.2640000000000002"/>
    <s v="M"/>
    <n v="1"/>
    <n v="0.6"/>
    <m/>
    <n v="3.264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8B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102-12B-B"/>
    <n v="1"/>
    <s v="PLATE_102Type_T"/>
    <n v="6"/>
    <n v="125"/>
    <n v="80"/>
    <s v="A36/SS400"/>
    <n v="2"/>
    <m/>
    <n v="0.47099999999999997"/>
    <n v="0.94199999999999995"/>
    <s v="PC"/>
    <n v="1"/>
    <m/>
    <n v="2"/>
    <n v="0.94199999999999995"/>
    <s v="鋼板類"/>
    <x v="0"/>
  </r>
  <r>
    <m/>
    <n v="2"/>
    <s v="PLATE_102Type_B"/>
    <n v="6"/>
    <n v="60"/>
    <n v="100"/>
    <s v="A36/SS400"/>
    <n v="2"/>
    <m/>
    <n v="0.28259999999999996"/>
    <n v="0.56519999999999992"/>
    <s v="PC"/>
    <n v="1"/>
    <m/>
    <n v="2"/>
    <n v="0.56519999999999992"/>
    <s v="鋼板類"/>
    <x v="0"/>
  </r>
  <r>
    <s v="102-4B-B"/>
    <n v="1"/>
    <s v="PLATE_102Type_T"/>
    <n v="6"/>
    <n v="125"/>
    <n v="80"/>
    <s v="A36/SS400"/>
    <n v="2"/>
    <m/>
    <n v="0.47099999999999997"/>
    <n v="0.94199999999999995"/>
    <s v="PC"/>
    <n v="1"/>
    <m/>
    <n v="2"/>
    <n v="0.94199999999999995"/>
    <s v="鋼板類"/>
    <x v="0"/>
  </r>
  <r>
    <m/>
    <n v="2"/>
    <s v="PLATE_102Type_B"/>
    <n v="6"/>
    <n v="60"/>
    <n v="100"/>
    <s v="A36/SS400"/>
    <n v="2"/>
    <m/>
    <n v="0.28259999999999996"/>
    <n v="0.56519999999999992"/>
    <s v="PC"/>
    <n v="1"/>
    <m/>
    <n v="2"/>
    <n v="0.56519999999999992"/>
    <s v="鋼板類"/>
    <x v="0"/>
  </r>
  <r>
    <s v="103-2-B"/>
    <s v="Error"/>
    <m/>
    <m/>
    <m/>
    <m/>
    <m/>
    <m/>
    <m/>
    <m/>
    <m/>
    <m/>
    <m/>
    <m/>
    <m/>
    <m/>
    <m/>
    <x v="0"/>
  </r>
  <r>
    <s v="103-3-A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4-B"/>
    <s v="Error"/>
    <m/>
    <m/>
    <m/>
    <m/>
    <m/>
    <m/>
    <m/>
    <m/>
    <m/>
    <m/>
    <m/>
    <m/>
    <m/>
    <m/>
    <m/>
    <x v="0"/>
  </r>
  <r>
    <s v="103-4-C"/>
    <s v="Error"/>
    <m/>
    <m/>
    <m/>
    <m/>
    <m/>
    <m/>
    <m/>
    <m/>
    <m/>
    <m/>
    <m/>
    <m/>
    <m/>
    <m/>
    <m/>
    <x v="0"/>
  </r>
  <r>
    <s v="103-5-A"/>
    <s v="Error"/>
    <m/>
    <m/>
    <m/>
    <m/>
    <m/>
    <m/>
    <m/>
    <m/>
    <m/>
    <m/>
    <m/>
    <m/>
    <m/>
    <m/>
    <m/>
    <x v="0"/>
  </r>
  <r>
    <s v="103-5-C"/>
    <s v="Error"/>
    <m/>
    <m/>
    <m/>
    <m/>
    <m/>
    <m/>
    <m/>
    <m/>
    <m/>
    <m/>
    <m/>
    <m/>
    <m/>
    <m/>
    <m/>
    <x v="0"/>
  </r>
  <r>
    <s v="11-3B-07G-88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  <x v="0"/>
  </r>
  <r>
    <m/>
    <n v="2"/>
    <s v="Pipe"/>
    <s v="2&quot;*SCH.80"/>
    <n v="309"/>
    <m/>
    <s v="A53Gr.B"/>
    <n v="1"/>
    <n v="7.48"/>
    <n v="2.3113200000000003"/>
    <n v="2.3113200000000003"/>
    <s v="M"/>
    <n v="1"/>
    <n v="0.309"/>
    <m/>
    <n v="2.3113200000000003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1-3B-13G-88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  <x v="0"/>
  </r>
  <r>
    <m/>
    <n v="2"/>
    <s v="Pipe"/>
    <s v="2&quot;*SCH.80"/>
    <n v="909"/>
    <m/>
    <s v="A53Gr.B"/>
    <n v="1"/>
    <n v="7.48"/>
    <n v="6.7993200000000007"/>
    <n v="6.7993200000000007"/>
    <s v="M"/>
    <n v="1"/>
    <n v="0.90900000000000003"/>
    <m/>
    <n v="6.7993200000000007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1-4B-10G-88"/>
    <n v="1"/>
    <s v="Pipe"/>
    <s v="1.5&quot;*SCH.80"/>
    <n v="197"/>
    <m/>
    <s v="SUS304"/>
    <n v="1"/>
    <n v="5.41"/>
    <n v="1.0657700000000001"/>
    <n v="1.0657700000000001"/>
    <s v="M"/>
    <n v="1"/>
    <n v="0.19700000000000001"/>
    <m/>
    <n v="1.0657700000000001"/>
    <s v="素材類"/>
    <x v="0"/>
  </r>
  <r>
    <m/>
    <n v="2"/>
    <s v="Pipe"/>
    <s v="2&quot;*SCH.80"/>
    <n v="609"/>
    <m/>
    <s v="A53Gr.B"/>
    <n v="1"/>
    <n v="7.48"/>
    <n v="4.55532"/>
    <n v="4.55532"/>
    <s v="M"/>
    <n v="1"/>
    <n v="0.60899999999999999"/>
    <m/>
    <n v="4.55532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5-12B-0615"/>
    <n v="1"/>
    <s v="Pipe"/>
    <s v="12&quot;*STD.WT"/>
    <n v="1262"/>
    <m/>
    <s v="SUS304"/>
    <n v="1"/>
    <n v="73.86"/>
    <n v="93.211320000000001"/>
    <n v="93.211320000000001"/>
    <s v="M"/>
    <n v="1"/>
    <n v="1.262"/>
    <m/>
    <n v="93.211320000000001"/>
    <s v="素材類"/>
    <x v="0"/>
  </r>
  <r>
    <m/>
    <n v="2"/>
    <s v="Channel"/>
    <s v="200*90*8"/>
    <n v="600"/>
    <m/>
    <s v="A36/SS400"/>
    <n v="1"/>
    <n v="30.3"/>
    <n v="18.18"/>
    <n v="18.18"/>
    <s v="M"/>
    <n v="1"/>
    <n v="0.6"/>
    <n v="1"/>
    <n v="18.18"/>
    <s v="素材類"/>
    <x v="0"/>
  </r>
  <r>
    <m/>
    <n v="3"/>
    <s v="Plate(wing)_15Type"/>
    <n v="19"/>
    <n v="240"/>
    <n v="190"/>
    <s v="A36/SS400"/>
    <n v="1"/>
    <m/>
    <n v="6.80124"/>
    <n v="6.80124"/>
    <s v="PC"/>
    <n v="1"/>
    <m/>
    <n v="1"/>
    <n v="6.80124"/>
    <s v="鋼板類"/>
    <x v="0"/>
  </r>
  <r>
    <m/>
    <n v="4"/>
    <s v="Plate(STOPPER)_15Type"/>
    <n v="6"/>
    <n v="260"/>
    <n v="250"/>
    <s v="A36/SS400"/>
    <n v="1"/>
    <m/>
    <n v="3.0614999999999997"/>
    <n v="3.0614999999999997"/>
    <s v="PC"/>
    <n v="1"/>
    <m/>
    <n v="1"/>
    <n v="3.0614999999999997"/>
    <s v="鋼板類"/>
    <x v="0"/>
  </r>
  <r>
    <m/>
    <n v="5"/>
    <s v="Plate(BASE PLATE)_15Type"/>
    <n v="19"/>
    <n v="500"/>
    <n v="500"/>
    <s v="A36/SS400"/>
    <n v="1"/>
    <m/>
    <n v="37.287500000000001"/>
    <n v="37.287500000000001"/>
    <s v="PC"/>
    <n v="1"/>
    <m/>
    <n v="1"/>
    <n v="37.287500000000001"/>
    <s v="鋼板類"/>
    <x v="0"/>
  </r>
  <r>
    <m/>
    <n v="6"/>
    <s v="Plate(TOP)_15Type"/>
    <n v="19"/>
    <n v="345"/>
    <n v="345"/>
    <s v="A36/SS400"/>
    <n v="1"/>
    <m/>
    <n v="17.752578749999998"/>
    <n v="17.752578749999998"/>
    <s v="PC"/>
    <n v="1"/>
    <m/>
    <n v="1"/>
    <n v="17.752578749999998"/>
    <s v="鋼板類"/>
    <x v="0"/>
  </r>
  <r>
    <s v="15-4B-0404"/>
    <n v="1"/>
    <s v="Pipe"/>
    <s v="4&quot;*SCH.40"/>
    <n v="251"/>
    <m/>
    <s v="SUS304"/>
    <n v="1"/>
    <n v="16.079999999999998"/>
    <n v="4.0360799999999992"/>
    <n v="4.0360799999999992"/>
    <s v="M"/>
    <n v="1"/>
    <n v="0.251"/>
    <m/>
    <n v="4.0360799999999992"/>
    <s v="素材類"/>
    <x v="0"/>
  </r>
  <r>
    <m/>
    <n v="2"/>
    <s v="Channel"/>
    <s v="125*65*6"/>
    <n v="400"/>
    <m/>
    <s v="A36/SS400"/>
    <n v="1"/>
    <n v="13.4"/>
    <n v="5.36"/>
    <n v="5.36"/>
    <s v="M"/>
    <n v="1"/>
    <n v="0.4"/>
    <n v="1"/>
    <n v="5.36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4B-0524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  <x v="0"/>
  </r>
  <r>
    <m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4B-1024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  <x v="0"/>
  </r>
  <r>
    <m/>
    <n v="2"/>
    <s v="Channel"/>
    <s v="125*65*6"/>
    <n v="1000"/>
    <m/>
    <s v="A36/SS400"/>
    <n v="1"/>
    <n v="13.4"/>
    <n v="13.4"/>
    <n v="13.4"/>
    <s v="M"/>
    <n v="1"/>
    <n v="1"/>
    <n v="1"/>
    <n v="13.4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8B-0406"/>
    <n v="1"/>
    <s v="Pipe"/>
    <s v="8&quot;*SCH.40"/>
    <n v="368"/>
    <m/>
    <s v="SUS304"/>
    <n v="1"/>
    <n v="42.55"/>
    <n v="15.658399999999999"/>
    <n v="15.658399999999999"/>
    <s v="M"/>
    <n v="1"/>
    <n v="0.36799999999999999"/>
    <m/>
    <n v="15.658399999999999"/>
    <s v="素材類"/>
    <x v="0"/>
  </r>
  <r>
    <m/>
    <n v="2"/>
    <s v="Channel"/>
    <s v="200*90*8"/>
    <n v="400"/>
    <m/>
    <s v="A36/SS400"/>
    <n v="1"/>
    <n v="30.3"/>
    <n v="12.120000000000001"/>
    <n v="12.120000000000001"/>
    <s v="M"/>
    <n v="1"/>
    <n v="0.4"/>
    <n v="1"/>
    <n v="12.120000000000001"/>
    <s v="素材類"/>
    <x v="0"/>
  </r>
  <r>
    <m/>
    <n v="3"/>
    <s v="Plate(wing)_15Type"/>
    <n v="16"/>
    <n v="210"/>
    <n v="150"/>
    <s v="A36/SS400"/>
    <n v="1"/>
    <m/>
    <n v="3.9563999999999999"/>
    <n v="3.9563999999999999"/>
    <s v="PC"/>
    <n v="1"/>
    <m/>
    <n v="1"/>
    <n v="3.9563999999999999"/>
    <s v="鋼板類"/>
    <x v="0"/>
  </r>
  <r>
    <m/>
    <n v="4"/>
    <s v="Plate(STOPPER)_15Type"/>
    <n v="6"/>
    <n v="260"/>
    <n v="110"/>
    <s v="A36/SS400"/>
    <n v="1"/>
    <m/>
    <n v="1.3470599999999999"/>
    <n v="1.3470599999999999"/>
    <s v="PC"/>
    <n v="1"/>
    <m/>
    <n v="1"/>
    <n v="1.3470599999999999"/>
    <s v="鋼板類"/>
    <x v="0"/>
  </r>
  <r>
    <m/>
    <n v="5"/>
    <s v="Plate(BASE PLATE)_15Type"/>
    <n v="16"/>
    <n v="380"/>
    <n v="380"/>
    <s v="A36/SS400"/>
    <n v="1"/>
    <m/>
    <n v="18.13664"/>
    <n v="18.13664"/>
    <s v="PC"/>
    <n v="1"/>
    <m/>
    <n v="1"/>
    <n v="18.13664"/>
    <s v="鋼板類"/>
    <x v="0"/>
  </r>
  <r>
    <m/>
    <n v="6"/>
    <s v="Plate(TOP)_15Type"/>
    <n v="16"/>
    <n v="240"/>
    <n v="240"/>
    <s v="A36/SS400"/>
    <n v="1"/>
    <m/>
    <n v="7.2345600000000001"/>
    <n v="7.2345600000000001"/>
    <s v="PC"/>
    <n v="1"/>
    <m/>
    <n v="1"/>
    <n v="7.2345600000000001"/>
    <s v="鋼板類"/>
    <x v="0"/>
  </r>
  <r>
    <s v="16-14B-12"/>
    <n v="1"/>
    <s v="Pipe"/>
    <s v="12&quot;*STD.WT"/>
    <n v="811"/>
    <m/>
    <s v="SUS304"/>
    <n v="1"/>
    <n v="73.86"/>
    <n v="59.900460000000002"/>
    <n v="59.900460000000002"/>
    <s v="M"/>
    <n v="1"/>
    <n v="0.81100000000000005"/>
    <m/>
    <n v="59.900460000000002"/>
    <s v="素材類"/>
    <x v="0"/>
  </r>
  <r>
    <m/>
    <n v="2"/>
    <s v="Pipe"/>
    <s v="12&quot;*STD.WT"/>
    <n v="1222"/>
    <m/>
    <s v="A53Gr.B"/>
    <n v="1"/>
    <n v="73.86"/>
    <n v="90.256919999999994"/>
    <n v="90.256919999999994"/>
    <s v="M"/>
    <n v="1"/>
    <n v="1.222"/>
    <m/>
    <n v="90.256919999999994"/>
    <s v="素材類"/>
    <x v="0"/>
  </r>
  <r>
    <m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  <x v="0"/>
  </r>
  <r>
    <s v="16-16B-13"/>
    <n v="1"/>
    <s v="Pipe"/>
    <s v="12&quot;*STD.WT"/>
    <n v="913"/>
    <m/>
    <s v="SUS304"/>
    <n v="1"/>
    <n v="73.86"/>
    <n v="67.434179999999998"/>
    <n v="67.434179999999998"/>
    <s v="M"/>
    <n v="1"/>
    <n v="0.91300000000000003"/>
    <m/>
    <n v="67.434179999999998"/>
    <s v="素材類"/>
    <x v="0"/>
  </r>
  <r>
    <m/>
    <n v="2"/>
    <s v="Pipe"/>
    <s v="12&quot;*STD.WT"/>
    <n v="1297"/>
    <m/>
    <s v="A53Gr.B"/>
    <n v="1"/>
    <n v="73.86"/>
    <n v="95.796419999999998"/>
    <n v="95.796419999999998"/>
    <s v="M"/>
    <n v="1"/>
    <n v="1.2969999999999999"/>
    <m/>
    <n v="95.796419999999998"/>
    <s v="素材類"/>
    <x v="0"/>
  </r>
  <r>
    <m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  <x v="0"/>
  </r>
  <r>
    <s v="16-2B-02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370"/>
    <m/>
    <s v="A53Gr.B"/>
    <n v="1"/>
    <n v="5.41"/>
    <n v="2.0017"/>
    <n v="2.0017"/>
    <s v="M"/>
    <n v="1"/>
    <n v="0.37"/>
    <m/>
    <n v="2.001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2B-0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2B-0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3B-02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356"/>
    <m/>
    <s v="A53Gr.B"/>
    <n v="1"/>
    <n v="5.44"/>
    <n v="1.9366400000000001"/>
    <n v="1.9366400000000001"/>
    <s v="M"/>
    <n v="1"/>
    <n v="0.35599999999999998"/>
    <m/>
    <n v="1.9366400000000001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3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456"/>
    <m/>
    <s v="A53Gr.B"/>
    <n v="1"/>
    <n v="5.44"/>
    <n v="2.4806400000000002"/>
    <n v="2.4806400000000002"/>
    <s v="M"/>
    <n v="1"/>
    <n v="0.45600000000000002"/>
    <m/>
    <n v="2.4806400000000002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4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556"/>
    <m/>
    <s v="A53Gr.B"/>
    <n v="1"/>
    <n v="5.44"/>
    <n v="3.0246400000000007"/>
    <n v="3.0246400000000007"/>
    <s v="M"/>
    <n v="1"/>
    <n v="0.55600000000000005"/>
    <m/>
    <n v="3.0246400000000007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7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856"/>
    <m/>
    <s v="A53Gr.B"/>
    <n v="1"/>
    <n v="5.44"/>
    <n v="4.6566400000000003"/>
    <n v="4.6566400000000003"/>
    <s v="M"/>
    <n v="1"/>
    <n v="0.85599999999999998"/>
    <m/>
    <n v="4.6566400000000003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4B-0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6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743"/>
    <m/>
    <s v="A53Gr.B"/>
    <n v="1"/>
    <n v="11.29"/>
    <n v="8.3884699999999999"/>
    <n v="8.3884699999999999"/>
    <s v="M"/>
    <n v="1"/>
    <n v="0.74299999999999999"/>
    <m/>
    <n v="8.388469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8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943"/>
    <m/>
    <s v="A53Gr.B"/>
    <n v="1"/>
    <n v="11.29"/>
    <n v="10.646469999999999"/>
    <n v="10.646469999999999"/>
    <s v="M"/>
    <n v="1"/>
    <n v="0.94299999999999995"/>
    <m/>
    <n v="10.64646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14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1543"/>
    <m/>
    <s v="A53Gr.B"/>
    <n v="1"/>
    <n v="11.29"/>
    <n v="17.420469999999998"/>
    <n v="17.420469999999998"/>
    <s v="M"/>
    <n v="1"/>
    <n v="1.5429999999999999"/>
    <m/>
    <n v="17.420469999999998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15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1643"/>
    <m/>
    <s v="A53Gr.B"/>
    <n v="1"/>
    <n v="11.29"/>
    <n v="18.549469999999999"/>
    <n v="18.549469999999999"/>
    <s v="M"/>
    <n v="1"/>
    <n v="1.643"/>
    <m/>
    <n v="18.54946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6B-03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416"/>
    <m/>
    <s v="A53Gr.B"/>
    <n v="1"/>
    <n v="16.079999999999998"/>
    <n v="6.6892799999999992"/>
    <n v="6.6892799999999992"/>
    <s v="M"/>
    <n v="1"/>
    <n v="0.41599999999999998"/>
    <m/>
    <n v="6.6892799999999992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5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616"/>
    <m/>
    <s v="A53Gr.B"/>
    <n v="1"/>
    <n v="16.079999999999998"/>
    <n v="9.9052799999999994"/>
    <n v="9.9052799999999994"/>
    <s v="M"/>
    <n v="1"/>
    <n v="0.61599999999999999"/>
    <m/>
    <n v="9.9052799999999994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8B-04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490"/>
    <m/>
    <s v="A53Gr.B"/>
    <n v="1"/>
    <n v="28.26"/>
    <n v="13.8474"/>
    <n v="13.8474"/>
    <s v="M"/>
    <n v="1"/>
    <n v="0.49"/>
    <m/>
    <n v="13.8474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05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590"/>
    <m/>
    <s v="A53Gr.B"/>
    <n v="1"/>
    <n v="28.26"/>
    <n v="16.673400000000001"/>
    <n v="16.673400000000001"/>
    <s v="M"/>
    <n v="1"/>
    <n v="0.59"/>
    <m/>
    <n v="16.673400000000001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06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690"/>
    <m/>
    <s v="A53Gr.B"/>
    <n v="1"/>
    <n v="28.26"/>
    <n v="19.499399999999998"/>
    <n v="19.499399999999998"/>
    <s v="M"/>
    <n v="1"/>
    <n v="0.69"/>
    <m/>
    <n v="19.499399999999998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11-02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1190"/>
    <m/>
    <s v="A53Gr.B"/>
    <n v="1"/>
    <n v="28.26"/>
    <n v="33.629399999999997"/>
    <n v="33.629399999999997"/>
    <s v="M"/>
    <n v="1"/>
    <n v="1.19"/>
    <m/>
    <n v="33.629399999999997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20-C125-08A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20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10B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s v="20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0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0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0-L75-06B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0-L75-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0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20-L75-11A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s v="20-L75-12A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20-L75-14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6B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7A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9A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9A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10A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3B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3C-0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4C-06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1-L75-04C-07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C-07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C-08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B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5B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5C-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6B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C-0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7C-0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C-0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B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0B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1A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2B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2B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4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4B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5A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5A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6A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6B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2-L50-02A-L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5A-L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5A-L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A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A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B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9A-L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3A-L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4A-L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4A-L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8B-L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9A-L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9A-L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A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A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B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1A-L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3A-L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3A-L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4B-L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5A-L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5A-L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3-L50-02A"/>
    <n v="1"/>
    <s v="Angle"/>
    <s v="50*50*6"/>
    <n v="250"/>
    <m/>
    <s v="A36/SS400"/>
    <n v="1"/>
    <n v="4.43"/>
    <n v="1.1074999999999999"/>
    <n v="1.1074999999999999"/>
    <s v="M"/>
    <n v="1"/>
    <n v="0.25"/>
    <n v="1"/>
    <n v="1.1074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A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A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B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3B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B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4B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5A"/>
    <n v="1"/>
    <s v="Angle"/>
    <s v="50*50*6"/>
    <n v="550"/>
    <m/>
    <s v="A36/SS400"/>
    <n v="1"/>
    <n v="4.43"/>
    <n v="2.4365000000000001"/>
    <n v="2.4365000000000001"/>
    <s v="M"/>
    <n v="1"/>
    <n v="0.55000000000000004"/>
    <n v="1"/>
    <n v="2.4365000000000001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B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7A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7A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9A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9B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75-01A"/>
    <n v="1"/>
    <s v="Angle"/>
    <s v="75*75*9"/>
    <n v="175"/>
    <m/>
    <s v="A36/SS400"/>
    <n v="1"/>
    <n v="9.9600000000000009"/>
    <n v="1.7430000000000001"/>
    <n v="1.7430000000000001"/>
    <s v="M"/>
    <n v="1"/>
    <n v="0.17499999999999999"/>
    <n v="1"/>
    <n v="1.743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3A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3B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3C-07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4A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4A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4B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4C-06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04C-07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4C-08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3-L75-04C-08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C-07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C-0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C-07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9A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9A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0A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0A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2A"/>
    <n v="1"/>
    <s v="Angle"/>
    <s v="75*75*9"/>
    <n v="1275"/>
    <m/>
    <s v="A36/SS400"/>
    <n v="1"/>
    <n v="9.9600000000000009"/>
    <n v="12.699"/>
    <n v="12.699"/>
    <s v="M"/>
    <n v="1"/>
    <n v="1.2749999999999999"/>
    <n v="1"/>
    <n v="12.6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4A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4C-06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15A"/>
    <n v="1"/>
    <s v="Angle"/>
    <s v="75*75*9"/>
    <n v="1575"/>
    <m/>
    <s v="A36/SS400"/>
    <n v="1"/>
    <n v="9.9600000000000009"/>
    <n v="15.687000000000001"/>
    <n v="15.687000000000001"/>
    <s v="M"/>
    <n v="1"/>
    <n v="1.575"/>
    <n v="1"/>
    <n v="15.68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7B"/>
    <n v="1"/>
    <s v="Angle"/>
    <s v="75*75*9"/>
    <n v="1775"/>
    <m/>
    <s v="A36/SS400"/>
    <n v="1"/>
    <n v="9.9600000000000009"/>
    <n v="17.679000000000002"/>
    <n v="17.679000000000002"/>
    <s v="M"/>
    <n v="1"/>
    <n v="1.7749999999999999"/>
    <n v="1"/>
    <n v="17.67900000000000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20A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0C-06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21A"/>
    <n v="1"/>
    <s v="Angle"/>
    <s v="75*75*9"/>
    <n v="2175"/>
    <m/>
    <s v="A36/SS400"/>
    <n v="1"/>
    <n v="9.9600000000000009"/>
    <n v="21.663"/>
    <n v="21.663"/>
    <s v="M"/>
    <n v="1"/>
    <n v="2.1749999999999998"/>
    <n v="1"/>
    <n v="21.66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4A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4B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25A"/>
    <n v="1"/>
    <s v="Angle"/>
    <s v="75*75*9"/>
    <n v="2575"/>
    <m/>
    <s v="A36/SS400"/>
    <n v="1"/>
    <n v="9.9600000000000009"/>
    <n v="25.647000000000006"/>
    <n v="25.647000000000006"/>
    <s v="M"/>
    <n v="1"/>
    <n v="2.5750000000000002"/>
    <n v="1"/>
    <n v="25.647000000000006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50-01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100"/>
    <m/>
    <s v="A36/SS400"/>
    <n v="1"/>
    <n v="4.43"/>
    <n v="0.443"/>
    <n v="0.443"/>
    <s v="M"/>
    <n v="1"/>
    <n v="0.1"/>
    <n v="1"/>
    <n v="0.443"/>
    <s v="素材類"/>
    <x v="0"/>
  </r>
  <r>
    <s v="25-L50-0201A"/>
    <n v="1"/>
    <s v="Angle"/>
    <s v="50*50*6"/>
    <n v="100"/>
    <m/>
    <s v="A36/SS400"/>
    <n v="1"/>
    <n v="4.43"/>
    <n v="0.443"/>
    <n v="0.443"/>
    <s v="M"/>
    <n v="1"/>
    <n v="0.1"/>
    <n v="1"/>
    <n v="0.443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7A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3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5-L50-0402A-0301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4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404A-0301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5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5-L50-0502A-0401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5-L75-03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75-03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75-0403A-0301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4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4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5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7A-040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6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7A-0402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9A-0105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710A-010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5-L75-0805A-050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5-L75-09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5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6-L75-0507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6-L75-07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6-L75-08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8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807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9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9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906A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7-H125-0215L"/>
    <n v="1"/>
    <s v="H Beam"/>
    <s v="125*125*6.5"/>
    <n v="1685"/>
    <m/>
    <s v="A36/SS400"/>
    <n v="1"/>
    <n v="23.6"/>
    <n v="39.766000000000005"/>
    <n v="39.766000000000005"/>
    <s v="M"/>
    <n v="1"/>
    <n v="1.6850000000000001"/>
    <n v="1"/>
    <n v="39.766000000000005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25-0303T"/>
    <n v="1"/>
    <s v="H Beam"/>
    <s v="125*125*6.5"/>
    <n v="585"/>
    <m/>
    <s v="A36/SS400"/>
    <n v="1"/>
    <n v="23.6"/>
    <n v="13.805999999999999"/>
    <n v="13.805999999999999"/>
    <s v="M"/>
    <n v="1"/>
    <n v="0.58499999999999996"/>
    <n v="1"/>
    <n v="13.805999999999999"/>
    <s v="素材類"/>
    <x v="0"/>
  </r>
  <r>
    <m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304L"/>
    <n v="1"/>
    <s v="H Beam"/>
    <s v="150*150*10"/>
    <n v="685"/>
    <m/>
    <s v="A36/SS400"/>
    <n v="1"/>
    <n v="31.1"/>
    <n v="21.303500000000003"/>
    <n v="21.303500000000003"/>
    <s v="M"/>
    <n v="1"/>
    <n v="0.68500000000000005"/>
    <n v="1"/>
    <n v="21.303500000000003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306L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405L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505T"/>
    <n v="1"/>
    <s v="H Beam"/>
    <s v="150*150*10"/>
    <n v="985"/>
    <m/>
    <s v="A36/SS400"/>
    <n v="1"/>
    <n v="31.1"/>
    <n v="30.633500000000002"/>
    <n v="30.633500000000002"/>
    <s v="M"/>
    <n v="1"/>
    <n v="0.98499999999999999"/>
    <n v="1"/>
    <n v="30.633500000000002"/>
    <s v="素材類"/>
    <x v="0"/>
  </r>
  <r>
    <m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L50-0202L"/>
    <n v="1"/>
    <s v="Angle"/>
    <s v="50*50*6"/>
    <n v="385"/>
    <m/>
    <s v="A36/SS400"/>
    <n v="1"/>
    <n v="4.43"/>
    <n v="1.7055499999999999"/>
    <n v="1.7055499999999999"/>
    <s v="M"/>
    <n v="1"/>
    <n v="0.38500000000000001"/>
    <n v="1"/>
    <n v="1.705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304L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3L-0301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5L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5L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03L"/>
    <n v="1"/>
    <s v="Angle"/>
    <s v="75*75*9"/>
    <n v="585"/>
    <m/>
    <s v="A36/SS400"/>
    <n v="1"/>
    <n v="9.9600000000000009"/>
    <n v="5.8266"/>
    <n v="5.8266"/>
    <s v="M"/>
    <n v="1"/>
    <n v="0.58499999999999996"/>
    <n v="1"/>
    <n v="5.8266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07L"/>
    <n v="1"/>
    <s v="Angle"/>
    <s v="75*75*9"/>
    <n v="985"/>
    <m/>
    <s v="A36/SS400"/>
    <n v="1"/>
    <n v="9.9600000000000009"/>
    <n v="9.8106000000000009"/>
    <n v="9.8106000000000009"/>
    <s v="M"/>
    <n v="1"/>
    <n v="0.98499999999999999"/>
    <n v="1"/>
    <n v="9.8106000000000009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13L"/>
    <n v="1"/>
    <s v="Angle"/>
    <s v="75*75*9"/>
    <n v="1585"/>
    <m/>
    <s v="A36/SS400"/>
    <n v="1"/>
    <n v="9.9600000000000009"/>
    <n v="15.786600000000002"/>
    <n v="15.786600000000002"/>
    <s v="M"/>
    <n v="1"/>
    <n v="1.585"/>
    <n v="1"/>
    <n v="15.786600000000002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8-C125-1413L"/>
    <n v="1"/>
    <s v="Channel"/>
    <s v="125*65*6"/>
    <n v="2614"/>
    <m/>
    <s v="A36/SS400"/>
    <n v="1"/>
    <n v="13.4"/>
    <n v="35.0276"/>
    <n v="35.0276"/>
    <s v="M"/>
    <n v="1"/>
    <n v="2.6139999999999999"/>
    <n v="1"/>
    <n v="35.0276"/>
    <s v="素材類"/>
    <x v="0"/>
  </r>
  <r>
    <m/>
    <n v="2"/>
    <s v="Plate_c_需鑽孔"/>
    <n v="16"/>
    <n v="380"/>
    <n v="380"/>
    <s v="A36/SS400"/>
    <n v="1"/>
    <m/>
    <n v="18.13664"/>
    <n v="18.13664"/>
    <s v="PC"/>
    <n v="1"/>
    <m/>
    <n v="1"/>
    <n v="18.13664"/>
    <s v="鋼板類"/>
    <x v="6"/>
  </r>
  <r>
    <m/>
    <n v="3"/>
    <s v="EXP.BOLT"/>
    <s v="3/4&quot;"/>
    <m/>
    <m/>
    <s v="SUS304"/>
    <n v="4"/>
    <m/>
    <n v="1"/>
    <n v="4"/>
    <s v="SET"/>
    <n v="1"/>
    <m/>
    <n v="4"/>
    <n v="4"/>
    <s v="螺絲類"/>
    <x v="0"/>
  </r>
  <r>
    <s v="28-L75-0915L"/>
    <n v="1"/>
    <s v="Angle"/>
    <s v="75*75*9"/>
    <n v="3009"/>
    <m/>
    <s v="A36/SS400"/>
    <n v="1"/>
    <n v="9.9600000000000009"/>
    <n v="29.969640000000002"/>
    <n v="29.969640000000002"/>
    <s v="M"/>
    <n v="1"/>
    <n v="3.0089999999999999"/>
    <n v="1"/>
    <n v="29.969640000000002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30-C125-0512A-0401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  <x v="0"/>
  </r>
  <r>
    <s v="30-C125-1008B-0901"/>
    <n v="1"/>
    <s v="Channel"/>
    <s v="125*65*6"/>
    <n v="1785"/>
    <m/>
    <s v="A36/SS400"/>
    <n v="1"/>
    <n v="13.4"/>
    <n v="23.919"/>
    <n v="23.919"/>
    <s v="M"/>
    <n v="1"/>
    <n v="1.7849999999999999"/>
    <n v="1"/>
    <n v="23.919"/>
    <s v="素材類"/>
    <x v="0"/>
  </r>
  <r>
    <s v="30-C150-0311A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s v="30-C150-0515A"/>
    <n v="1"/>
    <s v="Channel"/>
    <s v="150*75*9"/>
    <n v="2000"/>
    <m/>
    <s v="A36/SS400"/>
    <n v="1"/>
    <n v="24"/>
    <n v="48"/>
    <n v="48"/>
    <s v="M"/>
    <n v="1"/>
    <n v="2"/>
    <n v="1"/>
    <n v="48"/>
    <s v="素材類"/>
    <x v="0"/>
  </r>
  <r>
    <s v="30-C150-0815A-0701"/>
    <n v="1"/>
    <s v="Channel"/>
    <s v="150*75*9"/>
    <n v="2300"/>
    <m/>
    <s v="A36/SS400"/>
    <n v="1"/>
    <n v="24"/>
    <n v="55.199999999999996"/>
    <n v="55.199999999999996"/>
    <s v="M"/>
    <n v="1"/>
    <n v="2.2999999999999998"/>
    <n v="1"/>
    <n v="55.199999999999996"/>
    <s v="素材類"/>
    <x v="0"/>
  </r>
  <r>
    <s v="30-C150-0904B-0801"/>
    <n v="1"/>
    <s v="Channel"/>
    <s v="150*75*9"/>
    <n v="1285"/>
    <m/>
    <s v="A36/SS400"/>
    <n v="1"/>
    <n v="24"/>
    <n v="30.839999999999996"/>
    <n v="30.839999999999996"/>
    <s v="M"/>
    <n v="1"/>
    <n v="1.2849999999999999"/>
    <n v="1"/>
    <n v="30.839999999999996"/>
    <s v="素材類"/>
    <x v="0"/>
  </r>
  <r>
    <s v="30-L50-0202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0-L50-0202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303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0-L50-0305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30-L50-0403A-0301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s v="30-L75-0203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0-L75-0205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0-L75-0208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302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0-L75-03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3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305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0-L75-0305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0-L75-0310A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310A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311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402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403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0-L75-0405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405A-030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409A-030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504A-040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505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5A-040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5A-040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6A-0401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s v="30-L75-0605B"/>
    <n v="1"/>
    <s v="Angle"/>
    <s v="75*75*9"/>
    <n v="1085"/>
    <m/>
    <s v="A36/SS400"/>
    <n v="1"/>
    <n v="9.9600000000000009"/>
    <n v="10.806600000000001"/>
    <n v="10.806600000000001"/>
    <s v="M"/>
    <n v="1"/>
    <n v="1.085"/>
    <n v="1"/>
    <n v="10.806600000000001"/>
    <s v="素材類"/>
    <x v="0"/>
  </r>
  <r>
    <s v="30-L75-0606B"/>
    <n v="1"/>
    <s v="Angle"/>
    <s v="75*75*9"/>
    <n v="1185"/>
    <m/>
    <s v="A36/SS400"/>
    <n v="1"/>
    <n v="9.9600000000000009"/>
    <n v="11.802600000000002"/>
    <n v="11.802600000000002"/>
    <s v="M"/>
    <n v="1"/>
    <n v="1.1850000000000001"/>
    <n v="1"/>
    <n v="11.802600000000002"/>
    <s v="素材類"/>
    <x v="0"/>
  </r>
  <r>
    <s v="30-L75-0608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611A-0501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0-L75-0705A-060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30-L75-0705A-060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30-L75-0806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809A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0-L75-0814A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  <x v="0"/>
  </r>
  <r>
    <s v="30-L75-0816A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  <x v="0"/>
  </r>
  <r>
    <s v="30-L75-0820A"/>
    <n v="1"/>
    <s v="Angle"/>
    <s v="75*75*9"/>
    <n v="2800"/>
    <m/>
    <s v="A36/SS400"/>
    <n v="1"/>
    <n v="9.9600000000000009"/>
    <n v="27.888000000000002"/>
    <n v="27.888000000000002"/>
    <s v="M"/>
    <n v="1"/>
    <n v="2.8"/>
    <n v="1"/>
    <n v="27.888000000000002"/>
    <s v="素材類"/>
    <x v="0"/>
  </r>
  <r>
    <s v="30-L75-0825A"/>
    <n v="1"/>
    <s v="Angle"/>
    <s v="75*75*9"/>
    <n v="3300"/>
    <m/>
    <s v="A36/SS400"/>
    <n v="1"/>
    <n v="9.9600000000000009"/>
    <n v="32.868000000000002"/>
    <n v="32.868000000000002"/>
    <s v="M"/>
    <n v="1"/>
    <n v="3.3"/>
    <n v="1"/>
    <n v="32.868000000000002"/>
    <s v="素材類"/>
    <x v="0"/>
  </r>
  <r>
    <s v="31-C150-0407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m/>
    <n v="2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1-C150-0505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m/>
    <n v="2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1-C150-0509"/>
    <n v="1"/>
    <s v="Channel"/>
    <s v="150*75*9"/>
    <n v="1800"/>
    <m/>
    <s v="A36/SS400"/>
    <n v="1"/>
    <n v="24"/>
    <n v="43.2"/>
    <n v="43.2"/>
    <s v="M"/>
    <n v="1"/>
    <n v="1.8"/>
    <n v="1"/>
    <n v="43.2"/>
    <s v="素材類"/>
    <x v="0"/>
  </r>
  <r>
    <m/>
    <n v="2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1-C150-0707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m/>
    <n v="2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1-L50-0405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1-L75-0405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1-L75-0503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1-L75-0511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1-L75-06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1-L75-08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1-L75-09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2-C125-0507"/>
    <n v="1"/>
    <s v="Channel"/>
    <s v="125*65*6"/>
    <n v="1900"/>
    <m/>
    <s v="A36/SS400"/>
    <n v="1"/>
    <n v="13.4"/>
    <n v="25.46"/>
    <n v="25.46"/>
    <s v="M"/>
    <n v="1"/>
    <n v="1.9"/>
    <n v="1"/>
    <n v="25.46"/>
    <s v="素材類"/>
    <x v="0"/>
  </r>
  <r>
    <s v="32-C125-0610"/>
    <n v="1"/>
    <s v="Channel"/>
    <s v="125*65*6"/>
    <n v="2600"/>
    <m/>
    <s v="A36/SS400"/>
    <n v="1"/>
    <n v="13.4"/>
    <n v="34.840000000000003"/>
    <n v="34.840000000000003"/>
    <s v="M"/>
    <n v="1"/>
    <n v="2.6"/>
    <n v="1"/>
    <n v="34.840000000000003"/>
    <s v="素材類"/>
    <x v="0"/>
  </r>
  <r>
    <s v="32-C125-0612"/>
    <n v="1"/>
    <s v="Channel"/>
    <s v="125*65*6"/>
    <n v="3000"/>
    <m/>
    <s v="A36/SS400"/>
    <n v="1"/>
    <n v="13.4"/>
    <n v="40.200000000000003"/>
    <n v="40.200000000000003"/>
    <s v="M"/>
    <n v="1"/>
    <n v="3"/>
    <n v="1"/>
    <n v="40.200000000000003"/>
    <s v="素材類"/>
    <x v="0"/>
  </r>
  <r>
    <s v="32-C125-0705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  <x v="0"/>
  </r>
  <r>
    <s v="32-C125-0707"/>
    <n v="1"/>
    <s v="Channel"/>
    <s v="125*65*6"/>
    <n v="2100"/>
    <m/>
    <s v="A36/SS400"/>
    <n v="1"/>
    <n v="13.4"/>
    <n v="28.14"/>
    <n v="28.14"/>
    <s v="M"/>
    <n v="1"/>
    <n v="2.1"/>
    <n v="1"/>
    <n v="28.14"/>
    <s v="素材類"/>
    <x v="0"/>
  </r>
  <r>
    <s v="32-C125-0716"/>
    <n v="1"/>
    <s v="Channel"/>
    <s v="125*65*6"/>
    <n v="3900"/>
    <m/>
    <s v="A36/SS400"/>
    <n v="1"/>
    <n v="13.4"/>
    <n v="52.26"/>
    <n v="52.26"/>
    <s v="M"/>
    <n v="1"/>
    <n v="3.9"/>
    <n v="1"/>
    <n v="52.26"/>
    <s v="素材類"/>
    <x v="0"/>
  </r>
  <r>
    <s v="32-C125-0717"/>
    <n v="1"/>
    <s v="Channel"/>
    <s v="125*65*6"/>
    <n v="4100"/>
    <m/>
    <s v="A36/SS400"/>
    <n v="1"/>
    <n v="13.4"/>
    <n v="54.94"/>
    <n v="54.94"/>
    <s v="M"/>
    <n v="1"/>
    <n v="4.0999999999999996"/>
    <n v="1"/>
    <n v="54.94"/>
    <s v="素材類"/>
    <x v="0"/>
  </r>
  <r>
    <s v="32-C125-1007"/>
    <n v="1"/>
    <s v="Channel"/>
    <s v="125*65*6"/>
    <n v="2400"/>
    <m/>
    <s v="A36/SS400"/>
    <n v="1"/>
    <n v="13.4"/>
    <n v="32.159999999999997"/>
    <n v="32.159999999999997"/>
    <s v="M"/>
    <n v="1"/>
    <n v="2.4"/>
    <n v="1"/>
    <n v="32.159999999999997"/>
    <s v="素材類"/>
    <x v="0"/>
  </r>
  <r>
    <s v="32-C125-1009"/>
    <n v="1"/>
    <s v="Channel"/>
    <s v="125*65*6"/>
    <n v="2800"/>
    <m/>
    <s v="A36/SS400"/>
    <n v="1"/>
    <n v="13.4"/>
    <n v="37.519999999999996"/>
    <n v="37.519999999999996"/>
    <s v="M"/>
    <n v="1"/>
    <n v="2.8"/>
    <n v="1"/>
    <n v="37.519999999999996"/>
    <s v="素材類"/>
    <x v="0"/>
  </r>
  <r>
    <s v="32-C150-0617"/>
    <n v="1"/>
    <s v="Channel"/>
    <s v="150*75*9"/>
    <n v="4000"/>
    <m/>
    <s v="A36/SS400"/>
    <n v="1"/>
    <n v="24"/>
    <n v="96"/>
    <n v="96"/>
    <s v="M"/>
    <n v="1"/>
    <n v="4"/>
    <n v="1"/>
    <n v="96"/>
    <s v="素材類"/>
    <x v="0"/>
  </r>
  <r>
    <s v="32-C150-0705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  <x v="0"/>
  </r>
  <r>
    <s v="32-C150-1114"/>
    <n v="1"/>
    <s v="Channel"/>
    <s v="150*75*9"/>
    <n v="3900"/>
    <m/>
    <s v="A36/SS400"/>
    <n v="1"/>
    <n v="24"/>
    <n v="93.6"/>
    <n v="93.6"/>
    <s v="M"/>
    <n v="1"/>
    <n v="3.9"/>
    <n v="1"/>
    <n v="93.6"/>
    <s v="素材類"/>
    <x v="0"/>
  </r>
  <r>
    <s v="32-L50-0405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  <x v="0"/>
  </r>
  <r>
    <s v="32-L50-0506"/>
    <n v="1"/>
    <s v="Angle"/>
    <s v="50*50*6"/>
    <n v="1700"/>
    <m/>
    <s v="A36/SS400"/>
    <n v="1"/>
    <n v="4.43"/>
    <n v="7.5309999999999997"/>
    <n v="7.5309999999999997"/>
    <s v="M"/>
    <n v="1"/>
    <n v="1.7"/>
    <n v="1"/>
    <n v="7.5309999999999997"/>
    <s v="素材類"/>
    <x v="0"/>
  </r>
  <r>
    <s v="32-L50-0605"/>
    <n v="1"/>
    <s v="Angle"/>
    <s v="50*50*6"/>
    <n v="1600"/>
    <m/>
    <s v="A36/SS400"/>
    <n v="1"/>
    <n v="4.43"/>
    <n v="7.0880000000000001"/>
    <n v="7.0880000000000001"/>
    <s v="M"/>
    <n v="1"/>
    <n v="1.6"/>
    <n v="1"/>
    <n v="7.0880000000000001"/>
    <s v="素材類"/>
    <x v="0"/>
  </r>
  <r>
    <s v="32-L50-0803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  <x v="0"/>
  </r>
  <r>
    <s v="32-L75-0405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2-L75-0505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s v="32-L75-0505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s v="32-L75-0506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507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  <x v="0"/>
  </r>
  <r>
    <s v="32-L75-0511"/>
    <n v="1"/>
    <s v="Angle"/>
    <s v="75*75*9"/>
    <n v="2700"/>
    <m/>
    <s v="A36/SS400"/>
    <n v="1"/>
    <n v="9.9600000000000009"/>
    <n v="26.892000000000003"/>
    <n v="26.892000000000003"/>
    <s v="M"/>
    <n v="1"/>
    <n v="2.7"/>
    <n v="1"/>
    <n v="26.892000000000003"/>
    <s v="素材類"/>
    <x v="0"/>
  </r>
  <r>
    <s v="32-L75-0606"/>
    <n v="1"/>
    <s v="Angle"/>
    <s v="75*75*9"/>
    <n v="1800"/>
    <m/>
    <s v="A36/SS400"/>
    <n v="1"/>
    <n v="9.9600000000000009"/>
    <n v="17.928000000000001"/>
    <n v="17.928000000000001"/>
    <s v="M"/>
    <n v="1"/>
    <n v="1.8"/>
    <n v="1"/>
    <n v="17.928000000000001"/>
    <s v="素材類"/>
    <x v="0"/>
  </r>
  <r>
    <s v="32-L75-0705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806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  <x v="0"/>
  </r>
  <r>
    <s v="32-L75-0904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905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  <x v="0"/>
  </r>
  <r>
    <s v="32-L75-0918"/>
    <n v="1"/>
    <s v="Angle"/>
    <s v="75*75*9"/>
    <n v="4500"/>
    <m/>
    <s v="A36/SS400"/>
    <n v="1"/>
    <n v="9.9600000000000009"/>
    <n v="44.820000000000007"/>
    <n v="44.820000000000007"/>
    <s v="M"/>
    <n v="1"/>
    <n v="4.5"/>
    <n v="1"/>
    <n v="44.820000000000007"/>
    <s v="素材類"/>
    <x v="0"/>
  </r>
  <r>
    <s v="32-L75-1005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  <x v="0"/>
  </r>
  <r>
    <s v="32-L75-1118"/>
    <n v="1"/>
    <s v="Angle"/>
    <s v="75*75*9"/>
    <n v="4700"/>
    <m/>
    <s v="A36/SS400"/>
    <n v="1"/>
    <n v="9.9600000000000009"/>
    <n v="46.812000000000005"/>
    <n v="46.812000000000005"/>
    <s v="M"/>
    <n v="1"/>
    <n v="4.7"/>
    <n v="1"/>
    <n v="46.812000000000005"/>
    <s v="素材類"/>
    <x v="0"/>
  </r>
  <r>
    <s v="32-L75-1206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  <x v="0"/>
  </r>
  <r>
    <s v="32-L75-1207"/>
    <n v="1"/>
    <s v="Angle"/>
    <s v="75*75*9"/>
    <n v="2600"/>
    <m/>
    <s v="A36/SS400"/>
    <n v="1"/>
    <n v="9.9600000000000009"/>
    <n v="25.896000000000004"/>
    <n v="25.896000000000004"/>
    <s v="M"/>
    <n v="1"/>
    <n v="2.6"/>
    <n v="1"/>
    <n v="25.896000000000004"/>
    <s v="素材類"/>
    <x v="0"/>
  </r>
  <r>
    <s v="33-C125-0605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2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3-C150-1004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m/>
    <n v="2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3-C150-1005"/>
    <n v="1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m/>
    <n v="2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4-C150-0808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m/>
    <n v="2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s v="35-C100-04A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  <x v="0"/>
  </r>
  <r>
    <s v="35-C100-04A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6A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  <x v="0"/>
  </r>
  <r>
    <s v="35-C100-06A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  <x v="0"/>
  </r>
  <r>
    <s v="35-C100-07A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  <x v="0"/>
  </r>
  <r>
    <s v="35-C100-07A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  <x v="0"/>
  </r>
  <r>
    <s v="35-C100-08A"/>
    <n v="1"/>
    <s v="Channel"/>
    <s v="100*50*5"/>
    <n v="800"/>
    <m/>
    <s v="A36/SS400"/>
    <n v="1"/>
    <n v="9.36"/>
    <n v="7.4879999999999995"/>
    <n v="7.4879999999999995"/>
    <s v="M"/>
    <n v="1"/>
    <n v="0.8"/>
    <n v="1"/>
    <n v="7.487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10A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2A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  <x v="0"/>
  </r>
  <r>
    <s v="35-C100-12A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  <x v="0"/>
  </r>
  <r>
    <s v="35-C100-13A"/>
    <n v="1"/>
    <s v="Channel"/>
    <s v="100*50*5"/>
    <n v="1300"/>
    <m/>
    <s v="A36/SS400"/>
    <n v="1"/>
    <n v="9.36"/>
    <n v="12.167999999999999"/>
    <n v="12.167999999999999"/>
    <s v="M"/>
    <n v="1"/>
    <n v="1.3"/>
    <n v="1"/>
    <n v="12.167999999999999"/>
    <s v="素材類"/>
    <x v="0"/>
  </r>
  <r>
    <s v="35-C125-02A"/>
    <n v="1"/>
    <s v="Channel"/>
    <s v="125*65*6"/>
    <n v="200"/>
    <m/>
    <s v="A36/SS400"/>
    <n v="1"/>
    <n v="13.4"/>
    <n v="2.68"/>
    <n v="2.68"/>
    <s v="M"/>
    <n v="1"/>
    <n v="0.2"/>
    <n v="1"/>
    <n v="2.68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7A"/>
    <n v="1"/>
    <s v="Channel"/>
    <s v="125*65*6"/>
    <n v="700"/>
    <m/>
    <s v="A36/SS400"/>
    <n v="1"/>
    <n v="13.4"/>
    <n v="9.379999999999999"/>
    <n v="9.379999999999999"/>
    <s v="M"/>
    <n v="1"/>
    <n v="0.7"/>
    <n v="1"/>
    <n v="9.379999999999999"/>
    <s v="素材類"/>
    <x v="0"/>
  </r>
  <r>
    <s v="35-C125-08A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  <x v="0"/>
  </r>
  <r>
    <s v="35-C125-09A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  <x v="0"/>
  </r>
  <r>
    <s v="35-C125-09A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  <x v="0"/>
  </r>
  <r>
    <s v="35-C150-03A"/>
    <n v="1"/>
    <s v="Channel"/>
    <s v="150*75*9"/>
    <n v="300"/>
    <m/>
    <s v="A36/SS400"/>
    <n v="1"/>
    <n v="24"/>
    <n v="7.1999999999999993"/>
    <n v="7.1999999999999993"/>
    <s v="M"/>
    <n v="1"/>
    <n v="0.3"/>
    <n v="1"/>
    <n v="7.1999999999999993"/>
    <s v="素材類"/>
    <x v="0"/>
  </r>
  <r>
    <s v="35-C150-04A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5-C150-04A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5-C150-05A"/>
    <n v="1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5-C150-06A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  <x v="0"/>
  </r>
  <r>
    <s v="35-C150-06A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8A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s v="35-C150-10A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5-C150-10A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5-C150-17A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  <x v="0"/>
  </r>
  <r>
    <s v="35-L50-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35-L50-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75-02A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  <x v="0"/>
  </r>
  <r>
    <s v="35-L75-02A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7-C100-350B"/>
    <n v="1"/>
    <s v="Channel"/>
    <s v="100*50*5"/>
    <n v="1145"/>
    <m/>
    <s v="A36/SS400"/>
    <n v="1"/>
    <n v="9.36"/>
    <n v="10.7172"/>
    <n v="10.7172"/>
    <s v="M"/>
    <n v="1"/>
    <n v="1.145"/>
    <n v="1"/>
    <n v="10.7172"/>
    <s v="素材類"/>
    <x v="0"/>
  </r>
  <r>
    <s v="37-C125-1000A"/>
    <n v="1"/>
    <s v="Channel"/>
    <s v="125*65*6"/>
    <n v="2499"/>
    <m/>
    <s v="A36/SS400"/>
    <n v="1"/>
    <n v="13.4"/>
    <n v="33.486600000000003"/>
    <n v="33.486600000000003"/>
    <s v="M"/>
    <n v="1"/>
    <n v="2.4990000000000001"/>
    <n v="1"/>
    <n v="33.486600000000003"/>
    <s v="素材類"/>
    <x v="0"/>
  </r>
  <r>
    <s v="37-C125-400A-08"/>
    <n v="1"/>
    <s v="Channel"/>
    <s v="125*65*6"/>
    <n v="1806"/>
    <m/>
    <s v="A36/SS400"/>
    <n v="1"/>
    <n v="13.4"/>
    <n v="24.200400000000002"/>
    <n v="24.200400000000002"/>
    <s v="M"/>
    <n v="1"/>
    <n v="1.806"/>
    <n v="1"/>
    <n v="24.200400000000002"/>
    <s v="素材類"/>
    <x v="0"/>
  </r>
  <r>
    <s v="37-C125-600A"/>
    <n v="1"/>
    <s v="Channel"/>
    <s v="125*65*6"/>
    <n v="1637"/>
    <m/>
    <s v="A36/SS400"/>
    <n v="1"/>
    <n v="13.4"/>
    <n v="21.9358"/>
    <n v="21.9358"/>
    <s v="M"/>
    <n v="1"/>
    <n v="1.637"/>
    <n v="1"/>
    <n v="21.9358"/>
    <s v="素材類"/>
    <x v="0"/>
  </r>
  <r>
    <s v="37-C125-775A"/>
    <n v="1"/>
    <s v="Channel"/>
    <s v="125*65*6"/>
    <n v="2014"/>
    <m/>
    <s v="A36/SS400"/>
    <n v="1"/>
    <n v="13.4"/>
    <n v="26.987599999999997"/>
    <n v="26.987599999999997"/>
    <s v="M"/>
    <n v="1"/>
    <n v="2.0139999999999998"/>
    <n v="1"/>
    <n v="26.987599999999997"/>
    <s v="素材類"/>
    <x v="0"/>
  </r>
  <r>
    <s v="37-C125-900A"/>
    <n v="1"/>
    <s v="Channel"/>
    <s v="125*65*6"/>
    <n v="2283"/>
    <m/>
    <s v="A36/SS400"/>
    <n v="1"/>
    <n v="13.4"/>
    <n v="30.592199999999998"/>
    <n v="30.592199999999998"/>
    <s v="M"/>
    <n v="1"/>
    <n v="2.2829999999999999"/>
    <n v="1"/>
    <n v="30.592199999999998"/>
    <s v="素材類"/>
    <x v="0"/>
  </r>
  <r>
    <s v="37-H100-1500A"/>
    <n v="1"/>
    <s v="H Beam"/>
    <s v="100*100*6"/>
    <n v="3547"/>
    <m/>
    <s v="A36/SS400"/>
    <n v="1"/>
    <n v="16.899999999999999"/>
    <n v="59.944299999999998"/>
    <n v="59.944299999999998"/>
    <s v="M"/>
    <n v="1"/>
    <n v="3.5470000000000002"/>
    <n v="1"/>
    <n v="59.944299999999998"/>
    <s v="素材類"/>
    <x v="0"/>
  </r>
  <r>
    <s v="37-H100-1553B"/>
    <n v="1"/>
    <s v="H Beam"/>
    <s v="100*100*6"/>
    <n v="4049"/>
    <m/>
    <s v="A36/SS400"/>
    <n v="1"/>
    <n v="16.899999999999999"/>
    <n v="68.428100000000001"/>
    <n v="68.428100000000001"/>
    <s v="M"/>
    <n v="1"/>
    <n v="4.0490000000000004"/>
    <n v="1"/>
    <n v="68.428100000000001"/>
    <s v="素材類"/>
    <x v="0"/>
  </r>
  <r>
    <s v="37-H100-350B"/>
    <n v="1"/>
    <s v="H Beam"/>
    <s v="100*100*6"/>
    <n v="1145"/>
    <m/>
    <s v="A36/SS400"/>
    <n v="1"/>
    <n v="16.899999999999999"/>
    <n v="19.3505"/>
    <n v="19.3505"/>
    <s v="M"/>
    <n v="1"/>
    <n v="1.145"/>
    <n v="1"/>
    <n v="19.3505"/>
    <s v="素材類"/>
    <x v="0"/>
  </r>
  <r>
    <s v="37-H100-525B"/>
    <n v="1"/>
    <s v="H Beam"/>
    <s v="100*100*6"/>
    <n v="1567"/>
    <m/>
    <s v="A36/SS400"/>
    <n v="1"/>
    <n v="16.899999999999999"/>
    <n v="26.482299999999999"/>
    <n v="26.482299999999999"/>
    <s v="M"/>
    <n v="1"/>
    <n v="1.5669999999999999"/>
    <n v="1"/>
    <n v="26.482299999999999"/>
    <s v="素材類"/>
    <x v="0"/>
  </r>
  <r>
    <s v="37-H100-575A-03"/>
    <n v="1"/>
    <s v="H Beam"/>
    <s v="100*100*6"/>
    <n v="1654"/>
    <m/>
    <s v="A36/SS400"/>
    <n v="1"/>
    <n v="16.899999999999999"/>
    <n v="27.952599999999997"/>
    <n v="27.952599999999997"/>
    <s v="M"/>
    <n v="1"/>
    <n v="1.6539999999999999"/>
    <n v="1"/>
    <n v="27.952599999999997"/>
    <s v="素材類"/>
    <x v="0"/>
  </r>
  <r>
    <s v="37-H100-593A-03"/>
    <n v="1"/>
    <s v="H Beam"/>
    <s v="100*100*6"/>
    <n v="1693"/>
    <m/>
    <s v="A36/SS400"/>
    <n v="1"/>
    <n v="16.899999999999999"/>
    <n v="28.611699999999999"/>
    <n v="28.611699999999999"/>
    <s v="M"/>
    <n v="1"/>
    <n v="1.6930000000000001"/>
    <n v="1"/>
    <n v="28.611699999999999"/>
    <s v="素材類"/>
    <x v="0"/>
  </r>
  <r>
    <s v="37-H100-690A-03"/>
    <n v="1"/>
    <s v="H Beam"/>
    <s v="100*100*6"/>
    <n v="1902"/>
    <m/>
    <s v="A36/SS400"/>
    <n v="1"/>
    <n v="16.899999999999999"/>
    <n v="32.143799999999999"/>
    <n v="32.143799999999999"/>
    <s v="M"/>
    <n v="1"/>
    <n v="1.9019999999999999"/>
    <n v="1"/>
    <n v="32.143799999999999"/>
    <s v="素材類"/>
    <x v="0"/>
  </r>
  <r>
    <s v="37-H100-700A-03"/>
    <n v="1"/>
    <s v="H Beam"/>
    <s v="100*100*6"/>
    <n v="1923"/>
    <m/>
    <s v="A36/SS400"/>
    <n v="1"/>
    <n v="16.899999999999999"/>
    <n v="32.498699999999999"/>
    <n v="32.498699999999999"/>
    <s v="M"/>
    <n v="1"/>
    <n v="1.923"/>
    <n v="1"/>
    <n v="32.498699999999999"/>
    <s v="素材類"/>
    <x v="0"/>
  </r>
  <r>
    <s v="37-H100-800A-03"/>
    <n v="1"/>
    <s v="H Beam"/>
    <s v="100*100*6"/>
    <n v="2139"/>
    <m/>
    <s v="A36/SS400"/>
    <n v="1"/>
    <n v="16.899999999999999"/>
    <n v="36.14909999999999"/>
    <n v="36.14909999999999"/>
    <s v="M"/>
    <n v="1"/>
    <n v="2.1389999999999998"/>
    <n v="1"/>
    <n v="36.14909999999999"/>
    <s v="素材類"/>
    <x v="0"/>
  </r>
  <r>
    <s v="37-H100-913A-03"/>
    <n v="1"/>
    <s v="H Beam"/>
    <s v="100*100*6"/>
    <n v="2382"/>
    <m/>
    <s v="A36/SS400"/>
    <n v="1"/>
    <n v="16.899999999999999"/>
    <n v="40.255800000000001"/>
    <n v="40.255800000000001"/>
    <s v="M"/>
    <n v="1"/>
    <n v="2.3820000000000001"/>
    <n v="1"/>
    <n v="40.255800000000001"/>
    <s v="素材類"/>
    <x v="0"/>
  </r>
  <r>
    <s v="37-H125-700B"/>
    <n v="1"/>
    <s v="H Beam"/>
    <s v="125*125*6.5"/>
    <n v="2014"/>
    <m/>
    <s v="A36/SS400"/>
    <n v="1"/>
    <n v="23.6"/>
    <n v="47.5304"/>
    <n v="47.5304"/>
    <s v="M"/>
    <n v="1"/>
    <n v="2.0139999999999998"/>
    <n v="1"/>
    <n v="47.5304"/>
    <s v="素材類"/>
    <x v="0"/>
  </r>
  <r>
    <s v="37-H125-725A"/>
    <n v="1"/>
    <s v="H Beam"/>
    <s v="125*125*6.5"/>
    <n v="1906"/>
    <m/>
    <s v="A36/SS400"/>
    <n v="1"/>
    <n v="23.6"/>
    <n v="44.9816"/>
    <n v="44.9816"/>
    <s v="M"/>
    <n v="1"/>
    <n v="1.9059999999999999"/>
    <n v="1"/>
    <n v="44.9816"/>
    <s v="素材類"/>
    <x v="0"/>
  </r>
  <r>
    <s v="37-H150-725B"/>
    <n v="1"/>
    <s v="H Beam"/>
    <s v="150*150*10"/>
    <n v="2100"/>
    <m/>
    <s v="A36/SS400"/>
    <n v="1"/>
    <n v="31.1"/>
    <n v="65.31"/>
    <n v="65.31"/>
    <s v="M"/>
    <n v="1"/>
    <n v="2.1"/>
    <n v="1"/>
    <n v="65.31"/>
    <s v="素材類"/>
    <x v="0"/>
  </r>
  <r>
    <s v="37-L75-1285A"/>
    <n v="1"/>
    <s v="Angle"/>
    <s v="75*75*9"/>
    <n v="3056"/>
    <m/>
    <s v="A36/SS400"/>
    <n v="1"/>
    <n v="9.9600000000000009"/>
    <n v="30.437760000000004"/>
    <n v="30.437760000000004"/>
    <s v="M"/>
    <n v="1"/>
    <n v="3.056"/>
    <n v="1"/>
    <n v="30.437760000000004"/>
    <s v="素材類"/>
    <x v="0"/>
  </r>
  <r>
    <s v="37-L75-250B"/>
    <n v="1"/>
    <s v="Angle"/>
    <s v="75*75*9"/>
    <n v="879"/>
    <m/>
    <s v="A36/SS400"/>
    <n v="1"/>
    <n v="9.9600000000000009"/>
    <n v="8.7548400000000015"/>
    <n v="8.7548400000000015"/>
    <s v="M"/>
    <n v="1"/>
    <n v="0.879"/>
    <n v="1"/>
    <n v="8.7548400000000015"/>
    <s v="素材類"/>
    <x v="0"/>
  </r>
  <r>
    <s v="37-L75-300B"/>
    <n v="1"/>
    <s v="Angle"/>
    <s v="75*75*9"/>
    <n v="999"/>
    <m/>
    <s v="A36/SS400"/>
    <n v="1"/>
    <n v="9.9600000000000009"/>
    <n v="9.9500400000000013"/>
    <n v="9.9500400000000013"/>
    <s v="M"/>
    <n v="1"/>
    <n v="0.999"/>
    <n v="1"/>
    <n v="9.9500400000000013"/>
    <s v="素材類"/>
    <x v="0"/>
  </r>
  <r>
    <s v="37-L75-400A"/>
    <n v="1"/>
    <s v="Angle"/>
    <s v="75*75*9"/>
    <n v="1149"/>
    <m/>
    <s v="A36/SS400"/>
    <n v="1"/>
    <n v="9.9600000000000009"/>
    <n v="11.444040000000001"/>
    <n v="11.444040000000001"/>
    <s v="M"/>
    <n v="1"/>
    <n v="1.149"/>
    <n v="1"/>
    <n v="11.444040000000001"/>
    <s v="素材類"/>
    <x v="0"/>
  </r>
  <r>
    <s v="39-C100-800A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  <x v="0"/>
  </r>
  <r>
    <m/>
    <n v="2"/>
    <s v="Channel"/>
    <s v="100*50*5"/>
    <n v="1039"/>
    <m/>
    <s v="A36/SS400"/>
    <n v="1"/>
    <n v="9.36"/>
    <n v="9.7250399999999981"/>
    <n v="9.7250399999999981"/>
    <s v="M"/>
    <n v="1"/>
    <n v="1.0389999999999999"/>
    <n v="1"/>
    <n v="9.7250399999999981"/>
    <s v="素材類"/>
    <x v="0"/>
  </r>
  <r>
    <s v="48-1 1/2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1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1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3/4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51-8B"/>
    <n v="1"/>
    <s v="Angle"/>
    <s v="65*65*6"/>
    <n v="150"/>
    <m/>
    <s v="A36/SS400"/>
    <n v="1"/>
    <n v="5.91"/>
    <n v="0.88649999999999995"/>
    <n v="0.88649999999999995"/>
    <s v="M"/>
    <n v="1"/>
    <n v="0.15"/>
    <n v="1"/>
    <n v="0.88649999999999995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 1/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 1/2B-A-12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-A-13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100-1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  <x v="0"/>
  </r>
  <r>
    <s v="52-1/2B- -7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75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8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93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-8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2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2-10B-B-200-3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3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52-1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2-12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2-12B-A-124-3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3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 -100-1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  <x v="0"/>
  </r>
  <r>
    <s v="52-1B- -9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 -96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13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A-15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A-10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A-12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A-13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- -10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A-12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-B-178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 -87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A-12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B-20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6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-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8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8B-A(S)-140-40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  <x v="0"/>
  </r>
  <r>
    <s v="53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3-10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3-12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3-12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3-14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53-16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53-16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3-20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  <x v="0"/>
  </r>
  <r>
    <s v="53-28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3-6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3-6B-A(S)-150-30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3-8B-A(S)-150-30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  <x v="0"/>
  </r>
  <r>
    <s v="54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4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5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/2B-A"/>
    <n v="1"/>
    <s v="U.bolt"/>
    <s v="UB-1/2B"/>
    <m/>
    <m/>
    <s v="SUS304"/>
    <n v="1"/>
    <m/>
    <n v="1"/>
    <n v="1"/>
    <s v="SET"/>
    <n v="1"/>
    <m/>
    <n v="1"/>
    <n v="1"/>
    <s v="螺絲類"/>
    <x v="0"/>
  </r>
  <r>
    <s v="57-1B-A"/>
    <n v="1"/>
    <s v="U.bolt"/>
    <s v="UB-1B"/>
    <m/>
    <m/>
    <s v="SUS304"/>
    <n v="1"/>
    <m/>
    <n v="1"/>
    <n v="1"/>
    <s v="SET"/>
    <n v="1"/>
    <m/>
    <n v="1"/>
    <n v="1"/>
    <s v="螺絲類"/>
    <x v="0"/>
  </r>
  <r>
    <s v="57-1B-B"/>
    <n v="1"/>
    <s v="U.bolt"/>
    <s v="UB-1B"/>
    <m/>
    <m/>
    <s v="SUS304"/>
    <n v="1"/>
    <m/>
    <n v="1"/>
    <n v="1"/>
    <s v="SET"/>
    <n v="1"/>
    <m/>
    <n v="1"/>
    <n v="1"/>
    <s v="螺絲類"/>
    <x v="0"/>
  </r>
  <r>
    <s v="57-2B-A"/>
    <n v="1"/>
    <s v="U.bolt"/>
    <s v="UB-2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(N)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B-B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(N)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3/4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3/4B-B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(S)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(S)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  <x v="0"/>
  </r>
  <r>
    <s v="61-2B-T1-03"/>
    <s v="Error"/>
    <m/>
    <m/>
    <m/>
    <m/>
    <m/>
    <m/>
    <m/>
    <m/>
    <m/>
    <m/>
    <m/>
    <m/>
    <m/>
    <m/>
    <m/>
    <x v="0"/>
  </r>
  <r>
    <s v="61-2B-T1-03"/>
    <s v="Error"/>
    <m/>
    <m/>
    <m/>
    <m/>
    <m/>
    <m/>
    <m/>
    <m/>
    <m/>
    <m/>
    <m/>
    <m/>
    <m/>
    <m/>
    <m/>
    <x v="0"/>
  </r>
  <r>
    <s v="61-2B-T1-04"/>
    <s v="Error"/>
    <m/>
    <m/>
    <m/>
    <m/>
    <m/>
    <m/>
    <m/>
    <m/>
    <m/>
    <m/>
    <m/>
    <m/>
    <m/>
    <m/>
    <m/>
    <x v="0"/>
  </r>
  <r>
    <s v="61-2B-T1-04"/>
    <s v="Error"/>
    <m/>
    <m/>
    <m/>
    <m/>
    <m/>
    <m/>
    <m/>
    <m/>
    <m/>
    <m/>
    <m/>
    <m/>
    <m/>
    <m/>
    <m/>
    <x v="0"/>
  </r>
  <r>
    <s v="61-3B-T1-06"/>
    <s v="Error"/>
    <m/>
    <m/>
    <m/>
    <m/>
    <m/>
    <m/>
    <m/>
    <m/>
    <m/>
    <m/>
    <m/>
    <m/>
    <m/>
    <m/>
    <m/>
    <x v="0"/>
  </r>
  <r>
    <s v="61-3B-T1-07(P4)"/>
    <s v="Error"/>
    <m/>
    <m/>
    <m/>
    <m/>
    <m/>
    <m/>
    <m/>
    <m/>
    <m/>
    <m/>
    <m/>
    <m/>
    <m/>
    <m/>
    <m/>
    <x v="0"/>
  </r>
  <r>
    <s v="61-4B-T1-04"/>
    <s v="Error"/>
    <m/>
    <m/>
    <m/>
    <m/>
    <m/>
    <m/>
    <m/>
    <m/>
    <m/>
    <m/>
    <m/>
    <m/>
    <m/>
    <m/>
    <m/>
    <x v="0"/>
  </r>
  <r>
    <s v="61-4B-T1-05"/>
    <s v="Error"/>
    <m/>
    <m/>
    <m/>
    <m/>
    <m/>
    <m/>
    <m/>
    <m/>
    <m/>
    <m/>
    <m/>
    <m/>
    <m/>
    <m/>
    <m/>
    <x v="0"/>
  </r>
  <r>
    <s v="61-4B-T1-07(P6)"/>
    <s v="Error"/>
    <m/>
    <m/>
    <m/>
    <m/>
    <m/>
    <m/>
    <m/>
    <m/>
    <m/>
    <m/>
    <m/>
    <m/>
    <m/>
    <m/>
    <m/>
    <x v="0"/>
  </r>
  <r>
    <s v="61-4B-T1-08"/>
    <s v="Error"/>
    <m/>
    <m/>
    <m/>
    <m/>
    <m/>
    <m/>
    <m/>
    <m/>
    <m/>
    <m/>
    <m/>
    <m/>
    <m/>
    <m/>
    <m/>
    <x v="0"/>
  </r>
  <r>
    <s v="61-8B-T1-04"/>
    <s v="Error"/>
    <m/>
    <m/>
    <m/>
    <m/>
    <m/>
    <m/>
    <m/>
    <m/>
    <m/>
    <m/>
    <m/>
    <m/>
    <m/>
    <m/>
    <m/>
    <x v="0"/>
  </r>
  <r>
    <s v="61-8B-T1-06"/>
    <s v="Error"/>
    <m/>
    <m/>
    <m/>
    <m/>
    <m/>
    <m/>
    <m/>
    <m/>
    <m/>
    <m/>
    <m/>
    <m/>
    <m/>
    <m/>
    <m/>
    <x v="0"/>
  </r>
  <r>
    <s v="61-8B-T2-06"/>
    <s v="Error"/>
    <m/>
    <m/>
    <m/>
    <m/>
    <m/>
    <m/>
    <m/>
    <m/>
    <m/>
    <m/>
    <m/>
    <m/>
    <m/>
    <m/>
    <m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 1/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0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(N)-69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66-10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A(S)-112-300"/>
    <n v="1"/>
    <s v="H Beam"/>
    <s v="200*200*8"/>
    <n v="300"/>
    <m/>
    <s v="SUS304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66-10B-A(S)-150-350"/>
    <n v="1"/>
    <s v="H Beam"/>
    <s v="200*200*8"/>
    <n v="350"/>
    <m/>
    <s v="SUS304"/>
    <n v="1"/>
    <n v="49.9"/>
    <n v="17.465"/>
    <n v="17.465"/>
    <s v="M"/>
    <n v="1"/>
    <n v="0.35"/>
    <n v="1"/>
    <n v="17.465"/>
    <s v="素材類"/>
    <x v="0"/>
  </r>
  <r>
    <m/>
    <n v="2"/>
    <s v="FB_52Type_3"/>
    <n v="9"/>
    <n v="168.25"/>
    <n v="400"/>
    <s v="A36/SS400"/>
    <n v="1"/>
    <m/>
    <n v="4.7547449999999998"/>
    <n v="4.7547449999999998"/>
    <s v="PC"/>
    <n v="1"/>
    <m/>
    <n v="1"/>
    <n v="4.7547449999999998"/>
    <s v="鋼板類"/>
    <x v="0"/>
  </r>
  <r>
    <s v="66-12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(N)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(N)-100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66-12B-A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C(N)-210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66-14B-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66-14B-A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66-16B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6B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6B-(N)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0B-A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  <x v="0"/>
  </r>
  <r>
    <s v="66-28B-A"/>
    <n v="1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-(N)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B-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/4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/4B-(S)-100-100"/>
    <n v="1"/>
    <s v="H Beam"/>
    <s v="200*100*5.5"/>
    <n v="100"/>
    <m/>
    <s v="SUS304"/>
    <n v="1"/>
    <n v="20.9"/>
    <n v="2.09"/>
    <n v="2.09"/>
    <s v="M"/>
    <n v="1"/>
    <n v="0.1"/>
    <n v="1"/>
    <n v="2.09"/>
    <s v="素材類"/>
    <x v="0"/>
  </r>
  <r>
    <s v="66-3/4B-A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A-150-25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(P)"/>
    <n v="1"/>
    <s v="Pad_52Type"/>
    <n v="9"/>
    <n v="236.09068791727296"/>
    <n v="350"/>
    <s v="A36/SS400"/>
    <n v="1"/>
    <m/>
    <n v="5.8379324854743668"/>
    <n v="5.8379324854743668"/>
    <s v="PC"/>
    <n v="1"/>
    <m/>
    <n v="1"/>
    <n v="5.8379324854743668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A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B-175-400"/>
    <n v="1"/>
    <s v="H Beam"/>
    <s v="200*100*5.5"/>
    <n v="400"/>
    <m/>
    <s v="A36/SS400"/>
    <n v="1"/>
    <n v="20.9"/>
    <n v="8.36"/>
    <n v="8.36"/>
    <s v="M"/>
    <n v="1"/>
    <n v="0.4"/>
    <n v="1"/>
    <n v="8.3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(P)"/>
    <n v="1"/>
    <s v="Pad_52Type"/>
    <n v="9"/>
    <n v="320.9136895641974"/>
    <n v="350"/>
    <s v="A36/SS400"/>
    <n v="1"/>
    <m/>
    <n v="7.9353932586986904"/>
    <n v="7.9353932586986904"/>
    <s v="PC"/>
    <n v="1"/>
    <m/>
    <n v="1"/>
    <n v="7.9353932586986904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A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A(A)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66-6B-A(A)-150-350"/>
    <n v="1"/>
    <s v="H Beam"/>
    <s v="200*100*5.5"/>
    <n v="350"/>
    <m/>
    <s v="AS"/>
    <n v="1"/>
    <n v="20.9"/>
    <n v="7.3149999999999986"/>
    <n v="7.3149999999999986"/>
    <s v="M"/>
    <n v="1"/>
    <n v="0.35"/>
    <n v="1"/>
    <n v="7.3149999999999986"/>
    <s v="素材類"/>
    <x v="0"/>
  </r>
  <r>
    <s v="66-6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6B-B-175-25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C-239-300"/>
    <n v="1"/>
    <s v="H Beam"/>
    <s v="200*100*5.5"/>
    <n v="300"/>
    <m/>
    <s v="A36/SS400"/>
    <n v="1"/>
    <n v="20.9"/>
    <n v="6.27"/>
    <n v="6.27"/>
    <s v="M"/>
    <n v="1"/>
    <n v="0.3"/>
    <n v="1"/>
    <n v="6.27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-(N)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(P)"/>
    <n v="1"/>
    <s v="Pad_52Type"/>
    <n v="9"/>
    <n v="400.71014296537811"/>
    <n v="350"/>
    <s v="A36/SS400"/>
    <n v="1"/>
    <m/>
    <n v="9.9085600601763861"/>
    <n v="9.9085600601763861"/>
    <s v="PC"/>
    <n v="1"/>
    <m/>
    <n v="1"/>
    <n v="9.9085600601763861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-A(A)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66-8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8B-A(S)-140-403"/>
    <n v="1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  <x v="0"/>
  </r>
  <r>
    <s v="67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1B-A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83-16B- -100-410"/>
    <s v="Error"/>
    <m/>
    <m/>
    <m/>
    <m/>
    <m/>
    <m/>
    <m/>
    <m/>
    <m/>
    <m/>
    <m/>
    <m/>
    <m/>
    <m/>
    <m/>
    <x v="0"/>
  </r>
  <r>
    <s v="83-2B-(S)-100-706"/>
    <s v="Error"/>
    <m/>
    <m/>
    <m/>
    <m/>
    <m/>
    <m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C3F24E-F486-45CC-83BA-803C2BACF492}" name="樞紐分析表1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1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m="1" x="8"/>
        <item m="1" x="7"/>
        <item m="1" x="9"/>
        <item x="0"/>
        <item x="1"/>
        <item x="2"/>
        <item x="3"/>
        <item x="4"/>
        <item x="5"/>
        <item x="6"/>
        <item t="default"/>
      </items>
    </pivotField>
  </pivotFields>
  <rowFields count="1">
    <field x="17"/>
  </rowFields>
  <row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加總 - 數量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278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279</v>
      </c>
      <c r="B2">
        <v>100</v>
      </c>
      <c r="C2" t="s">
        <v>282</v>
      </c>
      <c r="D2" t="s">
        <v>283</v>
      </c>
      <c r="E2">
        <v>150</v>
      </c>
      <c r="F2" t="s">
        <v>282</v>
      </c>
    </row>
    <row r="3" spans="1:6" x14ac:dyDescent="0.3">
      <c r="A3" s="2" t="s">
        <v>248</v>
      </c>
      <c r="B3">
        <v>100</v>
      </c>
      <c r="C3" t="s">
        <v>282</v>
      </c>
      <c r="D3" t="s">
        <v>283</v>
      </c>
      <c r="E3">
        <v>150</v>
      </c>
      <c r="F3" t="s">
        <v>282</v>
      </c>
    </row>
    <row r="4" spans="1:6" x14ac:dyDescent="0.3">
      <c r="A4" s="2">
        <v>1</v>
      </c>
      <c r="B4">
        <v>100</v>
      </c>
      <c r="C4" t="s">
        <v>282</v>
      </c>
      <c r="D4" t="s">
        <v>283</v>
      </c>
      <c r="E4">
        <v>150</v>
      </c>
      <c r="F4" t="s">
        <v>282</v>
      </c>
    </row>
    <row r="5" spans="1:6" x14ac:dyDescent="0.3">
      <c r="A5" s="2" t="s">
        <v>280</v>
      </c>
      <c r="B5">
        <v>100</v>
      </c>
      <c r="C5" t="s">
        <v>282</v>
      </c>
      <c r="D5" t="s">
        <v>283</v>
      </c>
      <c r="E5">
        <v>150</v>
      </c>
      <c r="F5" t="s">
        <v>282</v>
      </c>
    </row>
    <row r="6" spans="1:6" x14ac:dyDescent="0.3">
      <c r="A6">
        <v>2</v>
      </c>
      <c r="B6">
        <v>100</v>
      </c>
      <c r="C6" t="s">
        <v>282</v>
      </c>
      <c r="D6" t="s">
        <v>283</v>
      </c>
      <c r="E6">
        <v>150</v>
      </c>
      <c r="F6">
        <v>50</v>
      </c>
    </row>
    <row r="7" spans="1:6" x14ac:dyDescent="0.3">
      <c r="A7" s="2" t="s">
        <v>281</v>
      </c>
      <c r="B7">
        <v>100</v>
      </c>
      <c r="C7" t="s">
        <v>282</v>
      </c>
      <c r="D7" t="s">
        <v>283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282</v>
      </c>
      <c r="D8" t="s">
        <v>283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282</v>
      </c>
      <c r="D9" t="s">
        <v>283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282</v>
      </c>
      <c r="D10" t="s">
        <v>283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282</v>
      </c>
      <c r="D11" t="s">
        <v>283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282</v>
      </c>
      <c r="D12" t="s">
        <v>283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284</v>
      </c>
      <c r="E13" t="s">
        <v>282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284</v>
      </c>
      <c r="E14" t="s">
        <v>282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284</v>
      </c>
      <c r="E15" t="s">
        <v>282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285</v>
      </c>
      <c r="E16" t="s">
        <v>282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285</v>
      </c>
      <c r="E17" t="s">
        <v>282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285</v>
      </c>
      <c r="E18" t="s">
        <v>282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285</v>
      </c>
      <c r="E19" t="s">
        <v>282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246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263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247</v>
      </c>
      <c r="K3" s="26">
        <v>80</v>
      </c>
      <c r="L3" s="26" t="s">
        <v>261</v>
      </c>
    </row>
    <row r="4" spans="1:12" x14ac:dyDescent="0.3">
      <c r="A4" s="51" t="s">
        <v>264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247</v>
      </c>
      <c r="K4" s="26">
        <v>110</v>
      </c>
      <c r="L4" s="26" t="s">
        <v>261</v>
      </c>
    </row>
    <row r="5" spans="1:12" x14ac:dyDescent="0.3">
      <c r="A5" s="51" t="s">
        <v>265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247</v>
      </c>
      <c r="K5" s="26">
        <v>135</v>
      </c>
      <c r="L5" s="26" t="s">
        <v>240</v>
      </c>
    </row>
    <row r="6" spans="1:12" x14ac:dyDescent="0.3">
      <c r="A6" s="51" t="s">
        <v>266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248</v>
      </c>
      <c r="K6" s="26">
        <v>190</v>
      </c>
      <c r="L6" s="26" t="s">
        <v>241</v>
      </c>
    </row>
    <row r="7" spans="1:12" x14ac:dyDescent="0.3">
      <c r="A7" s="51" t="s">
        <v>267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248</v>
      </c>
      <c r="K7" s="26">
        <v>240</v>
      </c>
      <c r="L7" s="26" t="s">
        <v>262</v>
      </c>
    </row>
    <row r="8" spans="1:12" x14ac:dyDescent="0.3">
      <c r="A8" s="51" t="s">
        <v>268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262</v>
      </c>
    </row>
    <row r="9" spans="1:12" x14ac:dyDescent="0.3">
      <c r="A9" s="51" t="s">
        <v>269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262</v>
      </c>
    </row>
    <row r="12" spans="1:12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246</v>
      </c>
      <c r="H2" s="26" t="s">
        <v>38</v>
      </c>
      <c r="I2" s="26" t="s">
        <v>56</v>
      </c>
    </row>
    <row r="3" spans="1:9" x14ac:dyDescent="0.3">
      <c r="A3" s="51" t="s">
        <v>263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261</v>
      </c>
    </row>
    <row r="4" spans="1:9" x14ac:dyDescent="0.3">
      <c r="A4" s="51" t="s">
        <v>264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261</v>
      </c>
    </row>
    <row r="5" spans="1:9" x14ac:dyDescent="0.3">
      <c r="A5" s="51" t="s">
        <v>265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240</v>
      </c>
    </row>
    <row r="6" spans="1:9" x14ac:dyDescent="0.3">
      <c r="A6" s="51" t="s">
        <v>266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241</v>
      </c>
    </row>
    <row r="7" spans="1:9" x14ac:dyDescent="0.3">
      <c r="A7" s="51" t="s">
        <v>267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262</v>
      </c>
    </row>
    <row r="8" spans="1:9" x14ac:dyDescent="0.3">
      <c r="A8" s="51" t="s">
        <v>268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262</v>
      </c>
    </row>
    <row r="9" spans="1:9" x14ac:dyDescent="0.3">
      <c r="A9" s="51" t="s">
        <v>269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262</v>
      </c>
    </row>
    <row r="12" spans="1:9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3" t="s">
        <v>245</v>
      </c>
      <c r="B1" s="63"/>
      <c r="C1" s="63"/>
      <c r="D1" s="63"/>
      <c r="E1" s="63"/>
      <c r="F1" s="63"/>
      <c r="G1" s="63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263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261</v>
      </c>
    </row>
    <row r="4" spans="1:7" x14ac:dyDescent="0.3">
      <c r="A4" s="51" t="s">
        <v>264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261</v>
      </c>
    </row>
    <row r="5" spans="1:7" x14ac:dyDescent="0.3">
      <c r="A5" s="51" t="s">
        <v>265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240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</row>
    <row r="2" spans="1:10" x14ac:dyDescent="0.3">
      <c r="A2" s="25" t="s">
        <v>308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304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282</v>
      </c>
      <c r="H3" s="26" t="s">
        <v>282</v>
      </c>
      <c r="I3" s="26">
        <v>19</v>
      </c>
      <c r="J3" s="26" t="s">
        <v>316</v>
      </c>
    </row>
    <row r="4" spans="1:10" x14ac:dyDescent="0.3">
      <c r="A4" s="51" t="s">
        <v>305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282</v>
      </c>
      <c r="H4" s="26" t="s">
        <v>282</v>
      </c>
      <c r="I4" s="26">
        <v>22</v>
      </c>
      <c r="J4" s="26" t="s">
        <v>317</v>
      </c>
    </row>
    <row r="5" spans="1:10" x14ac:dyDescent="0.3">
      <c r="A5" s="51" t="s">
        <v>306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282</v>
      </c>
      <c r="H5" s="26" t="s">
        <v>282</v>
      </c>
      <c r="I5" s="26">
        <v>22</v>
      </c>
      <c r="J5" s="26" t="s">
        <v>317</v>
      </c>
    </row>
    <row r="6" spans="1:10" x14ac:dyDescent="0.3">
      <c r="A6" s="51" t="s">
        <v>307</v>
      </c>
      <c r="B6" s="26">
        <v>170</v>
      </c>
      <c r="C6" s="26">
        <v>125</v>
      </c>
      <c r="D6" s="26" t="s">
        <v>282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317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318</v>
      </c>
      <c r="B1" s="52" t="s">
        <v>319</v>
      </c>
      <c r="C1" s="52" t="s">
        <v>309</v>
      </c>
      <c r="D1" s="52" t="s">
        <v>320</v>
      </c>
      <c r="E1" s="52" t="s">
        <v>310</v>
      </c>
      <c r="F1" s="52" t="s">
        <v>311</v>
      </c>
      <c r="G1" s="52" t="s">
        <v>312</v>
      </c>
      <c r="H1" s="52" t="s">
        <v>313</v>
      </c>
      <c r="I1" s="52" t="s">
        <v>314</v>
      </c>
      <c r="J1" s="52" t="s">
        <v>0</v>
      </c>
      <c r="K1" s="52" t="s">
        <v>321</v>
      </c>
      <c r="L1" s="52" t="s">
        <v>315</v>
      </c>
      <c r="M1" s="52" t="s">
        <v>322</v>
      </c>
    </row>
    <row r="2" spans="1:13" x14ac:dyDescent="0.3">
      <c r="A2" s="53" t="s">
        <v>323</v>
      </c>
      <c r="B2" s="53" t="s">
        <v>324</v>
      </c>
      <c r="C2" s="53" t="s">
        <v>325</v>
      </c>
      <c r="D2" s="53" t="s">
        <v>326</v>
      </c>
      <c r="E2" s="53" t="s">
        <v>327</v>
      </c>
      <c r="F2" s="53" t="s">
        <v>271</v>
      </c>
      <c r="G2" s="53" t="s">
        <v>271</v>
      </c>
      <c r="H2" s="53" t="s">
        <v>328</v>
      </c>
      <c r="I2" s="53" t="s">
        <v>65</v>
      </c>
      <c r="J2" s="53" t="s">
        <v>65</v>
      </c>
      <c r="K2" s="53" t="s">
        <v>329</v>
      </c>
      <c r="L2" s="53" t="s">
        <v>287</v>
      </c>
      <c r="M2" s="53" t="s">
        <v>330</v>
      </c>
    </row>
    <row r="3" spans="1:13" x14ac:dyDescent="0.3">
      <c r="A3" s="53" t="s">
        <v>331</v>
      </c>
      <c r="B3" s="53" t="s">
        <v>332</v>
      </c>
      <c r="C3" s="53" t="s">
        <v>333</v>
      </c>
      <c r="D3" s="53" t="s">
        <v>334</v>
      </c>
      <c r="E3" s="53" t="s">
        <v>273</v>
      </c>
      <c r="F3" s="53" t="s">
        <v>272</v>
      </c>
      <c r="G3" s="53" t="s">
        <v>271</v>
      </c>
      <c r="H3" s="53" t="s">
        <v>335</v>
      </c>
      <c r="I3" s="53" t="s">
        <v>65</v>
      </c>
      <c r="J3" s="53" t="s">
        <v>65</v>
      </c>
      <c r="K3" s="53" t="s">
        <v>270</v>
      </c>
      <c r="L3" s="53" t="s">
        <v>336</v>
      </c>
      <c r="M3" s="53" t="s">
        <v>330</v>
      </c>
    </row>
    <row r="4" spans="1:13" x14ac:dyDescent="0.3">
      <c r="A4" s="53" t="s">
        <v>337</v>
      </c>
      <c r="B4" s="53" t="s">
        <v>338</v>
      </c>
      <c r="C4" s="53" t="s">
        <v>333</v>
      </c>
      <c r="D4" s="53" t="s">
        <v>339</v>
      </c>
      <c r="E4" s="53" t="s">
        <v>340</v>
      </c>
      <c r="F4" s="53" t="s">
        <v>341</v>
      </c>
      <c r="G4" s="53" t="s">
        <v>271</v>
      </c>
      <c r="H4" s="53" t="s">
        <v>335</v>
      </c>
      <c r="I4" s="53" t="s">
        <v>65</v>
      </c>
      <c r="J4" s="53" t="s">
        <v>65</v>
      </c>
      <c r="K4" s="53" t="s">
        <v>270</v>
      </c>
      <c r="L4" s="53" t="s">
        <v>336</v>
      </c>
      <c r="M4" s="53" t="s">
        <v>330</v>
      </c>
    </row>
    <row r="5" spans="1:13" x14ac:dyDescent="0.3">
      <c r="A5" s="53" t="s">
        <v>342</v>
      </c>
      <c r="B5" s="53" t="s">
        <v>343</v>
      </c>
      <c r="C5" s="53" t="s">
        <v>344</v>
      </c>
      <c r="D5" s="53" t="s">
        <v>333</v>
      </c>
      <c r="E5" s="53" t="s">
        <v>326</v>
      </c>
      <c r="F5" s="53" t="s">
        <v>327</v>
      </c>
      <c r="G5" s="53" t="s">
        <v>271</v>
      </c>
      <c r="H5" s="53" t="s">
        <v>345</v>
      </c>
      <c r="I5" s="53" t="s">
        <v>65</v>
      </c>
      <c r="J5" s="53" t="s">
        <v>65</v>
      </c>
      <c r="K5" s="53" t="s">
        <v>270</v>
      </c>
      <c r="L5" s="53" t="s">
        <v>336</v>
      </c>
      <c r="M5" s="53" t="s">
        <v>10</v>
      </c>
    </row>
    <row r="6" spans="1:13" x14ac:dyDescent="0.3">
      <c r="A6" s="53" t="s">
        <v>346</v>
      </c>
      <c r="B6" s="53" t="s">
        <v>343</v>
      </c>
      <c r="C6" s="53" t="s">
        <v>344</v>
      </c>
      <c r="D6" s="53" t="s">
        <v>333</v>
      </c>
      <c r="E6" s="53" t="s">
        <v>326</v>
      </c>
      <c r="F6" s="53" t="s">
        <v>65</v>
      </c>
      <c r="G6" s="53" t="s">
        <v>271</v>
      </c>
      <c r="H6" s="53" t="s">
        <v>345</v>
      </c>
      <c r="I6" s="53" t="s">
        <v>303</v>
      </c>
      <c r="J6" s="53" t="s">
        <v>327</v>
      </c>
      <c r="K6" s="53" t="s">
        <v>329</v>
      </c>
      <c r="L6" s="53" t="s">
        <v>287</v>
      </c>
      <c r="M6" s="53" t="s">
        <v>10</v>
      </c>
    </row>
    <row r="7" spans="1:13" x14ac:dyDescent="0.3">
      <c r="A7" s="53" t="s">
        <v>347</v>
      </c>
      <c r="B7" s="53" t="s">
        <v>348</v>
      </c>
      <c r="C7" s="53" t="s">
        <v>344</v>
      </c>
      <c r="D7" s="53" t="s">
        <v>349</v>
      </c>
      <c r="E7" s="53" t="s">
        <v>350</v>
      </c>
      <c r="F7" s="53" t="s">
        <v>65</v>
      </c>
      <c r="G7" s="53" t="s">
        <v>271</v>
      </c>
      <c r="H7" s="53" t="s">
        <v>345</v>
      </c>
      <c r="I7" s="53" t="s">
        <v>272</v>
      </c>
      <c r="J7" s="53" t="s">
        <v>351</v>
      </c>
      <c r="K7" s="53" t="s">
        <v>270</v>
      </c>
      <c r="L7" s="53" t="s">
        <v>336</v>
      </c>
      <c r="M7" s="53" t="s">
        <v>10</v>
      </c>
    </row>
    <row r="8" spans="1:13" x14ac:dyDescent="0.3">
      <c r="A8" s="53" t="s">
        <v>352</v>
      </c>
      <c r="B8" s="53" t="s">
        <v>353</v>
      </c>
      <c r="C8" s="53" t="s">
        <v>354</v>
      </c>
      <c r="D8" s="53" t="s">
        <v>355</v>
      </c>
      <c r="E8" s="53" t="s">
        <v>325</v>
      </c>
      <c r="F8" s="53" t="s">
        <v>65</v>
      </c>
      <c r="G8" s="53" t="s">
        <v>271</v>
      </c>
      <c r="H8" s="53" t="s">
        <v>326</v>
      </c>
      <c r="I8" s="53" t="s">
        <v>341</v>
      </c>
      <c r="J8" s="53" t="s">
        <v>335</v>
      </c>
      <c r="K8" s="53" t="s">
        <v>270</v>
      </c>
      <c r="L8" s="53" t="s">
        <v>336</v>
      </c>
      <c r="M8" s="53" t="s">
        <v>11</v>
      </c>
    </row>
    <row r="9" spans="1:13" x14ac:dyDescent="0.3">
      <c r="A9" s="53" t="s">
        <v>356</v>
      </c>
      <c r="B9" s="53" t="s">
        <v>357</v>
      </c>
      <c r="C9" s="53" t="s">
        <v>358</v>
      </c>
      <c r="D9" s="53" t="s">
        <v>359</v>
      </c>
      <c r="E9" s="53" t="s">
        <v>349</v>
      </c>
      <c r="F9" s="53" t="s">
        <v>65</v>
      </c>
      <c r="G9" s="53" t="s">
        <v>272</v>
      </c>
      <c r="H9" s="53" t="s">
        <v>360</v>
      </c>
      <c r="I9" s="53" t="s">
        <v>361</v>
      </c>
      <c r="J9" s="53" t="s">
        <v>362</v>
      </c>
      <c r="K9" s="53" t="s">
        <v>270</v>
      </c>
      <c r="L9" s="53" t="s">
        <v>336</v>
      </c>
      <c r="M9" s="53" t="s">
        <v>11</v>
      </c>
    </row>
    <row r="10" spans="1:13" x14ac:dyDescent="0.3">
      <c r="A10" s="53" t="s">
        <v>363</v>
      </c>
      <c r="B10" s="53" t="s">
        <v>364</v>
      </c>
      <c r="C10" s="53" t="s">
        <v>355</v>
      </c>
      <c r="D10" s="53" t="s">
        <v>365</v>
      </c>
      <c r="E10" s="53" t="s">
        <v>366</v>
      </c>
      <c r="F10" s="53" t="s">
        <v>65</v>
      </c>
      <c r="G10" s="53" t="s">
        <v>272</v>
      </c>
      <c r="H10" s="53" t="s">
        <v>367</v>
      </c>
      <c r="I10" s="53" t="s">
        <v>327</v>
      </c>
      <c r="J10" s="53" t="s">
        <v>326</v>
      </c>
      <c r="K10" s="53" t="s">
        <v>270</v>
      </c>
      <c r="L10" s="53" t="s">
        <v>336</v>
      </c>
      <c r="M10" s="53" t="s">
        <v>11</v>
      </c>
    </row>
    <row r="11" spans="1:13" x14ac:dyDescent="0.3">
      <c r="A11" s="53" t="s">
        <v>368</v>
      </c>
      <c r="B11" s="53" t="s">
        <v>369</v>
      </c>
      <c r="C11" s="53" t="s">
        <v>370</v>
      </c>
      <c r="D11" s="53" t="s">
        <v>371</v>
      </c>
      <c r="E11" s="53" t="s">
        <v>370</v>
      </c>
      <c r="F11" s="53" t="s">
        <v>65</v>
      </c>
      <c r="G11" s="53" t="s">
        <v>341</v>
      </c>
      <c r="H11" s="53" t="s">
        <v>339</v>
      </c>
      <c r="I11" s="53" t="s">
        <v>328</v>
      </c>
      <c r="J11" s="53" t="s">
        <v>334</v>
      </c>
      <c r="K11" s="53" t="s">
        <v>303</v>
      </c>
      <c r="L11" s="53" t="s">
        <v>288</v>
      </c>
      <c r="M11" s="53" t="s">
        <v>302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136</v>
      </c>
      <c r="B1" s="38" t="s">
        <v>138</v>
      </c>
      <c r="C1" s="38" t="s">
        <v>103</v>
      </c>
      <c r="D1" s="38" t="s">
        <v>105</v>
      </c>
      <c r="E1" s="42" t="s">
        <v>235</v>
      </c>
      <c r="F1" s="38" t="s">
        <v>139</v>
      </c>
      <c r="G1" s="38" t="s">
        <v>108</v>
      </c>
      <c r="H1" s="38" t="s">
        <v>110</v>
      </c>
      <c r="I1" s="64" t="s">
        <v>112</v>
      </c>
    </row>
    <row r="2" spans="1:10" ht="16.8" thickBot="1" x14ac:dyDescent="0.35">
      <c r="A2" s="39" t="s">
        <v>137</v>
      </c>
      <c r="B2" s="39" t="s">
        <v>102</v>
      </c>
      <c r="C2" s="39" t="s">
        <v>104</v>
      </c>
      <c r="D2" s="39" t="s">
        <v>104</v>
      </c>
      <c r="E2" s="43"/>
      <c r="F2" s="39" t="s">
        <v>104</v>
      </c>
      <c r="G2" s="39" t="s">
        <v>109</v>
      </c>
      <c r="H2" s="39" t="s">
        <v>111</v>
      </c>
      <c r="I2" s="65"/>
    </row>
    <row r="3" spans="1:10" ht="16.8" thickBot="1" x14ac:dyDescent="0.35">
      <c r="A3" s="40" t="s">
        <v>116</v>
      </c>
      <c r="B3" s="40" t="s">
        <v>116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140</v>
      </c>
      <c r="B4" s="40" t="s">
        <v>140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115</v>
      </c>
    </row>
    <row r="5" spans="1:10" ht="16.8" thickBot="1" x14ac:dyDescent="0.35">
      <c r="A5" s="40" t="s">
        <v>141</v>
      </c>
      <c r="B5" s="40" t="s">
        <v>141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142</v>
      </c>
      <c r="B6" s="40" t="s">
        <v>142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115</v>
      </c>
    </row>
    <row r="7" spans="1:10" ht="16.8" thickBot="1" x14ac:dyDescent="0.35">
      <c r="A7" s="40" t="s">
        <v>119</v>
      </c>
      <c r="B7" s="40" t="s">
        <v>119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115</v>
      </c>
    </row>
    <row r="8" spans="1:10" ht="16.8" thickBot="1" x14ac:dyDescent="0.35">
      <c r="A8" s="40" t="s">
        <v>143</v>
      </c>
      <c r="B8" s="40" t="s">
        <v>144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115</v>
      </c>
    </row>
    <row r="9" spans="1:10" ht="16.8" thickBot="1" x14ac:dyDescent="0.35">
      <c r="A9" s="40" t="s">
        <v>145</v>
      </c>
      <c r="B9" s="40" t="s">
        <v>145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115</v>
      </c>
      <c r="J9" t="s">
        <v>276</v>
      </c>
    </row>
    <row r="10" spans="1:10" ht="16.8" thickBot="1" x14ac:dyDescent="0.35">
      <c r="A10" s="40" t="s">
        <v>146</v>
      </c>
      <c r="B10" s="40" t="s">
        <v>146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115</v>
      </c>
    </row>
    <row r="11" spans="1:10" ht="16.8" thickBot="1" x14ac:dyDescent="0.35">
      <c r="A11" s="40" t="s">
        <v>147</v>
      </c>
      <c r="B11" s="40" t="s">
        <v>148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149</v>
      </c>
      <c r="B12" s="40" t="s">
        <v>149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115</v>
      </c>
    </row>
    <row r="13" spans="1:10" ht="16.8" thickBot="1" x14ac:dyDescent="0.35">
      <c r="A13" s="40" t="s">
        <v>150</v>
      </c>
      <c r="B13" s="40" t="s">
        <v>151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150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115</v>
      </c>
    </row>
    <row r="15" spans="1:10" ht="16.8" thickBot="1" x14ac:dyDescent="0.35">
      <c r="A15" s="40" t="s">
        <v>152</v>
      </c>
      <c r="B15" s="40" t="s">
        <v>153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115</v>
      </c>
    </row>
    <row r="16" spans="1:10" ht="16.8" thickBot="1" x14ac:dyDescent="0.35">
      <c r="A16" s="40" t="s">
        <v>154</v>
      </c>
      <c r="B16" s="40" t="s">
        <v>154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115</v>
      </c>
    </row>
    <row r="17" spans="1:9" ht="16.8" thickBot="1" x14ac:dyDescent="0.35">
      <c r="A17" s="40"/>
      <c r="B17" s="40" t="s">
        <v>155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156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157</v>
      </c>
      <c r="B19" s="40" t="s">
        <v>157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115</v>
      </c>
    </row>
    <row r="20" spans="1:9" ht="16.8" thickBot="1" x14ac:dyDescent="0.35">
      <c r="A20" s="40" t="s">
        <v>158</v>
      </c>
      <c r="B20" s="40" t="s">
        <v>159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115</v>
      </c>
    </row>
    <row r="21" spans="1:9" ht="16.8" thickBot="1" x14ac:dyDescent="0.35">
      <c r="A21" s="40" t="s">
        <v>160</v>
      </c>
      <c r="B21" s="40" t="s">
        <v>161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160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115</v>
      </c>
    </row>
    <row r="23" spans="1:9" ht="16.8" thickBot="1" x14ac:dyDescent="0.35">
      <c r="A23" s="40"/>
      <c r="B23" s="40" t="s">
        <v>162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163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164</v>
      </c>
      <c r="B25" s="40" t="s">
        <v>165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164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115</v>
      </c>
    </row>
    <row r="27" spans="1:9" ht="16.8" thickBot="1" x14ac:dyDescent="0.35">
      <c r="A27" s="40" t="s">
        <v>166</v>
      </c>
      <c r="B27" s="40" t="s">
        <v>167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166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115</v>
      </c>
    </row>
    <row r="29" spans="1:9" ht="16.8" thickBot="1" x14ac:dyDescent="0.35">
      <c r="A29" s="40"/>
      <c r="B29" s="40" t="s">
        <v>166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168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169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170</v>
      </c>
      <c r="B32" s="40" t="s">
        <v>171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115</v>
      </c>
    </row>
    <row r="33" spans="1:9" ht="16.8" thickBot="1" x14ac:dyDescent="0.35">
      <c r="A33" s="40"/>
      <c r="B33" s="40" t="s">
        <v>172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173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174</v>
      </c>
      <c r="B35" s="40" t="s">
        <v>175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174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115</v>
      </c>
    </row>
    <row r="37" spans="1:9" ht="16.8" thickBot="1" x14ac:dyDescent="0.35">
      <c r="A37" s="40" t="s">
        <v>176</v>
      </c>
      <c r="B37" s="40" t="s">
        <v>177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178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115</v>
      </c>
    </row>
    <row r="39" spans="1:9" ht="16.8" thickBot="1" x14ac:dyDescent="0.35">
      <c r="A39" s="40" t="s">
        <v>179</v>
      </c>
      <c r="B39" s="40" t="s">
        <v>180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179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115</v>
      </c>
    </row>
    <row r="41" spans="1:9" ht="16.8" thickBot="1" x14ac:dyDescent="0.35">
      <c r="A41" s="40"/>
      <c r="B41" s="40" t="s">
        <v>181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182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183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184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185</v>
      </c>
      <c r="B45" s="40" t="s">
        <v>186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185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115</v>
      </c>
    </row>
    <row r="47" spans="1:9" ht="16.8" thickBot="1" x14ac:dyDescent="0.35">
      <c r="A47" s="40" t="s">
        <v>187</v>
      </c>
      <c r="B47" s="40" t="s">
        <v>188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189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115</v>
      </c>
    </row>
    <row r="49" spans="1:9" ht="16.8" thickBot="1" x14ac:dyDescent="0.35">
      <c r="A49" s="40" t="s">
        <v>190</v>
      </c>
      <c r="B49" s="40" t="s">
        <v>191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190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115</v>
      </c>
    </row>
    <row r="51" spans="1:9" ht="16.8" thickBot="1" x14ac:dyDescent="0.35">
      <c r="A51" s="40"/>
      <c r="B51" s="40" t="s">
        <v>192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193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194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195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196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197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198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199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200</v>
      </c>
      <c r="B59" s="40" t="s">
        <v>201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200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115</v>
      </c>
    </row>
    <row r="61" spans="1:9" ht="16.8" thickBot="1" x14ac:dyDescent="0.35">
      <c r="A61" s="40" t="s">
        <v>202</v>
      </c>
      <c r="B61" s="40" t="s">
        <v>203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204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115</v>
      </c>
    </row>
    <row r="63" spans="1:9" ht="16.8" thickBot="1" x14ac:dyDescent="0.35">
      <c r="A63" s="40" t="s">
        <v>205</v>
      </c>
      <c r="B63" s="40" t="s">
        <v>206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205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115</v>
      </c>
    </row>
    <row r="65" spans="1:9" ht="16.8" thickBot="1" x14ac:dyDescent="0.35">
      <c r="A65" s="40"/>
      <c r="B65" s="40" t="s">
        <v>207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208</v>
      </c>
      <c r="B66" s="40" t="s">
        <v>209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115</v>
      </c>
    </row>
    <row r="67" spans="1:9" ht="16.8" thickBot="1" x14ac:dyDescent="0.35">
      <c r="A67" s="40"/>
      <c r="B67" s="40" t="s">
        <v>210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115</v>
      </c>
    </row>
    <row r="68" spans="1:9" ht="16.8" thickBot="1" x14ac:dyDescent="0.35">
      <c r="A68" s="40" t="s">
        <v>211</v>
      </c>
      <c r="B68" s="40" t="s">
        <v>211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212</v>
      </c>
      <c r="B69" s="40" t="s">
        <v>213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212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214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215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216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217</v>
      </c>
      <c r="B74" s="40" t="s">
        <v>218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217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115</v>
      </c>
    </row>
    <row r="76" spans="1:9" ht="16.8" thickBot="1" x14ac:dyDescent="0.35">
      <c r="A76" s="40"/>
      <c r="B76" s="40" t="s">
        <v>219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220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221</v>
      </c>
      <c r="B78" s="40" t="s">
        <v>222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115</v>
      </c>
    </row>
    <row r="79" spans="1:9" ht="16.8" thickBot="1" x14ac:dyDescent="0.35">
      <c r="A79" s="40"/>
      <c r="B79" s="40" t="s">
        <v>223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115</v>
      </c>
    </row>
    <row r="80" spans="1:9" ht="16.8" thickBot="1" x14ac:dyDescent="0.35">
      <c r="A80" s="40"/>
      <c r="B80" s="40" t="s">
        <v>224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115</v>
      </c>
    </row>
    <row r="81" spans="1:9" ht="16.8" thickBot="1" x14ac:dyDescent="0.35">
      <c r="A81" s="40" t="s">
        <v>225</v>
      </c>
      <c r="B81" s="40" t="s">
        <v>226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115</v>
      </c>
    </row>
    <row r="82" spans="1:9" ht="16.8" thickBot="1" x14ac:dyDescent="0.35">
      <c r="A82" s="40"/>
      <c r="B82" s="40" t="s">
        <v>225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115</v>
      </c>
    </row>
    <row r="83" spans="1:9" ht="16.8" thickBot="1" x14ac:dyDescent="0.35">
      <c r="A83" s="40"/>
      <c r="B83" s="40" t="s">
        <v>227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228</v>
      </c>
      <c r="B84" s="40" t="s">
        <v>229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228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115</v>
      </c>
    </row>
    <row r="86" spans="1:9" ht="16.8" thickBot="1" x14ac:dyDescent="0.35">
      <c r="A86" s="40"/>
      <c r="B86" s="40" t="s">
        <v>230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231</v>
      </c>
      <c r="B87" s="40" t="s">
        <v>232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231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230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6" t="s">
        <v>89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7" t="s">
        <v>16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4" t="s">
        <v>102</v>
      </c>
      <c r="B1" s="38" t="s">
        <v>103</v>
      </c>
      <c r="C1" s="38" t="s">
        <v>105</v>
      </c>
      <c r="D1" s="42" t="s">
        <v>233</v>
      </c>
      <c r="E1" s="38" t="s">
        <v>106</v>
      </c>
      <c r="F1" s="38" t="s">
        <v>107</v>
      </c>
      <c r="G1" s="38" t="s">
        <v>108</v>
      </c>
      <c r="H1" s="38" t="s">
        <v>110</v>
      </c>
      <c r="I1" s="64" t="s">
        <v>112</v>
      </c>
    </row>
    <row r="2" spans="1:9" ht="16.8" thickBot="1" x14ac:dyDescent="0.35">
      <c r="A2" s="65"/>
      <c r="B2" s="39" t="s">
        <v>104</v>
      </c>
      <c r="C2" s="39" t="s">
        <v>104</v>
      </c>
      <c r="D2" s="39"/>
      <c r="E2" s="39" t="s">
        <v>104</v>
      </c>
      <c r="F2" s="39" t="s">
        <v>104</v>
      </c>
      <c r="G2" s="39" t="s">
        <v>109</v>
      </c>
      <c r="H2" s="39" t="s">
        <v>111</v>
      </c>
      <c r="I2" s="65"/>
    </row>
    <row r="3" spans="1:9" ht="16.8" thickBot="1" x14ac:dyDescent="0.35">
      <c r="A3" s="40" t="s">
        <v>234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113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114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115</v>
      </c>
    </row>
    <row r="6" spans="1:9" ht="16.8" thickBot="1" x14ac:dyDescent="0.35">
      <c r="A6" s="40" t="s">
        <v>116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115</v>
      </c>
    </row>
    <row r="7" spans="1:9" ht="16.8" thickBot="1" x14ac:dyDescent="0.35">
      <c r="A7" s="40" t="s">
        <v>117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115</v>
      </c>
    </row>
    <row r="8" spans="1:9" ht="16.8" thickBot="1" x14ac:dyDescent="0.35">
      <c r="A8" s="40" t="s">
        <v>118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119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115</v>
      </c>
    </row>
    <row r="10" spans="1:9" ht="16.8" thickBot="1" x14ac:dyDescent="0.35">
      <c r="A10" s="40" t="s">
        <v>119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120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120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120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121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115</v>
      </c>
    </row>
    <row r="15" spans="1:9" ht="16.8" thickBot="1" x14ac:dyDescent="0.35">
      <c r="A15" s="40" t="s">
        <v>121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121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122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122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122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123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124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115</v>
      </c>
    </row>
    <row r="22" spans="1:9" ht="16.8" thickBot="1" x14ac:dyDescent="0.35">
      <c r="A22" s="40" t="s">
        <v>124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124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125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115</v>
      </c>
    </row>
    <row r="25" spans="1:9" ht="16.8" thickBot="1" x14ac:dyDescent="0.35">
      <c r="A25" s="40" t="s">
        <v>125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125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126</v>
      </c>
      <c r="B27" s="40">
        <v>8</v>
      </c>
      <c r="C27" s="40">
        <v>12</v>
      </c>
      <c r="D27" s="40" t="str">
        <f t="shared" si="0"/>
        <v>230*80*8</v>
      </c>
      <c r="E27" s="40" t="s">
        <v>127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126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126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128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128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128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129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129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129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130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115</v>
      </c>
    </row>
    <row r="37" spans="1:9" ht="16.8" thickBot="1" x14ac:dyDescent="0.35">
      <c r="A37" s="40" t="s">
        <v>130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130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131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131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131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132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115</v>
      </c>
    </row>
    <row r="43" spans="1:9" ht="16.8" thickBot="1" x14ac:dyDescent="0.35">
      <c r="A43" s="40" t="s">
        <v>132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115</v>
      </c>
    </row>
    <row r="44" spans="1:9" ht="16.8" thickBot="1" x14ac:dyDescent="0.35">
      <c r="A44" s="40" t="s">
        <v>132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132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132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133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133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133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134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134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115</v>
      </c>
    </row>
    <row r="52" spans="1:9" ht="16.8" thickBot="1" x14ac:dyDescent="0.35">
      <c r="A52" s="40" t="s">
        <v>134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134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135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135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135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zoomScale="85" zoomScaleNormal="85" workbookViewId="0">
      <selection activeCell="E4" sqref="E4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301</v>
      </c>
      <c r="S1" s="56"/>
      <c r="U1" s="57" t="s">
        <v>999</v>
      </c>
      <c r="V1" s="56" t="s">
        <v>301</v>
      </c>
    </row>
    <row r="2" spans="1:25" x14ac:dyDescent="0.3">
      <c r="A2" s="56" t="s">
        <v>289</v>
      </c>
      <c r="S2" s="56"/>
      <c r="U2" s="57" t="s">
        <v>1000</v>
      </c>
      <c r="V2" s="56" t="s">
        <v>289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290</v>
      </c>
      <c r="S3" s="56"/>
      <c r="U3" s="57" t="s">
        <v>1001</v>
      </c>
      <c r="V3" s="56" t="s">
        <v>290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290</v>
      </c>
      <c r="E4" s="58"/>
      <c r="F4" s="68"/>
      <c r="G4" s="69"/>
      <c r="H4" s="69"/>
      <c r="S4" s="56"/>
      <c r="U4" s="57" t="s">
        <v>1002</v>
      </c>
      <c r="V4" s="56" t="s">
        <v>290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291</v>
      </c>
      <c r="S5" s="56"/>
      <c r="U5" s="57" t="s">
        <v>1003</v>
      </c>
      <c r="V5" s="56" t="s">
        <v>291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292</v>
      </c>
      <c r="S6" s="56"/>
      <c r="U6" s="57" t="s">
        <v>1004</v>
      </c>
      <c r="V6" s="56" t="s">
        <v>292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293</v>
      </c>
      <c r="S7" s="56"/>
      <c r="U7" s="57" t="s">
        <v>302</v>
      </c>
      <c r="V7" s="56" t="s">
        <v>293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294</v>
      </c>
      <c r="S8" s="56"/>
      <c r="U8" s="57" t="s">
        <v>1005</v>
      </c>
      <c r="V8" s="56" t="s">
        <v>294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295</v>
      </c>
      <c r="F9" s="59">
        <v>45429.720567129632</v>
      </c>
      <c r="S9" s="56"/>
      <c r="U9" s="57" t="s">
        <v>1006</v>
      </c>
      <c r="V9" s="56" t="s">
        <v>295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296</v>
      </c>
      <c r="S10" s="56"/>
      <c r="U10" s="57" t="s">
        <v>270</v>
      </c>
      <c r="V10" s="56" t="s">
        <v>296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286</v>
      </c>
      <c r="S11" s="56"/>
      <c r="U11" s="57" t="s">
        <v>1007</v>
      </c>
      <c r="V11" s="56" t="s">
        <v>286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297</v>
      </c>
      <c r="S12" s="56"/>
      <c r="U12" s="57" t="s">
        <v>1008</v>
      </c>
      <c r="V12" s="56" t="s">
        <v>297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298</v>
      </c>
      <c r="S13" s="56"/>
      <c r="U13" s="57" t="s">
        <v>303</v>
      </c>
      <c r="V13" s="56" t="s">
        <v>298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299</v>
      </c>
      <c r="S14" s="56"/>
      <c r="U14" s="57" t="s">
        <v>1009</v>
      </c>
      <c r="V14" s="56" t="s">
        <v>299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300</v>
      </c>
      <c r="S15" s="56"/>
      <c r="U15" s="57" t="s">
        <v>1010</v>
      </c>
      <c r="V15" s="56" t="s">
        <v>300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372</v>
      </c>
      <c r="S16" s="56"/>
      <c r="U16" s="57" t="s">
        <v>271</v>
      </c>
      <c r="V16" s="56" t="s">
        <v>372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373</v>
      </c>
      <c r="S17" s="56"/>
      <c r="U17" s="57" t="s">
        <v>1011</v>
      </c>
      <c r="V17" s="56" t="s">
        <v>373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374</v>
      </c>
      <c r="S18" s="56"/>
      <c r="U18" s="57" t="s">
        <v>1012</v>
      </c>
      <c r="V18" s="56" t="s">
        <v>374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375</v>
      </c>
      <c r="S19" s="56"/>
      <c r="U19" s="57" t="s">
        <v>272</v>
      </c>
      <c r="V19" s="56" t="s">
        <v>375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376</v>
      </c>
      <c r="S20" s="56"/>
      <c r="U20" s="57" t="s">
        <v>1013</v>
      </c>
      <c r="V20" s="56" t="s">
        <v>376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377</v>
      </c>
      <c r="S21" s="56"/>
      <c r="U21" s="57" t="s">
        <v>1014</v>
      </c>
      <c r="V21" s="56" t="s">
        <v>377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378</v>
      </c>
      <c r="S22" s="56"/>
      <c r="U22" s="57" t="s">
        <v>1015</v>
      </c>
      <c r="V22" s="56" t="s">
        <v>378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379</v>
      </c>
      <c r="U23" s="57" t="s">
        <v>1016</v>
      </c>
      <c r="V23" s="56" t="s">
        <v>379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379</v>
      </c>
      <c r="U24" s="57" t="s">
        <v>1017</v>
      </c>
      <c r="V24" s="56" t="s">
        <v>379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380</v>
      </c>
      <c r="U25" s="57" t="s">
        <v>1018</v>
      </c>
      <c r="V25" s="56" t="s">
        <v>380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381</v>
      </c>
      <c r="U26" s="57" t="s">
        <v>1019</v>
      </c>
      <c r="V26" s="56" t="s">
        <v>381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382</v>
      </c>
      <c r="U27" s="57" t="s">
        <v>1020</v>
      </c>
      <c r="V27" s="56" t="s">
        <v>382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382</v>
      </c>
      <c r="U28" s="57" t="s">
        <v>1021</v>
      </c>
      <c r="V28" s="56" t="s">
        <v>382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383</v>
      </c>
      <c r="U29" s="57" t="s">
        <v>1022</v>
      </c>
      <c r="V29" s="56" t="s">
        <v>383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384</v>
      </c>
      <c r="U30" s="57" t="s">
        <v>1023</v>
      </c>
      <c r="V30" s="56" t="s">
        <v>384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 t="s">
        <v>384</v>
      </c>
      <c r="U31" s="57" t="s">
        <v>1024</v>
      </c>
      <c r="V31" s="56" t="s">
        <v>384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 t="s">
        <v>384</v>
      </c>
      <c r="U32" s="57" t="s">
        <v>1025</v>
      </c>
      <c r="V32" s="56" t="s">
        <v>384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 t="s">
        <v>385</v>
      </c>
      <c r="U33" s="57" t="s">
        <v>1026</v>
      </c>
      <c r="V33" s="56" t="s">
        <v>385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 t="s">
        <v>386</v>
      </c>
      <c r="U34" s="57" t="s">
        <v>1027</v>
      </c>
      <c r="V34" s="56" t="s">
        <v>386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 t="s">
        <v>387</v>
      </c>
      <c r="U35" s="57" t="s">
        <v>1028</v>
      </c>
      <c r="V35" s="56" t="s">
        <v>387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387</v>
      </c>
      <c r="V36" s="56" t="s">
        <v>387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388</v>
      </c>
      <c r="V37" s="56" t="s">
        <v>388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388</v>
      </c>
      <c r="V38" s="56" t="s">
        <v>388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388</v>
      </c>
      <c r="V39" s="56" t="s">
        <v>388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389</v>
      </c>
      <c r="V40" s="56" t="s">
        <v>389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390</v>
      </c>
      <c r="V41" s="56" t="s">
        <v>390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391</v>
      </c>
      <c r="V42" s="56" t="s">
        <v>391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391</v>
      </c>
      <c r="V43" s="56" t="s">
        <v>391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392</v>
      </c>
      <c r="V44" s="56" t="s">
        <v>392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393</v>
      </c>
      <c r="V45" s="56" t="s">
        <v>393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393</v>
      </c>
      <c r="V46" s="56" t="s">
        <v>393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394</v>
      </c>
      <c r="V47" s="56" t="s">
        <v>394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394</v>
      </c>
      <c r="V48" s="56" t="s">
        <v>394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395</v>
      </c>
      <c r="V49" s="56" t="s">
        <v>395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396</v>
      </c>
      <c r="V50" s="56" t="s">
        <v>396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397</v>
      </c>
      <c r="V51" s="56" t="s">
        <v>397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398</v>
      </c>
      <c r="V52" s="56" t="s">
        <v>398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399</v>
      </c>
      <c r="V53" s="56" t="s">
        <v>399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400</v>
      </c>
      <c r="V54" s="56" t="s">
        <v>400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401</v>
      </c>
      <c r="V55" s="56" t="s">
        <v>401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402</v>
      </c>
      <c r="V56" s="56" t="s">
        <v>402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403</v>
      </c>
      <c r="V57" s="56" t="s">
        <v>403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404</v>
      </c>
      <c r="V58" s="56" t="s">
        <v>404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405</v>
      </c>
      <c r="V59" s="56" t="s">
        <v>405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406</v>
      </c>
      <c r="V60" s="56" t="s">
        <v>406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407</v>
      </c>
      <c r="V61" s="56" t="s">
        <v>407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408</v>
      </c>
      <c r="V62" s="56" t="s">
        <v>408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 t="s">
        <v>409</v>
      </c>
      <c r="V63" s="56" t="s">
        <v>409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 t="s">
        <v>410</v>
      </c>
      <c r="V64" s="56" t="s">
        <v>410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 t="s">
        <v>411</v>
      </c>
      <c r="V65" s="56" t="s">
        <v>411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 t="s">
        <v>412</v>
      </c>
      <c r="V66" s="56" t="s">
        <v>412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 t="s">
        <v>413</v>
      </c>
      <c r="V67" s="56" t="s">
        <v>413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 t="s">
        <v>414</v>
      </c>
      <c r="V68" s="56" t="s">
        <v>414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 t="s">
        <v>415</v>
      </c>
      <c r="V69" s="56" t="s">
        <v>415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 t="s">
        <v>415</v>
      </c>
      <c r="V70" s="56" t="s">
        <v>415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 t="s">
        <v>416</v>
      </c>
      <c r="V71" s="56" t="s">
        <v>416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 t="s">
        <v>417</v>
      </c>
      <c r="V72" s="56" t="s">
        <v>417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 t="s">
        <v>418</v>
      </c>
      <c r="V73" s="56" t="s">
        <v>418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 t="s">
        <v>419</v>
      </c>
      <c r="V74" s="56" t="s">
        <v>419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 t="s">
        <v>420</v>
      </c>
      <c r="V75" s="56" t="s">
        <v>420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 t="s">
        <v>421</v>
      </c>
      <c r="V76" s="56" t="s">
        <v>421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 t="s">
        <v>422</v>
      </c>
      <c r="V77" s="56" t="s">
        <v>422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 t="s">
        <v>423</v>
      </c>
      <c r="V78" s="56" t="s">
        <v>423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 t="s">
        <v>424</v>
      </c>
      <c r="V79" s="56" t="s">
        <v>424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 t="s">
        <v>425</v>
      </c>
      <c r="V80" s="56" t="s">
        <v>425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 t="s">
        <v>426</v>
      </c>
      <c r="V81" s="56" t="s">
        <v>426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 t="s">
        <v>427</v>
      </c>
      <c r="V82" s="56" t="s">
        <v>427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 t="s">
        <v>427</v>
      </c>
      <c r="V83" s="56" t="s">
        <v>427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 t="s">
        <v>427</v>
      </c>
      <c r="V84" s="56" t="s">
        <v>427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 t="s">
        <v>428</v>
      </c>
      <c r="V85" s="56" t="s">
        <v>428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 t="s">
        <v>429</v>
      </c>
      <c r="V86" s="56" t="s">
        <v>429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 t="s">
        <v>430</v>
      </c>
      <c r="V87" s="56" t="s">
        <v>430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 t="s">
        <v>431</v>
      </c>
      <c r="V88" s="56" t="s">
        <v>431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 t="s">
        <v>432</v>
      </c>
      <c r="V89" s="56" t="s">
        <v>432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 t="s">
        <v>433</v>
      </c>
      <c r="V90" s="56" t="s">
        <v>433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 t="s">
        <v>434</v>
      </c>
      <c r="V91" s="56" t="s">
        <v>434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 t="s">
        <v>435</v>
      </c>
      <c r="V92" s="56" t="s">
        <v>435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 t="s">
        <v>436</v>
      </c>
      <c r="V93" s="56" t="s">
        <v>436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 t="s">
        <v>437</v>
      </c>
      <c r="V94" s="56" t="s">
        <v>437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 t="s">
        <v>438</v>
      </c>
      <c r="V95" s="56" t="s">
        <v>438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 t="s">
        <v>439</v>
      </c>
      <c r="V96" s="56" t="s">
        <v>439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 t="s">
        <v>440</v>
      </c>
      <c r="V97" s="56" t="s">
        <v>440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 t="s">
        <v>441</v>
      </c>
      <c r="V98" s="56" t="s">
        <v>441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 t="s">
        <v>442</v>
      </c>
      <c r="V99" s="56" t="s">
        <v>442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 t="s">
        <v>443</v>
      </c>
      <c r="V100" s="56" t="s">
        <v>443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 t="s">
        <v>443</v>
      </c>
      <c r="V101" s="56" t="s">
        <v>443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 t="s">
        <v>444</v>
      </c>
      <c r="V102" s="56" t="s">
        <v>444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 t="s">
        <v>445</v>
      </c>
      <c r="V103" s="56" t="s">
        <v>445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 t="s">
        <v>446</v>
      </c>
      <c r="V104" s="56" t="s">
        <v>446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 t="s">
        <v>447</v>
      </c>
      <c r="V105" s="56" t="s">
        <v>447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 t="s">
        <v>448</v>
      </c>
      <c r="V106" s="56" t="s">
        <v>448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 t="s">
        <v>448</v>
      </c>
      <c r="V107" s="56" t="s">
        <v>448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 t="s">
        <v>449</v>
      </c>
      <c r="V108" s="56" t="s">
        <v>449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 t="s">
        <v>450</v>
      </c>
      <c r="V109" s="56" t="s">
        <v>450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 t="s">
        <v>451</v>
      </c>
      <c r="V110" s="56" t="s">
        <v>451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 t="s">
        <v>452</v>
      </c>
      <c r="V111" s="56" t="s">
        <v>452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 t="s">
        <v>453</v>
      </c>
      <c r="V112" s="56" t="s">
        <v>453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 t="s">
        <v>454</v>
      </c>
      <c r="V113" s="56" t="s">
        <v>454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 t="s">
        <v>455</v>
      </c>
      <c r="V114" s="56" t="s">
        <v>455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 t="s">
        <v>455</v>
      </c>
      <c r="V115" s="56" t="s">
        <v>455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 t="s">
        <v>456</v>
      </c>
      <c r="V116" s="56" t="s">
        <v>456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 t="s">
        <v>457</v>
      </c>
      <c r="V117" s="56" t="s">
        <v>457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 t="s">
        <v>458</v>
      </c>
      <c r="V118" s="56" t="s">
        <v>458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 t="s">
        <v>459</v>
      </c>
      <c r="V119" s="56" t="s">
        <v>459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 t="s">
        <v>460</v>
      </c>
      <c r="V120" s="56" t="s">
        <v>460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 t="s">
        <v>461</v>
      </c>
      <c r="V121" s="56" t="s">
        <v>461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 t="s">
        <v>461</v>
      </c>
      <c r="V122" s="56" t="s">
        <v>461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 t="s">
        <v>461</v>
      </c>
      <c r="V123" s="56" t="s">
        <v>461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 t="s">
        <v>461</v>
      </c>
      <c r="V124" s="56" t="s">
        <v>461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 t="s">
        <v>462</v>
      </c>
      <c r="V125" s="56" t="s">
        <v>462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 t="s">
        <v>462</v>
      </c>
      <c r="V126" s="56" t="s">
        <v>462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 t="s">
        <v>462</v>
      </c>
      <c r="V127" s="56" t="s">
        <v>462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 t="s">
        <v>462</v>
      </c>
      <c r="V128" s="56" t="s">
        <v>462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 t="s">
        <v>462</v>
      </c>
      <c r="V129" s="56" t="s">
        <v>462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 t="s">
        <v>462</v>
      </c>
      <c r="V130" s="56" t="s">
        <v>462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 t="s">
        <v>462</v>
      </c>
      <c r="V131" s="56" t="s">
        <v>462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 t="s">
        <v>463</v>
      </c>
      <c r="V132" s="56" t="s">
        <v>463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 t="s">
        <v>464</v>
      </c>
      <c r="V133" s="56" t="s">
        <v>464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 t="s">
        <v>464</v>
      </c>
      <c r="V134" s="56" t="s">
        <v>464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 t="s">
        <v>465</v>
      </c>
      <c r="V135" s="56" t="s">
        <v>465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 t="s">
        <v>465</v>
      </c>
      <c r="V136" s="56" t="s">
        <v>465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 t="s">
        <v>465</v>
      </c>
      <c r="V137" s="56" t="s">
        <v>465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 t="s">
        <v>466</v>
      </c>
      <c r="V138" s="56" t="s">
        <v>466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 t="s">
        <v>467</v>
      </c>
      <c r="V139" s="56" t="s">
        <v>467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 t="s">
        <v>467</v>
      </c>
      <c r="V140" s="56" t="s">
        <v>467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 t="s">
        <v>468</v>
      </c>
      <c r="V141" s="56" t="s">
        <v>468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 t="s">
        <v>469</v>
      </c>
      <c r="V142" s="56" t="s">
        <v>469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 t="s">
        <v>470</v>
      </c>
      <c r="V143" s="56" t="s">
        <v>470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 t="s">
        <v>470</v>
      </c>
      <c r="V144" s="56" t="s">
        <v>470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 t="s">
        <v>470</v>
      </c>
      <c r="V145" s="56" t="s">
        <v>470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 t="s">
        <v>471</v>
      </c>
      <c r="V146" s="56" t="s">
        <v>471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 t="s">
        <v>472</v>
      </c>
      <c r="V147" s="56" t="s">
        <v>472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 t="s">
        <v>473</v>
      </c>
      <c r="V148" s="56" t="s">
        <v>473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 t="s">
        <v>474</v>
      </c>
      <c r="V149" s="56" t="s">
        <v>474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 t="s">
        <v>475</v>
      </c>
      <c r="V150" s="56" t="s">
        <v>475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 t="s">
        <v>476</v>
      </c>
      <c r="V151" s="56" t="s">
        <v>476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 t="s">
        <v>477</v>
      </c>
      <c r="V152" s="56" t="s">
        <v>477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A153" s="55" t="s">
        <v>477</v>
      </c>
      <c r="V153" s="56" t="s">
        <v>477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A154" s="55" t="s">
        <v>477</v>
      </c>
      <c r="V154" s="56" t="s">
        <v>477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A155" s="55" t="s">
        <v>478</v>
      </c>
      <c r="V155" s="56" t="s">
        <v>478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A156" s="55" t="s">
        <v>479</v>
      </c>
      <c r="V156" s="56" t="s">
        <v>479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A157" s="55" t="s">
        <v>479</v>
      </c>
      <c r="V157" s="56" t="s">
        <v>479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A158" s="55" t="s">
        <v>479</v>
      </c>
      <c r="V158" s="56" t="s">
        <v>479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A159" s="55" t="s">
        <v>480</v>
      </c>
      <c r="V159" s="56" t="s">
        <v>480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A160" s="55" t="s">
        <v>480</v>
      </c>
      <c r="V160" s="56" t="s">
        <v>480</v>
      </c>
      <c r="W160" s="56" t="str">
        <f t="shared" si="4"/>
        <v>21</v>
      </c>
      <c r="Y160" s="55" t="e">
        <f t="shared" si="5"/>
        <v>#N/A</v>
      </c>
    </row>
    <row r="161" spans="1:25" x14ac:dyDescent="0.3">
      <c r="A161" s="55" t="s">
        <v>481</v>
      </c>
      <c r="V161" s="56" t="s">
        <v>481</v>
      </c>
      <c r="W161" s="56" t="str">
        <f t="shared" si="4"/>
        <v>21</v>
      </c>
      <c r="Y161" s="55" t="e">
        <f t="shared" si="5"/>
        <v>#N/A</v>
      </c>
    </row>
    <row r="162" spans="1:25" x14ac:dyDescent="0.3">
      <c r="A162" s="55" t="s">
        <v>481</v>
      </c>
      <c r="V162" s="56" t="s">
        <v>481</v>
      </c>
      <c r="W162" s="56" t="str">
        <f t="shared" si="4"/>
        <v>21</v>
      </c>
      <c r="Y162" s="55" t="e">
        <f t="shared" si="5"/>
        <v>#N/A</v>
      </c>
    </row>
    <row r="163" spans="1:25" x14ac:dyDescent="0.3">
      <c r="A163" s="55" t="s">
        <v>482</v>
      </c>
      <c r="V163" s="56" t="s">
        <v>482</v>
      </c>
      <c r="W163" s="56" t="str">
        <f t="shared" si="4"/>
        <v>21</v>
      </c>
      <c r="Y163" s="55" t="e">
        <f t="shared" si="5"/>
        <v>#N/A</v>
      </c>
    </row>
    <row r="164" spans="1:25" x14ac:dyDescent="0.3">
      <c r="A164" s="55" t="s">
        <v>483</v>
      </c>
      <c r="V164" s="56" t="s">
        <v>483</v>
      </c>
      <c r="W164" s="56" t="str">
        <f t="shared" si="4"/>
        <v>21</v>
      </c>
      <c r="Y164" s="55" t="e">
        <f t="shared" si="5"/>
        <v>#N/A</v>
      </c>
    </row>
    <row r="165" spans="1:25" x14ac:dyDescent="0.3">
      <c r="A165" s="55" t="s">
        <v>484</v>
      </c>
      <c r="V165" s="56" t="s">
        <v>484</v>
      </c>
      <c r="W165" s="56" t="str">
        <f t="shared" si="4"/>
        <v>21</v>
      </c>
      <c r="Y165" s="55" t="e">
        <f t="shared" si="5"/>
        <v>#N/A</v>
      </c>
    </row>
    <row r="166" spans="1:25" x14ac:dyDescent="0.3">
      <c r="A166" s="55" t="s">
        <v>484</v>
      </c>
      <c r="V166" s="56" t="s">
        <v>484</v>
      </c>
      <c r="W166" s="56" t="str">
        <f t="shared" si="4"/>
        <v>21</v>
      </c>
      <c r="Y166" s="55" t="e">
        <f t="shared" si="5"/>
        <v>#N/A</v>
      </c>
    </row>
    <row r="167" spans="1:25" x14ac:dyDescent="0.3">
      <c r="A167" s="55" t="s">
        <v>485</v>
      </c>
      <c r="V167" s="56" t="s">
        <v>485</v>
      </c>
      <c r="W167" s="56" t="str">
        <f t="shared" si="4"/>
        <v>21</v>
      </c>
      <c r="Y167" s="55" t="e">
        <f t="shared" si="5"/>
        <v>#N/A</v>
      </c>
    </row>
    <row r="168" spans="1:25" x14ac:dyDescent="0.3">
      <c r="A168" s="55" t="s">
        <v>486</v>
      </c>
      <c r="V168" s="56" t="s">
        <v>486</v>
      </c>
      <c r="W168" s="56" t="str">
        <f t="shared" si="4"/>
        <v>21</v>
      </c>
      <c r="Y168" s="55" t="e">
        <f t="shared" si="5"/>
        <v>#N/A</v>
      </c>
    </row>
    <row r="169" spans="1:25" x14ac:dyDescent="0.3">
      <c r="A169" s="55" t="s">
        <v>486</v>
      </c>
      <c r="V169" s="56" t="s">
        <v>486</v>
      </c>
      <c r="W169" s="56" t="str">
        <f t="shared" si="4"/>
        <v>21</v>
      </c>
      <c r="Y169" s="55" t="e">
        <f t="shared" si="5"/>
        <v>#N/A</v>
      </c>
    </row>
    <row r="170" spans="1:25" x14ac:dyDescent="0.3">
      <c r="A170" s="55" t="s">
        <v>487</v>
      </c>
      <c r="V170" s="56" t="s">
        <v>487</v>
      </c>
      <c r="W170" s="56" t="str">
        <f t="shared" si="4"/>
        <v>21</v>
      </c>
      <c r="Y170" s="55" t="e">
        <f t="shared" si="5"/>
        <v>#N/A</v>
      </c>
    </row>
    <row r="171" spans="1:25" x14ac:dyDescent="0.3">
      <c r="A171" s="55" t="s">
        <v>488</v>
      </c>
      <c r="V171" s="56" t="s">
        <v>488</v>
      </c>
      <c r="W171" s="56" t="str">
        <f t="shared" si="4"/>
        <v>21</v>
      </c>
      <c r="Y171" s="55" t="e">
        <f t="shared" si="5"/>
        <v>#N/A</v>
      </c>
    </row>
    <row r="172" spans="1:25" x14ac:dyDescent="0.3">
      <c r="A172" s="55" t="s">
        <v>489</v>
      </c>
      <c r="V172" s="56" t="s">
        <v>489</v>
      </c>
      <c r="W172" s="56" t="str">
        <f t="shared" si="4"/>
        <v>21</v>
      </c>
      <c r="Y172" s="55" t="e">
        <f t="shared" si="5"/>
        <v>#N/A</v>
      </c>
    </row>
    <row r="173" spans="1:25" x14ac:dyDescent="0.3">
      <c r="A173" s="55" t="s">
        <v>490</v>
      </c>
      <c r="V173" s="56" t="s">
        <v>490</v>
      </c>
      <c r="W173" s="56" t="str">
        <f t="shared" si="4"/>
        <v>21</v>
      </c>
      <c r="Y173" s="55" t="e">
        <f t="shared" si="5"/>
        <v>#N/A</v>
      </c>
    </row>
    <row r="174" spans="1:25" x14ac:dyDescent="0.3">
      <c r="A174" s="55" t="s">
        <v>491</v>
      </c>
      <c r="V174" s="56" t="s">
        <v>491</v>
      </c>
      <c r="W174" s="56" t="str">
        <f t="shared" si="4"/>
        <v>21</v>
      </c>
      <c r="Y174" s="55" t="e">
        <f t="shared" si="5"/>
        <v>#N/A</v>
      </c>
    </row>
    <row r="175" spans="1:25" x14ac:dyDescent="0.3">
      <c r="A175" s="55" t="s">
        <v>491</v>
      </c>
      <c r="V175" s="56" t="s">
        <v>491</v>
      </c>
      <c r="W175" s="56" t="str">
        <f t="shared" si="4"/>
        <v>21</v>
      </c>
      <c r="Y175" s="55" t="e">
        <f t="shared" si="5"/>
        <v>#N/A</v>
      </c>
    </row>
    <row r="176" spans="1:25" x14ac:dyDescent="0.3">
      <c r="A176" s="55" t="s">
        <v>492</v>
      </c>
      <c r="V176" s="56" t="s">
        <v>492</v>
      </c>
      <c r="W176" s="56" t="str">
        <f t="shared" si="4"/>
        <v>21</v>
      </c>
      <c r="Y176" s="55" t="e">
        <f t="shared" si="5"/>
        <v>#N/A</v>
      </c>
    </row>
    <row r="177" spans="1:25" x14ac:dyDescent="0.3">
      <c r="A177" s="55" t="s">
        <v>493</v>
      </c>
      <c r="V177" s="56" t="s">
        <v>493</v>
      </c>
      <c r="W177" s="56" t="str">
        <f t="shared" si="4"/>
        <v>21</v>
      </c>
      <c r="Y177" s="55" t="e">
        <f t="shared" si="5"/>
        <v>#N/A</v>
      </c>
    </row>
    <row r="178" spans="1:25" x14ac:dyDescent="0.3">
      <c r="A178" s="55" t="s">
        <v>493</v>
      </c>
      <c r="V178" s="56" t="s">
        <v>493</v>
      </c>
      <c r="W178" s="56" t="str">
        <f t="shared" si="4"/>
        <v>21</v>
      </c>
      <c r="Y178" s="55" t="e">
        <f t="shared" si="5"/>
        <v>#N/A</v>
      </c>
    </row>
    <row r="179" spans="1:25" x14ac:dyDescent="0.3">
      <c r="A179" s="55" t="s">
        <v>493</v>
      </c>
      <c r="V179" s="56" t="s">
        <v>493</v>
      </c>
      <c r="W179" s="56" t="str">
        <f t="shared" si="4"/>
        <v>21</v>
      </c>
      <c r="Y179" s="55" t="e">
        <f t="shared" si="5"/>
        <v>#N/A</v>
      </c>
    </row>
    <row r="180" spans="1:25" x14ac:dyDescent="0.3">
      <c r="A180" s="55" t="s">
        <v>494</v>
      </c>
      <c r="V180" s="56" t="s">
        <v>494</v>
      </c>
      <c r="W180" s="56" t="str">
        <f t="shared" si="4"/>
        <v>21</v>
      </c>
      <c r="Y180" s="55" t="e">
        <f t="shared" si="5"/>
        <v>#N/A</v>
      </c>
    </row>
    <row r="181" spans="1:25" x14ac:dyDescent="0.3">
      <c r="A181" s="55" t="s">
        <v>494</v>
      </c>
      <c r="V181" s="56" t="s">
        <v>494</v>
      </c>
      <c r="W181" s="56" t="str">
        <f t="shared" si="4"/>
        <v>21</v>
      </c>
      <c r="Y181" s="55" t="e">
        <f t="shared" si="5"/>
        <v>#N/A</v>
      </c>
    </row>
    <row r="182" spans="1:25" x14ac:dyDescent="0.3">
      <c r="A182" s="55" t="s">
        <v>495</v>
      </c>
      <c r="V182" s="56" t="s">
        <v>495</v>
      </c>
      <c r="W182" s="56" t="str">
        <f t="shared" si="4"/>
        <v>21</v>
      </c>
      <c r="Y182" s="55" t="e">
        <f t="shared" si="5"/>
        <v>#N/A</v>
      </c>
    </row>
    <row r="183" spans="1:25" x14ac:dyDescent="0.3">
      <c r="A183" s="55" t="s">
        <v>496</v>
      </c>
      <c r="V183" s="56" t="s">
        <v>496</v>
      </c>
      <c r="W183" s="56" t="str">
        <f t="shared" si="4"/>
        <v>21</v>
      </c>
      <c r="Y183" s="55" t="e">
        <f t="shared" si="5"/>
        <v>#N/A</v>
      </c>
    </row>
    <row r="184" spans="1:25" x14ac:dyDescent="0.3">
      <c r="A184" s="55" t="s">
        <v>497</v>
      </c>
      <c r="V184" s="56" t="s">
        <v>497</v>
      </c>
      <c r="W184" s="56" t="str">
        <f t="shared" si="4"/>
        <v>21</v>
      </c>
      <c r="Y184" s="55" t="e">
        <f t="shared" si="5"/>
        <v>#N/A</v>
      </c>
    </row>
    <row r="185" spans="1:25" x14ac:dyDescent="0.3">
      <c r="A185" s="55" t="s">
        <v>498</v>
      </c>
      <c r="V185" s="56" t="s">
        <v>498</v>
      </c>
      <c r="W185" s="56" t="str">
        <f t="shared" si="4"/>
        <v>21</v>
      </c>
      <c r="Y185" s="55" t="e">
        <f t="shared" si="5"/>
        <v>#N/A</v>
      </c>
    </row>
    <row r="186" spans="1:25" x14ac:dyDescent="0.3">
      <c r="A186" s="55" t="s">
        <v>499</v>
      </c>
      <c r="V186" s="56" t="s">
        <v>499</v>
      </c>
      <c r="W186" s="56" t="str">
        <f t="shared" si="4"/>
        <v>21</v>
      </c>
      <c r="Y186" s="55" t="e">
        <f t="shared" si="5"/>
        <v>#N/A</v>
      </c>
    </row>
    <row r="187" spans="1:25" x14ac:dyDescent="0.3">
      <c r="A187" s="55" t="s">
        <v>499</v>
      </c>
      <c r="V187" s="56" t="s">
        <v>499</v>
      </c>
      <c r="W187" s="56" t="str">
        <f t="shared" si="4"/>
        <v>21</v>
      </c>
      <c r="Y187" s="55" t="e">
        <f t="shared" si="5"/>
        <v>#N/A</v>
      </c>
    </row>
    <row r="188" spans="1:25" x14ac:dyDescent="0.3">
      <c r="A188" s="55" t="s">
        <v>499</v>
      </c>
      <c r="V188" s="56" t="s">
        <v>499</v>
      </c>
      <c r="W188" s="56" t="str">
        <f t="shared" si="4"/>
        <v>21</v>
      </c>
      <c r="Y188" s="55" t="e">
        <f t="shared" si="5"/>
        <v>#N/A</v>
      </c>
    </row>
    <row r="189" spans="1:25" x14ac:dyDescent="0.3">
      <c r="A189" s="55" t="s">
        <v>500</v>
      </c>
      <c r="V189" s="56" t="s">
        <v>500</v>
      </c>
      <c r="W189" s="56" t="str">
        <f t="shared" si="4"/>
        <v>21</v>
      </c>
      <c r="Y189" s="55" t="e">
        <f t="shared" si="5"/>
        <v>#N/A</v>
      </c>
    </row>
    <row r="190" spans="1:25" x14ac:dyDescent="0.3">
      <c r="A190" s="55" t="s">
        <v>500</v>
      </c>
      <c r="V190" s="56" t="s">
        <v>500</v>
      </c>
      <c r="W190" s="56" t="str">
        <f t="shared" si="4"/>
        <v>21</v>
      </c>
      <c r="Y190" s="55" t="e">
        <f t="shared" si="5"/>
        <v>#N/A</v>
      </c>
    </row>
    <row r="191" spans="1:25" x14ac:dyDescent="0.3">
      <c r="A191" s="55" t="s">
        <v>501</v>
      </c>
      <c r="V191" s="56" t="s">
        <v>501</v>
      </c>
      <c r="W191" s="56" t="str">
        <f t="shared" si="4"/>
        <v>21</v>
      </c>
      <c r="Y191" s="55" t="e">
        <f t="shared" si="5"/>
        <v>#N/A</v>
      </c>
    </row>
    <row r="192" spans="1:25" x14ac:dyDescent="0.3">
      <c r="A192" s="55" t="s">
        <v>501</v>
      </c>
      <c r="V192" s="56" t="s">
        <v>501</v>
      </c>
      <c r="W192" s="56" t="str">
        <f t="shared" si="4"/>
        <v>21</v>
      </c>
      <c r="Y192" s="55" t="e">
        <f t="shared" si="5"/>
        <v>#N/A</v>
      </c>
    </row>
    <row r="193" spans="1:25" x14ac:dyDescent="0.3">
      <c r="A193" s="55" t="s">
        <v>502</v>
      </c>
      <c r="V193" s="56" t="s">
        <v>502</v>
      </c>
      <c r="W193" s="56" t="str">
        <f t="shared" si="4"/>
        <v>21</v>
      </c>
      <c r="Y193" s="55" t="e">
        <f t="shared" si="5"/>
        <v>#N/A</v>
      </c>
    </row>
    <row r="194" spans="1:25" x14ac:dyDescent="0.3">
      <c r="A194" s="55" t="s">
        <v>502</v>
      </c>
      <c r="V194" s="56" t="s">
        <v>502</v>
      </c>
      <c r="W194" s="56" t="str">
        <f t="shared" si="4"/>
        <v>21</v>
      </c>
      <c r="Y194" s="55" t="e">
        <f t="shared" si="5"/>
        <v>#N/A</v>
      </c>
    </row>
    <row r="195" spans="1:25" x14ac:dyDescent="0.3">
      <c r="A195" s="55" t="s">
        <v>502</v>
      </c>
      <c r="V195" s="56" t="s">
        <v>502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1:25" x14ac:dyDescent="0.3">
      <c r="A196" s="55" t="s">
        <v>503</v>
      </c>
      <c r="V196" s="56" t="s">
        <v>503</v>
      </c>
      <c r="W196" s="56" t="str">
        <f t="shared" si="6"/>
        <v>21</v>
      </c>
      <c r="Y196" s="55" t="e">
        <f t="shared" si="7"/>
        <v>#N/A</v>
      </c>
    </row>
    <row r="197" spans="1:25" x14ac:dyDescent="0.3">
      <c r="A197" s="55" t="s">
        <v>504</v>
      </c>
      <c r="V197" s="56" t="s">
        <v>504</v>
      </c>
      <c r="W197" s="56" t="str">
        <f t="shared" si="6"/>
        <v>21</v>
      </c>
      <c r="Y197" s="55" t="e">
        <f t="shared" si="7"/>
        <v>#N/A</v>
      </c>
    </row>
    <row r="198" spans="1:25" x14ac:dyDescent="0.3">
      <c r="A198" s="55" t="s">
        <v>505</v>
      </c>
      <c r="V198" s="56" t="s">
        <v>505</v>
      </c>
      <c r="W198" s="56" t="str">
        <f t="shared" si="6"/>
        <v>21</v>
      </c>
      <c r="Y198" s="55" t="e">
        <f t="shared" si="7"/>
        <v>#N/A</v>
      </c>
    </row>
    <row r="199" spans="1:25" x14ac:dyDescent="0.3">
      <c r="A199" s="55" t="s">
        <v>505</v>
      </c>
      <c r="V199" s="56" t="s">
        <v>505</v>
      </c>
      <c r="W199" s="56" t="str">
        <f t="shared" si="6"/>
        <v>21</v>
      </c>
      <c r="Y199" s="55" t="e">
        <f t="shared" si="7"/>
        <v>#N/A</v>
      </c>
    </row>
    <row r="200" spans="1:25" x14ac:dyDescent="0.3">
      <c r="A200" s="55" t="s">
        <v>506</v>
      </c>
      <c r="V200" s="56" t="s">
        <v>506</v>
      </c>
      <c r="W200" s="56" t="str">
        <f t="shared" si="6"/>
        <v>21</v>
      </c>
      <c r="Y200" s="55" t="e">
        <f t="shared" si="7"/>
        <v>#N/A</v>
      </c>
    </row>
    <row r="201" spans="1:25" x14ac:dyDescent="0.3">
      <c r="A201" s="55" t="s">
        <v>506</v>
      </c>
      <c r="V201" s="56" t="s">
        <v>506</v>
      </c>
      <c r="W201" s="56" t="str">
        <f t="shared" si="6"/>
        <v>21</v>
      </c>
      <c r="Y201" s="55" t="e">
        <f t="shared" si="7"/>
        <v>#N/A</v>
      </c>
    </row>
    <row r="202" spans="1:25" x14ac:dyDescent="0.3">
      <c r="A202" s="55" t="s">
        <v>507</v>
      </c>
      <c r="V202" s="56" t="s">
        <v>507</v>
      </c>
      <c r="W202" s="56" t="str">
        <f t="shared" si="6"/>
        <v>21</v>
      </c>
      <c r="Y202" s="55" t="e">
        <f t="shared" si="7"/>
        <v>#N/A</v>
      </c>
    </row>
    <row r="203" spans="1:25" x14ac:dyDescent="0.3">
      <c r="A203" s="55" t="s">
        <v>508</v>
      </c>
      <c r="V203" s="56" t="s">
        <v>508</v>
      </c>
      <c r="W203" s="56" t="str">
        <f t="shared" si="6"/>
        <v>21</v>
      </c>
      <c r="Y203" s="55" t="e">
        <f t="shared" si="7"/>
        <v>#N/A</v>
      </c>
    </row>
    <row r="204" spans="1:25" x14ac:dyDescent="0.3">
      <c r="A204" s="55" t="s">
        <v>508</v>
      </c>
      <c r="V204" s="56" t="s">
        <v>508</v>
      </c>
      <c r="W204" s="56" t="str">
        <f t="shared" si="6"/>
        <v>21</v>
      </c>
      <c r="Y204" s="55" t="e">
        <f t="shared" si="7"/>
        <v>#N/A</v>
      </c>
    </row>
    <row r="205" spans="1:25" x14ac:dyDescent="0.3">
      <c r="A205" s="55" t="s">
        <v>509</v>
      </c>
      <c r="V205" s="56" t="s">
        <v>509</v>
      </c>
      <c r="W205" s="56" t="str">
        <f t="shared" si="6"/>
        <v>21</v>
      </c>
      <c r="Y205" s="55" t="e">
        <f t="shared" si="7"/>
        <v>#N/A</v>
      </c>
    </row>
    <row r="206" spans="1:25" x14ac:dyDescent="0.3">
      <c r="A206" s="55" t="s">
        <v>510</v>
      </c>
      <c r="V206" s="56" t="s">
        <v>510</v>
      </c>
      <c r="W206" s="56" t="str">
        <f t="shared" si="6"/>
        <v>21</v>
      </c>
      <c r="Y206" s="55" t="e">
        <f t="shared" si="7"/>
        <v>#N/A</v>
      </c>
    </row>
    <row r="207" spans="1:25" x14ac:dyDescent="0.3">
      <c r="A207" s="55" t="s">
        <v>511</v>
      </c>
      <c r="V207" s="56" t="s">
        <v>511</v>
      </c>
      <c r="W207" s="56" t="str">
        <f t="shared" si="6"/>
        <v>21</v>
      </c>
      <c r="Y207" s="55" t="e">
        <f t="shared" si="7"/>
        <v>#N/A</v>
      </c>
    </row>
    <row r="208" spans="1:25" x14ac:dyDescent="0.3">
      <c r="A208" s="55" t="s">
        <v>511</v>
      </c>
      <c r="V208" s="56" t="s">
        <v>511</v>
      </c>
      <c r="W208" s="56" t="str">
        <f t="shared" si="6"/>
        <v>21</v>
      </c>
      <c r="Y208" s="55" t="e">
        <f t="shared" si="7"/>
        <v>#N/A</v>
      </c>
    </row>
    <row r="209" spans="1:25" x14ac:dyDescent="0.3">
      <c r="A209" s="55" t="s">
        <v>512</v>
      </c>
      <c r="V209" s="56" t="s">
        <v>512</v>
      </c>
      <c r="W209" s="56" t="str">
        <f t="shared" si="6"/>
        <v>21</v>
      </c>
      <c r="Y209" s="55" t="e">
        <f t="shared" si="7"/>
        <v>#N/A</v>
      </c>
    </row>
    <row r="210" spans="1:25" x14ac:dyDescent="0.3">
      <c r="A210" s="55" t="s">
        <v>513</v>
      </c>
      <c r="V210" s="56" t="s">
        <v>513</v>
      </c>
      <c r="W210" s="56" t="str">
        <f t="shared" si="6"/>
        <v>21</v>
      </c>
      <c r="Y210" s="55" t="e">
        <f t="shared" si="7"/>
        <v>#N/A</v>
      </c>
    </row>
    <row r="211" spans="1:25" x14ac:dyDescent="0.3">
      <c r="A211" s="55" t="s">
        <v>514</v>
      </c>
      <c r="V211" s="56" t="s">
        <v>514</v>
      </c>
      <c r="W211" s="56" t="str">
        <f t="shared" si="6"/>
        <v>22</v>
      </c>
      <c r="Y211" s="55" t="e">
        <f t="shared" si="7"/>
        <v>#N/A</v>
      </c>
    </row>
    <row r="212" spans="1:25" x14ac:dyDescent="0.3">
      <c r="A212" s="55" t="s">
        <v>515</v>
      </c>
      <c r="V212" s="56" t="s">
        <v>515</v>
      </c>
      <c r="W212" s="56" t="str">
        <f t="shared" si="6"/>
        <v>22</v>
      </c>
      <c r="Y212" s="55" t="e">
        <f t="shared" si="7"/>
        <v>#N/A</v>
      </c>
    </row>
    <row r="213" spans="1:25" x14ac:dyDescent="0.3">
      <c r="A213" s="55" t="s">
        <v>515</v>
      </c>
      <c r="V213" s="56" t="s">
        <v>515</v>
      </c>
      <c r="W213" s="56" t="str">
        <f t="shared" si="6"/>
        <v>22</v>
      </c>
      <c r="Y213" s="55" t="e">
        <f t="shared" si="7"/>
        <v>#N/A</v>
      </c>
    </row>
    <row r="214" spans="1:25" x14ac:dyDescent="0.3">
      <c r="A214" s="55" t="s">
        <v>515</v>
      </c>
      <c r="V214" s="56" t="s">
        <v>515</v>
      </c>
      <c r="W214" s="56" t="str">
        <f t="shared" si="6"/>
        <v>22</v>
      </c>
      <c r="Y214" s="55" t="e">
        <f t="shared" si="7"/>
        <v>#N/A</v>
      </c>
    </row>
    <row r="215" spans="1:25" x14ac:dyDescent="0.3">
      <c r="A215" s="55" t="s">
        <v>515</v>
      </c>
      <c r="V215" s="56" t="s">
        <v>515</v>
      </c>
      <c r="W215" s="56" t="str">
        <f t="shared" si="6"/>
        <v>22</v>
      </c>
      <c r="Y215" s="55" t="e">
        <f t="shared" si="7"/>
        <v>#N/A</v>
      </c>
    </row>
    <row r="216" spans="1:25" x14ac:dyDescent="0.3">
      <c r="A216" s="55" t="s">
        <v>516</v>
      </c>
      <c r="V216" s="56" t="s">
        <v>516</v>
      </c>
      <c r="W216" s="56" t="str">
        <f t="shared" si="6"/>
        <v>22</v>
      </c>
      <c r="Y216" s="55" t="e">
        <f t="shared" si="7"/>
        <v>#N/A</v>
      </c>
    </row>
    <row r="217" spans="1:25" x14ac:dyDescent="0.3">
      <c r="A217" s="55" t="s">
        <v>516</v>
      </c>
      <c r="V217" s="56" t="s">
        <v>516</v>
      </c>
      <c r="W217" s="56" t="str">
        <f t="shared" si="6"/>
        <v>22</v>
      </c>
      <c r="Y217" s="55" t="e">
        <f t="shared" si="7"/>
        <v>#N/A</v>
      </c>
    </row>
    <row r="218" spans="1:25" x14ac:dyDescent="0.3">
      <c r="A218" s="55" t="s">
        <v>516</v>
      </c>
      <c r="V218" s="56" t="s">
        <v>516</v>
      </c>
      <c r="W218" s="56" t="str">
        <f t="shared" si="6"/>
        <v>22</v>
      </c>
      <c r="Y218" s="55" t="e">
        <f t="shared" si="7"/>
        <v>#N/A</v>
      </c>
    </row>
    <row r="219" spans="1:25" x14ac:dyDescent="0.3">
      <c r="A219" s="55" t="s">
        <v>516</v>
      </c>
      <c r="V219" s="56" t="s">
        <v>516</v>
      </c>
      <c r="W219" s="56" t="str">
        <f t="shared" si="6"/>
        <v>22</v>
      </c>
      <c r="Y219" s="55" t="e">
        <f t="shared" si="7"/>
        <v>#N/A</v>
      </c>
    </row>
    <row r="220" spans="1:25" x14ac:dyDescent="0.3">
      <c r="A220" s="55" t="s">
        <v>517</v>
      </c>
      <c r="V220" s="56" t="s">
        <v>517</v>
      </c>
      <c r="W220" s="56" t="str">
        <f t="shared" si="6"/>
        <v>22</v>
      </c>
      <c r="Y220" s="55" t="e">
        <f t="shared" si="7"/>
        <v>#N/A</v>
      </c>
    </row>
    <row r="221" spans="1:25" x14ac:dyDescent="0.3">
      <c r="A221" s="55" t="s">
        <v>517</v>
      </c>
      <c r="V221" s="56" t="s">
        <v>517</v>
      </c>
      <c r="W221" s="56" t="str">
        <f t="shared" si="6"/>
        <v>22</v>
      </c>
      <c r="Y221" s="55" t="e">
        <f t="shared" si="7"/>
        <v>#N/A</v>
      </c>
    </row>
    <row r="222" spans="1:25" x14ac:dyDescent="0.3">
      <c r="A222" s="55" t="s">
        <v>518</v>
      </c>
      <c r="V222" s="56" t="s">
        <v>518</v>
      </c>
      <c r="W222" s="56" t="str">
        <f t="shared" si="6"/>
        <v>22</v>
      </c>
      <c r="Y222" s="55" t="e">
        <f t="shared" si="7"/>
        <v>#N/A</v>
      </c>
    </row>
    <row r="223" spans="1:25" x14ac:dyDescent="0.3">
      <c r="A223" s="55" t="s">
        <v>518</v>
      </c>
      <c r="V223" s="56" t="s">
        <v>518</v>
      </c>
      <c r="W223" s="56" t="str">
        <f t="shared" si="6"/>
        <v>22</v>
      </c>
      <c r="Y223" s="55" t="e">
        <f t="shared" si="7"/>
        <v>#N/A</v>
      </c>
    </row>
    <row r="224" spans="1:25" x14ac:dyDescent="0.3">
      <c r="A224" s="55" t="s">
        <v>518</v>
      </c>
      <c r="V224" s="56" t="s">
        <v>518</v>
      </c>
      <c r="W224" s="56" t="str">
        <f t="shared" si="6"/>
        <v>22</v>
      </c>
      <c r="Y224" s="55" t="e">
        <f t="shared" si="7"/>
        <v>#N/A</v>
      </c>
    </row>
    <row r="225" spans="1:25" x14ac:dyDescent="0.3">
      <c r="A225" s="55" t="s">
        <v>519</v>
      </c>
      <c r="V225" s="56" t="s">
        <v>519</v>
      </c>
      <c r="W225" s="56" t="str">
        <f t="shared" si="6"/>
        <v>22</v>
      </c>
      <c r="Y225" s="55" t="e">
        <f t="shared" si="7"/>
        <v>#N/A</v>
      </c>
    </row>
    <row r="226" spans="1:25" x14ac:dyDescent="0.3">
      <c r="A226" s="55" t="s">
        <v>519</v>
      </c>
      <c r="V226" s="56" t="s">
        <v>519</v>
      </c>
      <c r="W226" s="56" t="str">
        <f t="shared" si="6"/>
        <v>22</v>
      </c>
      <c r="Y226" s="55" t="e">
        <f t="shared" si="7"/>
        <v>#N/A</v>
      </c>
    </row>
    <row r="227" spans="1:25" x14ac:dyDescent="0.3">
      <c r="A227" s="55" t="s">
        <v>520</v>
      </c>
      <c r="V227" s="56" t="s">
        <v>520</v>
      </c>
      <c r="W227" s="56" t="str">
        <f t="shared" si="6"/>
        <v>22</v>
      </c>
      <c r="Y227" s="55" t="e">
        <f t="shared" si="7"/>
        <v>#N/A</v>
      </c>
    </row>
    <row r="228" spans="1:25" x14ac:dyDescent="0.3">
      <c r="A228" s="55" t="s">
        <v>521</v>
      </c>
      <c r="V228" s="56" t="s">
        <v>521</v>
      </c>
      <c r="W228" s="56" t="str">
        <f t="shared" si="6"/>
        <v>22</v>
      </c>
      <c r="Y228" s="55" t="e">
        <f t="shared" si="7"/>
        <v>#N/A</v>
      </c>
    </row>
    <row r="229" spans="1:25" x14ac:dyDescent="0.3">
      <c r="A229" s="55" t="s">
        <v>522</v>
      </c>
      <c r="V229" s="56" t="s">
        <v>522</v>
      </c>
      <c r="W229" s="56" t="str">
        <f t="shared" si="6"/>
        <v>22</v>
      </c>
      <c r="Y229" s="55" t="e">
        <f t="shared" si="7"/>
        <v>#N/A</v>
      </c>
    </row>
    <row r="230" spans="1:25" x14ac:dyDescent="0.3">
      <c r="A230" s="55" t="s">
        <v>522</v>
      </c>
      <c r="V230" s="56" t="s">
        <v>522</v>
      </c>
      <c r="W230" s="56" t="str">
        <f t="shared" si="6"/>
        <v>22</v>
      </c>
      <c r="Y230" s="55" t="e">
        <f t="shared" si="7"/>
        <v>#N/A</v>
      </c>
    </row>
    <row r="231" spans="1:25" x14ac:dyDescent="0.3">
      <c r="A231" s="55" t="s">
        <v>522</v>
      </c>
      <c r="V231" s="56" t="s">
        <v>522</v>
      </c>
      <c r="W231" s="56" t="str">
        <f t="shared" si="6"/>
        <v>22</v>
      </c>
      <c r="Y231" s="55" t="e">
        <f t="shared" si="7"/>
        <v>#N/A</v>
      </c>
    </row>
    <row r="232" spans="1:25" x14ac:dyDescent="0.3">
      <c r="A232" s="55" t="s">
        <v>523</v>
      </c>
      <c r="V232" s="56" t="s">
        <v>523</v>
      </c>
      <c r="W232" s="56" t="str">
        <f t="shared" si="6"/>
        <v>22</v>
      </c>
      <c r="Y232" s="55" t="e">
        <f t="shared" si="7"/>
        <v>#N/A</v>
      </c>
    </row>
    <row r="233" spans="1:25" x14ac:dyDescent="0.3">
      <c r="A233" s="55" t="s">
        <v>524</v>
      </c>
      <c r="V233" s="56" t="s">
        <v>524</v>
      </c>
      <c r="W233" s="56" t="str">
        <f t="shared" si="6"/>
        <v>22</v>
      </c>
      <c r="Y233" s="55" t="e">
        <f t="shared" si="7"/>
        <v>#N/A</v>
      </c>
    </row>
    <row r="234" spans="1:25" x14ac:dyDescent="0.3">
      <c r="A234" s="55" t="s">
        <v>524</v>
      </c>
      <c r="V234" s="56" t="s">
        <v>524</v>
      </c>
      <c r="W234" s="56" t="str">
        <f t="shared" si="6"/>
        <v>22</v>
      </c>
      <c r="Y234" s="55" t="e">
        <f t="shared" si="7"/>
        <v>#N/A</v>
      </c>
    </row>
    <row r="235" spans="1:25" x14ac:dyDescent="0.3">
      <c r="A235" s="55" t="s">
        <v>525</v>
      </c>
      <c r="V235" s="56" t="s">
        <v>525</v>
      </c>
      <c r="W235" s="56" t="str">
        <f t="shared" si="6"/>
        <v>22</v>
      </c>
      <c r="Y235" s="55" t="e">
        <f t="shared" si="7"/>
        <v>#N/A</v>
      </c>
    </row>
    <row r="236" spans="1:25" x14ac:dyDescent="0.3">
      <c r="A236" s="55" t="s">
        <v>526</v>
      </c>
      <c r="V236" s="56" t="s">
        <v>526</v>
      </c>
      <c r="W236" s="56" t="str">
        <f t="shared" si="6"/>
        <v>22</v>
      </c>
      <c r="Y236" s="55" t="e">
        <f t="shared" si="7"/>
        <v>#N/A</v>
      </c>
    </row>
    <row r="237" spans="1:25" x14ac:dyDescent="0.3">
      <c r="A237" s="55" t="s">
        <v>526</v>
      </c>
      <c r="V237" s="56" t="s">
        <v>526</v>
      </c>
      <c r="W237" s="56" t="str">
        <f t="shared" si="6"/>
        <v>22</v>
      </c>
      <c r="Y237" s="55" t="e">
        <f t="shared" si="7"/>
        <v>#N/A</v>
      </c>
    </row>
    <row r="238" spans="1:25" x14ac:dyDescent="0.3">
      <c r="A238" s="55" t="s">
        <v>527</v>
      </c>
      <c r="V238" s="56" t="s">
        <v>527</v>
      </c>
      <c r="W238" s="56" t="str">
        <f t="shared" si="6"/>
        <v>22</v>
      </c>
      <c r="Y238" s="55" t="e">
        <f t="shared" si="7"/>
        <v>#N/A</v>
      </c>
    </row>
    <row r="239" spans="1:25" x14ac:dyDescent="0.3">
      <c r="A239" s="55" t="s">
        <v>527</v>
      </c>
      <c r="V239" s="56" t="s">
        <v>527</v>
      </c>
      <c r="W239" s="56" t="str">
        <f t="shared" si="6"/>
        <v>22</v>
      </c>
      <c r="Y239" s="55" t="e">
        <f t="shared" si="7"/>
        <v>#N/A</v>
      </c>
    </row>
    <row r="240" spans="1:25" x14ac:dyDescent="0.3">
      <c r="A240" s="55" t="s">
        <v>528</v>
      </c>
      <c r="V240" s="56" t="s">
        <v>528</v>
      </c>
      <c r="W240" s="56" t="str">
        <f t="shared" si="6"/>
        <v>22</v>
      </c>
      <c r="Y240" s="55" t="e">
        <f t="shared" si="7"/>
        <v>#N/A</v>
      </c>
    </row>
    <row r="241" spans="1:25" x14ac:dyDescent="0.3">
      <c r="A241" s="55" t="s">
        <v>529</v>
      </c>
      <c r="V241" s="56" t="s">
        <v>529</v>
      </c>
      <c r="W241" s="56" t="str">
        <f t="shared" si="6"/>
        <v>22</v>
      </c>
      <c r="Y241" s="55" t="e">
        <f t="shared" si="7"/>
        <v>#N/A</v>
      </c>
    </row>
    <row r="242" spans="1:25" x14ac:dyDescent="0.3">
      <c r="A242" s="55" t="s">
        <v>530</v>
      </c>
      <c r="V242" s="56" t="s">
        <v>530</v>
      </c>
      <c r="W242" s="56" t="str">
        <f t="shared" si="6"/>
        <v>22</v>
      </c>
      <c r="Y242" s="55" t="e">
        <f t="shared" si="7"/>
        <v>#N/A</v>
      </c>
    </row>
    <row r="243" spans="1:25" x14ac:dyDescent="0.3">
      <c r="A243" s="55" t="s">
        <v>530</v>
      </c>
      <c r="V243" s="56" t="s">
        <v>530</v>
      </c>
      <c r="W243" s="56" t="str">
        <f t="shared" si="6"/>
        <v>22</v>
      </c>
      <c r="Y243" s="55" t="e">
        <f t="shared" si="7"/>
        <v>#N/A</v>
      </c>
    </row>
    <row r="244" spans="1:25" x14ac:dyDescent="0.3">
      <c r="A244" s="55" t="s">
        <v>531</v>
      </c>
      <c r="V244" s="56" t="s">
        <v>531</v>
      </c>
      <c r="W244" s="56" t="str">
        <f t="shared" si="6"/>
        <v>22</v>
      </c>
      <c r="Y244" s="55" t="e">
        <f t="shared" si="7"/>
        <v>#N/A</v>
      </c>
    </row>
    <row r="245" spans="1:25" x14ac:dyDescent="0.3">
      <c r="A245" s="55" t="s">
        <v>532</v>
      </c>
      <c r="V245" s="56" t="s">
        <v>532</v>
      </c>
      <c r="W245" s="56" t="str">
        <f t="shared" si="6"/>
        <v>22</v>
      </c>
      <c r="Y245" s="55" t="e">
        <f t="shared" si="7"/>
        <v>#N/A</v>
      </c>
    </row>
    <row r="246" spans="1:25" x14ac:dyDescent="0.3">
      <c r="A246" s="55" t="s">
        <v>532</v>
      </c>
      <c r="V246" s="56" t="s">
        <v>532</v>
      </c>
      <c r="W246" s="56" t="str">
        <f t="shared" si="6"/>
        <v>22</v>
      </c>
      <c r="Y246" s="55" t="e">
        <f t="shared" si="7"/>
        <v>#N/A</v>
      </c>
    </row>
    <row r="247" spans="1:25" x14ac:dyDescent="0.3">
      <c r="A247" s="55" t="s">
        <v>533</v>
      </c>
      <c r="V247" s="56" t="s">
        <v>533</v>
      </c>
      <c r="W247" s="56" t="str">
        <f t="shared" si="6"/>
        <v>23</v>
      </c>
      <c r="Y247" s="55" t="e">
        <f t="shared" si="7"/>
        <v>#N/A</v>
      </c>
    </row>
    <row r="248" spans="1:25" x14ac:dyDescent="0.3">
      <c r="A248" s="55" t="s">
        <v>534</v>
      </c>
      <c r="V248" s="56" t="s">
        <v>534</v>
      </c>
      <c r="W248" s="56" t="str">
        <f t="shared" si="6"/>
        <v>23</v>
      </c>
      <c r="Y248" s="55" t="e">
        <f t="shared" si="7"/>
        <v>#N/A</v>
      </c>
    </row>
    <row r="249" spans="1:25" x14ac:dyDescent="0.3">
      <c r="A249" s="55" t="s">
        <v>534</v>
      </c>
      <c r="V249" s="56" t="s">
        <v>534</v>
      </c>
      <c r="W249" s="56" t="str">
        <f t="shared" si="6"/>
        <v>23</v>
      </c>
      <c r="Y249" s="55" t="e">
        <f t="shared" si="7"/>
        <v>#N/A</v>
      </c>
    </row>
    <row r="250" spans="1:25" x14ac:dyDescent="0.3">
      <c r="A250" s="55" t="s">
        <v>535</v>
      </c>
      <c r="V250" s="56" t="s">
        <v>535</v>
      </c>
      <c r="W250" s="56" t="str">
        <f t="shared" si="6"/>
        <v>23</v>
      </c>
      <c r="Y250" s="55" t="e">
        <f t="shared" si="7"/>
        <v>#N/A</v>
      </c>
    </row>
    <row r="251" spans="1:25" x14ac:dyDescent="0.3">
      <c r="A251" s="55" t="s">
        <v>535</v>
      </c>
      <c r="V251" s="56" t="s">
        <v>535</v>
      </c>
      <c r="W251" s="56" t="str">
        <f t="shared" si="6"/>
        <v>23</v>
      </c>
      <c r="Y251" s="55" t="e">
        <f t="shared" si="7"/>
        <v>#N/A</v>
      </c>
    </row>
    <row r="252" spans="1:25" x14ac:dyDescent="0.3">
      <c r="A252" s="55" t="s">
        <v>536</v>
      </c>
      <c r="V252" s="56" t="s">
        <v>536</v>
      </c>
      <c r="W252" s="56" t="str">
        <f t="shared" si="6"/>
        <v>23</v>
      </c>
      <c r="Y252" s="55" t="e">
        <f t="shared" si="7"/>
        <v>#N/A</v>
      </c>
    </row>
    <row r="253" spans="1:25" x14ac:dyDescent="0.3">
      <c r="A253" s="55" t="s">
        <v>536</v>
      </c>
      <c r="V253" s="56" t="s">
        <v>536</v>
      </c>
      <c r="W253" s="56" t="str">
        <f t="shared" si="6"/>
        <v>23</v>
      </c>
      <c r="Y253" s="55" t="e">
        <f t="shared" si="7"/>
        <v>#N/A</v>
      </c>
    </row>
    <row r="254" spans="1:25" x14ac:dyDescent="0.3">
      <c r="A254" s="55" t="s">
        <v>536</v>
      </c>
      <c r="V254" s="56" t="s">
        <v>536</v>
      </c>
      <c r="W254" s="56" t="str">
        <f t="shared" si="6"/>
        <v>23</v>
      </c>
      <c r="Y254" s="55" t="e">
        <f t="shared" si="7"/>
        <v>#N/A</v>
      </c>
    </row>
    <row r="255" spans="1:25" x14ac:dyDescent="0.3">
      <c r="A255" s="55" t="s">
        <v>536</v>
      </c>
      <c r="V255" s="56" t="s">
        <v>536</v>
      </c>
      <c r="W255" s="56" t="str">
        <f t="shared" si="6"/>
        <v>23</v>
      </c>
      <c r="Y255" s="55" t="e">
        <f t="shared" si="7"/>
        <v>#N/A</v>
      </c>
    </row>
    <row r="256" spans="1:25" x14ac:dyDescent="0.3">
      <c r="A256" s="55" t="s">
        <v>536</v>
      </c>
      <c r="V256" s="56" t="s">
        <v>536</v>
      </c>
      <c r="W256" s="56" t="str">
        <f t="shared" si="6"/>
        <v>23</v>
      </c>
      <c r="Y256" s="55" t="e">
        <f t="shared" si="7"/>
        <v>#N/A</v>
      </c>
    </row>
    <row r="257" spans="1:25" x14ac:dyDescent="0.3">
      <c r="A257" s="55" t="s">
        <v>537</v>
      </c>
      <c r="V257" s="56" t="s">
        <v>537</v>
      </c>
      <c r="W257" s="56" t="str">
        <f t="shared" si="6"/>
        <v>23</v>
      </c>
      <c r="Y257" s="55" t="e">
        <f t="shared" si="7"/>
        <v>#N/A</v>
      </c>
    </row>
    <row r="258" spans="1:25" x14ac:dyDescent="0.3">
      <c r="A258" s="55" t="s">
        <v>537</v>
      </c>
      <c r="V258" s="56" t="s">
        <v>537</v>
      </c>
      <c r="W258" s="56" t="str">
        <f t="shared" si="6"/>
        <v>23</v>
      </c>
      <c r="Y258" s="55" t="e">
        <f t="shared" si="7"/>
        <v>#N/A</v>
      </c>
    </row>
    <row r="259" spans="1:25" x14ac:dyDescent="0.3">
      <c r="A259" s="55" t="s">
        <v>538</v>
      </c>
      <c r="V259" s="56" t="s">
        <v>538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1:25" x14ac:dyDescent="0.3">
      <c r="A260" s="55" t="s">
        <v>539</v>
      </c>
      <c r="V260" s="56" t="s">
        <v>539</v>
      </c>
      <c r="W260" s="56" t="str">
        <f t="shared" si="8"/>
        <v>23</v>
      </c>
      <c r="Y260" s="55" t="e">
        <f t="shared" si="9"/>
        <v>#N/A</v>
      </c>
    </row>
    <row r="261" spans="1:25" x14ac:dyDescent="0.3">
      <c r="A261" s="55" t="s">
        <v>539</v>
      </c>
      <c r="V261" s="56" t="s">
        <v>539</v>
      </c>
      <c r="W261" s="56" t="str">
        <f t="shared" si="8"/>
        <v>23</v>
      </c>
      <c r="Y261" s="55" t="e">
        <f t="shared" si="9"/>
        <v>#N/A</v>
      </c>
    </row>
    <row r="262" spans="1:25" x14ac:dyDescent="0.3">
      <c r="A262" s="55" t="s">
        <v>539</v>
      </c>
      <c r="V262" s="56" t="s">
        <v>539</v>
      </c>
      <c r="W262" s="56" t="str">
        <f t="shared" si="8"/>
        <v>23</v>
      </c>
      <c r="Y262" s="55" t="e">
        <f t="shared" si="9"/>
        <v>#N/A</v>
      </c>
    </row>
    <row r="263" spans="1:25" x14ac:dyDescent="0.3">
      <c r="A263" s="55" t="s">
        <v>540</v>
      </c>
      <c r="V263" s="56" t="s">
        <v>540</v>
      </c>
      <c r="W263" s="56" t="str">
        <f t="shared" si="8"/>
        <v>23</v>
      </c>
      <c r="Y263" s="55" t="e">
        <f t="shared" si="9"/>
        <v>#N/A</v>
      </c>
    </row>
    <row r="264" spans="1:25" x14ac:dyDescent="0.3">
      <c r="A264" s="55" t="s">
        <v>541</v>
      </c>
      <c r="V264" s="56" t="s">
        <v>541</v>
      </c>
      <c r="W264" s="56" t="str">
        <f t="shared" si="8"/>
        <v>23</v>
      </c>
      <c r="Y264" s="55" t="e">
        <f t="shared" si="9"/>
        <v>#N/A</v>
      </c>
    </row>
    <row r="265" spans="1:25" x14ac:dyDescent="0.3">
      <c r="A265" s="55" t="s">
        <v>541</v>
      </c>
      <c r="V265" s="56" t="s">
        <v>541</v>
      </c>
      <c r="W265" s="56" t="str">
        <f t="shared" si="8"/>
        <v>23</v>
      </c>
      <c r="Y265" s="55" t="e">
        <f t="shared" si="9"/>
        <v>#N/A</v>
      </c>
    </row>
    <row r="266" spans="1:25" x14ac:dyDescent="0.3">
      <c r="A266" s="55" t="s">
        <v>542</v>
      </c>
      <c r="V266" s="56" t="s">
        <v>542</v>
      </c>
      <c r="W266" s="56" t="str">
        <f t="shared" si="8"/>
        <v>23</v>
      </c>
      <c r="Y266" s="55" t="e">
        <f t="shared" si="9"/>
        <v>#N/A</v>
      </c>
    </row>
    <row r="267" spans="1:25" x14ac:dyDescent="0.3">
      <c r="A267" s="55" t="s">
        <v>543</v>
      </c>
      <c r="V267" s="56" t="s">
        <v>543</v>
      </c>
      <c r="W267" s="56" t="str">
        <f t="shared" si="8"/>
        <v>23</v>
      </c>
      <c r="Y267" s="55" t="e">
        <f t="shared" si="9"/>
        <v>#N/A</v>
      </c>
    </row>
    <row r="268" spans="1:25" x14ac:dyDescent="0.3">
      <c r="A268" s="55" t="s">
        <v>544</v>
      </c>
      <c r="V268" s="56" t="s">
        <v>544</v>
      </c>
      <c r="W268" s="56" t="str">
        <f t="shared" si="8"/>
        <v>23</v>
      </c>
      <c r="Y268" s="55" t="e">
        <f t="shared" si="9"/>
        <v>#N/A</v>
      </c>
    </row>
    <row r="269" spans="1:25" x14ac:dyDescent="0.3">
      <c r="A269" s="55" t="s">
        <v>545</v>
      </c>
      <c r="V269" s="56" t="s">
        <v>545</v>
      </c>
      <c r="W269" s="56" t="str">
        <f t="shared" si="8"/>
        <v>23</v>
      </c>
      <c r="Y269" s="55" t="e">
        <f t="shared" si="9"/>
        <v>#N/A</v>
      </c>
    </row>
    <row r="270" spans="1:25" x14ac:dyDescent="0.3">
      <c r="A270" s="55" t="s">
        <v>546</v>
      </c>
      <c r="V270" s="56" t="s">
        <v>546</v>
      </c>
      <c r="W270" s="56" t="str">
        <f t="shared" si="8"/>
        <v>23</v>
      </c>
      <c r="Y270" s="55" t="e">
        <f t="shared" si="9"/>
        <v>#N/A</v>
      </c>
    </row>
    <row r="271" spans="1:25" x14ac:dyDescent="0.3">
      <c r="A271" s="55" t="s">
        <v>547</v>
      </c>
      <c r="V271" s="56" t="s">
        <v>547</v>
      </c>
      <c r="W271" s="56" t="str">
        <f t="shared" si="8"/>
        <v>23</v>
      </c>
      <c r="Y271" s="55" t="e">
        <f t="shared" si="9"/>
        <v>#N/A</v>
      </c>
    </row>
    <row r="272" spans="1:25" x14ac:dyDescent="0.3">
      <c r="A272" s="55" t="s">
        <v>548</v>
      </c>
      <c r="V272" s="56" t="s">
        <v>548</v>
      </c>
      <c r="W272" s="56" t="str">
        <f t="shared" si="8"/>
        <v>23</v>
      </c>
      <c r="Y272" s="55" t="e">
        <f t="shared" si="9"/>
        <v>#N/A</v>
      </c>
    </row>
    <row r="273" spans="1:25" x14ac:dyDescent="0.3">
      <c r="A273" s="55" t="s">
        <v>548</v>
      </c>
      <c r="V273" s="56" t="s">
        <v>548</v>
      </c>
      <c r="W273" s="56" t="str">
        <f t="shared" si="8"/>
        <v>23</v>
      </c>
      <c r="Y273" s="55" t="e">
        <f t="shared" si="9"/>
        <v>#N/A</v>
      </c>
    </row>
    <row r="274" spans="1:25" x14ac:dyDescent="0.3">
      <c r="A274" s="55" t="s">
        <v>549</v>
      </c>
      <c r="V274" s="56" t="s">
        <v>549</v>
      </c>
      <c r="W274" s="56" t="str">
        <f t="shared" si="8"/>
        <v>23</v>
      </c>
      <c r="Y274" s="55" t="e">
        <f t="shared" si="9"/>
        <v>#N/A</v>
      </c>
    </row>
    <row r="275" spans="1:25" x14ac:dyDescent="0.3">
      <c r="A275" s="55" t="s">
        <v>550</v>
      </c>
      <c r="V275" s="56" t="s">
        <v>550</v>
      </c>
      <c r="W275" s="56" t="str">
        <f t="shared" si="8"/>
        <v>23</v>
      </c>
      <c r="Y275" s="55" t="e">
        <f t="shared" si="9"/>
        <v>#N/A</v>
      </c>
    </row>
    <row r="276" spans="1:25" x14ac:dyDescent="0.3">
      <c r="A276" s="55" t="s">
        <v>551</v>
      </c>
      <c r="V276" s="56" t="s">
        <v>551</v>
      </c>
      <c r="W276" s="56" t="str">
        <f t="shared" si="8"/>
        <v>23</v>
      </c>
      <c r="Y276" s="55" t="e">
        <f t="shared" si="9"/>
        <v>#N/A</v>
      </c>
    </row>
    <row r="277" spans="1:25" x14ac:dyDescent="0.3">
      <c r="A277" s="55" t="s">
        <v>552</v>
      </c>
      <c r="V277" s="56" t="s">
        <v>552</v>
      </c>
      <c r="W277" s="56" t="str">
        <f t="shared" si="8"/>
        <v>23</v>
      </c>
      <c r="Y277" s="55" t="e">
        <f t="shared" si="9"/>
        <v>#N/A</v>
      </c>
    </row>
    <row r="278" spans="1:25" x14ac:dyDescent="0.3">
      <c r="A278" s="55" t="s">
        <v>552</v>
      </c>
      <c r="V278" s="56" t="s">
        <v>552</v>
      </c>
      <c r="W278" s="56" t="str">
        <f t="shared" si="8"/>
        <v>23</v>
      </c>
      <c r="Y278" s="55" t="e">
        <f t="shared" si="9"/>
        <v>#N/A</v>
      </c>
    </row>
    <row r="279" spans="1:25" x14ac:dyDescent="0.3">
      <c r="A279" s="55" t="s">
        <v>553</v>
      </c>
      <c r="V279" s="56" t="s">
        <v>553</v>
      </c>
      <c r="W279" s="56" t="str">
        <f t="shared" si="8"/>
        <v>23</v>
      </c>
      <c r="Y279" s="55" t="e">
        <f t="shared" si="9"/>
        <v>#N/A</v>
      </c>
    </row>
    <row r="280" spans="1:25" x14ac:dyDescent="0.3">
      <c r="A280" s="55" t="s">
        <v>553</v>
      </c>
      <c r="V280" s="56" t="s">
        <v>553</v>
      </c>
      <c r="W280" s="56" t="str">
        <f t="shared" si="8"/>
        <v>23</v>
      </c>
      <c r="Y280" s="55" t="e">
        <f t="shared" si="9"/>
        <v>#N/A</v>
      </c>
    </row>
    <row r="281" spans="1:25" x14ac:dyDescent="0.3">
      <c r="A281" s="55" t="s">
        <v>553</v>
      </c>
      <c r="V281" s="56" t="s">
        <v>553</v>
      </c>
      <c r="W281" s="56" t="str">
        <f t="shared" si="8"/>
        <v>23</v>
      </c>
      <c r="Y281" s="55" t="e">
        <f t="shared" si="9"/>
        <v>#N/A</v>
      </c>
    </row>
    <row r="282" spans="1:25" x14ac:dyDescent="0.3">
      <c r="A282" s="55" t="s">
        <v>554</v>
      </c>
      <c r="V282" s="56" t="s">
        <v>554</v>
      </c>
      <c r="W282" s="56" t="str">
        <f t="shared" si="8"/>
        <v>23</v>
      </c>
      <c r="Y282" s="55" t="e">
        <f t="shared" si="9"/>
        <v>#N/A</v>
      </c>
    </row>
    <row r="283" spans="1:25" x14ac:dyDescent="0.3">
      <c r="A283" s="55" t="s">
        <v>554</v>
      </c>
      <c r="V283" s="56" t="s">
        <v>554</v>
      </c>
      <c r="W283" s="56" t="str">
        <f t="shared" si="8"/>
        <v>23</v>
      </c>
      <c r="Y283" s="55" t="e">
        <f t="shared" si="9"/>
        <v>#N/A</v>
      </c>
    </row>
    <row r="284" spans="1:25" x14ac:dyDescent="0.3">
      <c r="A284" s="55" t="s">
        <v>554</v>
      </c>
      <c r="V284" s="56" t="s">
        <v>554</v>
      </c>
      <c r="W284" s="56" t="str">
        <f t="shared" si="8"/>
        <v>23</v>
      </c>
      <c r="Y284" s="55" t="e">
        <f t="shared" si="9"/>
        <v>#N/A</v>
      </c>
    </row>
    <row r="285" spans="1:25" x14ac:dyDescent="0.3">
      <c r="A285" s="55" t="s">
        <v>554</v>
      </c>
      <c r="V285" s="56" t="s">
        <v>554</v>
      </c>
      <c r="W285" s="56" t="str">
        <f t="shared" si="8"/>
        <v>23</v>
      </c>
      <c r="Y285" s="55" t="e">
        <f t="shared" si="9"/>
        <v>#N/A</v>
      </c>
    </row>
    <row r="286" spans="1:25" x14ac:dyDescent="0.3">
      <c r="A286" s="55" t="s">
        <v>555</v>
      </c>
      <c r="V286" s="56" t="s">
        <v>555</v>
      </c>
      <c r="W286" s="56" t="str">
        <f t="shared" si="8"/>
        <v>23</v>
      </c>
      <c r="Y286" s="55" t="e">
        <f t="shared" si="9"/>
        <v>#N/A</v>
      </c>
    </row>
    <row r="287" spans="1:25" x14ac:dyDescent="0.3">
      <c r="A287" s="55" t="s">
        <v>556</v>
      </c>
      <c r="V287" s="56" t="s">
        <v>556</v>
      </c>
      <c r="W287" s="56" t="str">
        <f t="shared" si="8"/>
        <v>23</v>
      </c>
      <c r="Y287" s="55" t="e">
        <f t="shared" si="9"/>
        <v>#N/A</v>
      </c>
    </row>
    <row r="288" spans="1:25" x14ac:dyDescent="0.3">
      <c r="A288" s="55" t="s">
        <v>556</v>
      </c>
      <c r="V288" s="56" t="s">
        <v>556</v>
      </c>
      <c r="W288" s="56" t="str">
        <f t="shared" si="8"/>
        <v>23</v>
      </c>
      <c r="Y288" s="55" t="e">
        <f t="shared" si="9"/>
        <v>#N/A</v>
      </c>
    </row>
    <row r="289" spans="1:25" x14ac:dyDescent="0.3">
      <c r="A289" s="55" t="s">
        <v>556</v>
      </c>
      <c r="V289" s="56" t="s">
        <v>556</v>
      </c>
      <c r="W289" s="56" t="str">
        <f t="shared" si="8"/>
        <v>23</v>
      </c>
      <c r="Y289" s="55" t="e">
        <f t="shared" si="9"/>
        <v>#N/A</v>
      </c>
    </row>
    <row r="290" spans="1:25" x14ac:dyDescent="0.3">
      <c r="A290" s="55" t="s">
        <v>556</v>
      </c>
      <c r="V290" s="56" t="s">
        <v>556</v>
      </c>
      <c r="W290" s="56" t="str">
        <f t="shared" si="8"/>
        <v>23</v>
      </c>
      <c r="Y290" s="55" t="e">
        <f t="shared" si="9"/>
        <v>#N/A</v>
      </c>
    </row>
    <row r="291" spans="1:25" x14ac:dyDescent="0.3">
      <c r="A291" s="55" t="s">
        <v>557</v>
      </c>
      <c r="V291" s="56" t="s">
        <v>557</v>
      </c>
      <c r="W291" s="56" t="str">
        <f t="shared" si="8"/>
        <v>23</v>
      </c>
      <c r="Y291" s="55" t="e">
        <f t="shared" si="9"/>
        <v>#N/A</v>
      </c>
    </row>
    <row r="292" spans="1:25" x14ac:dyDescent="0.3">
      <c r="A292" s="55" t="s">
        <v>557</v>
      </c>
      <c r="V292" s="56" t="s">
        <v>557</v>
      </c>
      <c r="W292" s="56" t="str">
        <f t="shared" si="8"/>
        <v>23</v>
      </c>
      <c r="Y292" s="55" t="e">
        <f t="shared" si="9"/>
        <v>#N/A</v>
      </c>
    </row>
    <row r="293" spans="1:25" x14ac:dyDescent="0.3">
      <c r="A293" s="55" t="s">
        <v>557</v>
      </c>
      <c r="V293" s="56" t="s">
        <v>557</v>
      </c>
      <c r="W293" s="56" t="str">
        <f t="shared" si="8"/>
        <v>23</v>
      </c>
      <c r="Y293" s="55" t="e">
        <f t="shared" si="9"/>
        <v>#N/A</v>
      </c>
    </row>
    <row r="294" spans="1:25" x14ac:dyDescent="0.3">
      <c r="A294" s="55" t="s">
        <v>558</v>
      </c>
      <c r="V294" s="56" t="s">
        <v>558</v>
      </c>
      <c r="W294" s="56" t="str">
        <f t="shared" si="8"/>
        <v>23</v>
      </c>
      <c r="Y294" s="55" t="e">
        <f t="shared" si="9"/>
        <v>#N/A</v>
      </c>
    </row>
    <row r="295" spans="1:25" x14ac:dyDescent="0.3">
      <c r="A295" s="55" t="s">
        <v>559</v>
      </c>
      <c r="V295" s="56" t="s">
        <v>559</v>
      </c>
      <c r="W295" s="56" t="str">
        <f t="shared" si="8"/>
        <v>23</v>
      </c>
      <c r="Y295" s="55" t="e">
        <f t="shared" si="9"/>
        <v>#N/A</v>
      </c>
    </row>
    <row r="296" spans="1:25" x14ac:dyDescent="0.3">
      <c r="A296" s="55" t="s">
        <v>559</v>
      </c>
      <c r="V296" s="56" t="s">
        <v>559</v>
      </c>
      <c r="W296" s="56" t="str">
        <f t="shared" si="8"/>
        <v>23</v>
      </c>
      <c r="Y296" s="55" t="e">
        <f t="shared" si="9"/>
        <v>#N/A</v>
      </c>
    </row>
    <row r="297" spans="1:25" x14ac:dyDescent="0.3">
      <c r="A297" s="55" t="s">
        <v>559</v>
      </c>
      <c r="V297" s="56" t="s">
        <v>559</v>
      </c>
      <c r="W297" s="56" t="str">
        <f t="shared" si="8"/>
        <v>23</v>
      </c>
      <c r="Y297" s="55" t="e">
        <f t="shared" si="9"/>
        <v>#N/A</v>
      </c>
    </row>
    <row r="298" spans="1:25" x14ac:dyDescent="0.3">
      <c r="A298" s="55" t="s">
        <v>560</v>
      </c>
      <c r="V298" s="56" t="s">
        <v>560</v>
      </c>
      <c r="W298" s="56" t="str">
        <f t="shared" si="8"/>
        <v>23</v>
      </c>
      <c r="Y298" s="55" t="e">
        <f t="shared" si="9"/>
        <v>#N/A</v>
      </c>
    </row>
    <row r="299" spans="1:25" x14ac:dyDescent="0.3">
      <c r="A299" s="55" t="s">
        <v>560</v>
      </c>
      <c r="V299" s="56" t="s">
        <v>560</v>
      </c>
      <c r="W299" s="56" t="str">
        <f t="shared" si="8"/>
        <v>23</v>
      </c>
      <c r="Y299" s="55" t="e">
        <f t="shared" si="9"/>
        <v>#N/A</v>
      </c>
    </row>
    <row r="300" spans="1:25" x14ac:dyDescent="0.3">
      <c r="A300" s="55" t="s">
        <v>560</v>
      </c>
      <c r="V300" s="56" t="s">
        <v>560</v>
      </c>
      <c r="W300" s="56" t="str">
        <f t="shared" si="8"/>
        <v>23</v>
      </c>
      <c r="Y300" s="55" t="e">
        <f t="shared" si="9"/>
        <v>#N/A</v>
      </c>
    </row>
    <row r="301" spans="1:25" x14ac:dyDescent="0.3">
      <c r="A301" s="55" t="s">
        <v>560</v>
      </c>
      <c r="V301" s="56" t="s">
        <v>560</v>
      </c>
      <c r="W301" s="56" t="str">
        <f t="shared" si="8"/>
        <v>23</v>
      </c>
      <c r="Y301" s="55" t="e">
        <f t="shared" si="9"/>
        <v>#N/A</v>
      </c>
    </row>
    <row r="302" spans="1:25" x14ac:dyDescent="0.3">
      <c r="A302" s="55" t="s">
        <v>561</v>
      </c>
      <c r="V302" s="56" t="s">
        <v>561</v>
      </c>
      <c r="W302" s="56" t="str">
        <f t="shared" si="8"/>
        <v>23</v>
      </c>
      <c r="Y302" s="55" t="e">
        <f t="shared" si="9"/>
        <v>#N/A</v>
      </c>
    </row>
    <row r="303" spans="1:25" x14ac:dyDescent="0.3">
      <c r="A303" s="55" t="s">
        <v>562</v>
      </c>
      <c r="V303" s="56" t="s">
        <v>562</v>
      </c>
      <c r="W303" s="56" t="str">
        <f t="shared" si="8"/>
        <v>23</v>
      </c>
      <c r="Y303" s="55" t="e">
        <f t="shared" si="9"/>
        <v>#N/A</v>
      </c>
    </row>
    <row r="304" spans="1:25" x14ac:dyDescent="0.3">
      <c r="A304" s="55" t="s">
        <v>562</v>
      </c>
      <c r="V304" s="56" t="s">
        <v>562</v>
      </c>
      <c r="W304" s="56" t="str">
        <f t="shared" si="8"/>
        <v>23</v>
      </c>
      <c r="Y304" s="55" t="e">
        <f t="shared" si="9"/>
        <v>#N/A</v>
      </c>
    </row>
    <row r="305" spans="1:25" x14ac:dyDescent="0.3">
      <c r="A305" s="55" t="s">
        <v>563</v>
      </c>
      <c r="V305" s="56" t="s">
        <v>563</v>
      </c>
      <c r="W305" s="56" t="str">
        <f t="shared" si="8"/>
        <v>23</v>
      </c>
      <c r="Y305" s="55" t="e">
        <f t="shared" si="9"/>
        <v>#N/A</v>
      </c>
    </row>
    <row r="306" spans="1:25" x14ac:dyDescent="0.3">
      <c r="A306" s="55" t="s">
        <v>563</v>
      </c>
      <c r="V306" s="56" t="s">
        <v>563</v>
      </c>
      <c r="W306" s="56" t="str">
        <f t="shared" si="8"/>
        <v>23</v>
      </c>
      <c r="Y306" s="55" t="e">
        <f t="shared" si="9"/>
        <v>#N/A</v>
      </c>
    </row>
    <row r="307" spans="1:25" x14ac:dyDescent="0.3">
      <c r="A307" s="55" t="s">
        <v>564</v>
      </c>
      <c r="V307" s="56" t="s">
        <v>564</v>
      </c>
      <c r="W307" s="56" t="str">
        <f t="shared" si="8"/>
        <v>23</v>
      </c>
      <c r="Y307" s="55" t="e">
        <f t="shared" si="9"/>
        <v>#N/A</v>
      </c>
    </row>
    <row r="308" spans="1:25" x14ac:dyDescent="0.3">
      <c r="A308" s="55" t="s">
        <v>565</v>
      </c>
      <c r="V308" s="56" t="s">
        <v>565</v>
      </c>
      <c r="W308" s="56" t="str">
        <f t="shared" si="8"/>
        <v>23</v>
      </c>
      <c r="Y308" s="55" t="e">
        <f t="shared" si="9"/>
        <v>#N/A</v>
      </c>
    </row>
    <row r="309" spans="1:25" x14ac:dyDescent="0.3">
      <c r="A309" s="55" t="s">
        <v>566</v>
      </c>
      <c r="V309" s="56" t="s">
        <v>566</v>
      </c>
      <c r="W309" s="56" t="str">
        <f t="shared" si="8"/>
        <v>23</v>
      </c>
      <c r="Y309" s="55" t="e">
        <f t="shared" si="9"/>
        <v>#N/A</v>
      </c>
    </row>
    <row r="310" spans="1:25" x14ac:dyDescent="0.3">
      <c r="A310" s="55" t="s">
        <v>567</v>
      </c>
      <c r="V310" s="56" t="s">
        <v>567</v>
      </c>
      <c r="W310" s="56" t="str">
        <f t="shared" si="8"/>
        <v>23</v>
      </c>
      <c r="Y310" s="55" t="e">
        <f t="shared" si="9"/>
        <v>#N/A</v>
      </c>
    </row>
    <row r="311" spans="1:25" x14ac:dyDescent="0.3">
      <c r="A311" s="55" t="s">
        <v>568</v>
      </c>
      <c r="V311" s="56" t="s">
        <v>568</v>
      </c>
      <c r="W311" s="56" t="str">
        <f t="shared" si="8"/>
        <v>23</v>
      </c>
      <c r="Y311" s="55" t="e">
        <f t="shared" si="9"/>
        <v>#N/A</v>
      </c>
    </row>
    <row r="312" spans="1:25" x14ac:dyDescent="0.3">
      <c r="A312" s="55" t="s">
        <v>569</v>
      </c>
      <c r="V312" s="56" t="s">
        <v>569</v>
      </c>
      <c r="W312" s="56" t="str">
        <f t="shared" si="8"/>
        <v>23</v>
      </c>
      <c r="Y312" s="55" t="e">
        <f t="shared" si="9"/>
        <v>#N/A</v>
      </c>
    </row>
    <row r="313" spans="1:25" x14ac:dyDescent="0.3">
      <c r="A313" s="55" t="s">
        <v>570</v>
      </c>
      <c r="V313" s="56" t="s">
        <v>570</v>
      </c>
      <c r="W313" s="56" t="str">
        <f t="shared" si="8"/>
        <v>23</v>
      </c>
      <c r="Y313" s="55" t="e">
        <f t="shared" si="9"/>
        <v>#N/A</v>
      </c>
    </row>
    <row r="314" spans="1:25" x14ac:dyDescent="0.3">
      <c r="A314" s="55" t="s">
        <v>571</v>
      </c>
      <c r="V314" s="56" t="s">
        <v>571</v>
      </c>
      <c r="W314" s="56" t="str">
        <f t="shared" si="8"/>
        <v>23</v>
      </c>
      <c r="Y314" s="55" t="e">
        <f t="shared" si="9"/>
        <v>#N/A</v>
      </c>
    </row>
    <row r="315" spans="1:25" x14ac:dyDescent="0.3">
      <c r="A315" s="55" t="s">
        <v>572</v>
      </c>
      <c r="V315" s="56" t="s">
        <v>572</v>
      </c>
      <c r="W315" s="56" t="str">
        <f t="shared" si="8"/>
        <v>23</v>
      </c>
      <c r="Y315" s="55" t="e">
        <f t="shared" si="9"/>
        <v>#N/A</v>
      </c>
    </row>
    <row r="316" spans="1:25" x14ac:dyDescent="0.3">
      <c r="A316" s="55" t="s">
        <v>573</v>
      </c>
      <c r="V316" s="56" t="s">
        <v>573</v>
      </c>
      <c r="W316" s="56" t="str">
        <f t="shared" si="8"/>
        <v>23</v>
      </c>
      <c r="Y316" s="55" t="e">
        <f t="shared" si="9"/>
        <v>#N/A</v>
      </c>
    </row>
    <row r="317" spans="1:25" x14ac:dyDescent="0.3">
      <c r="A317" s="55" t="s">
        <v>574</v>
      </c>
      <c r="V317" s="56" t="s">
        <v>574</v>
      </c>
      <c r="W317" s="56" t="str">
        <f t="shared" si="8"/>
        <v>23</v>
      </c>
      <c r="Y317" s="55" t="e">
        <f t="shared" si="9"/>
        <v>#N/A</v>
      </c>
    </row>
    <row r="318" spans="1:25" x14ac:dyDescent="0.3">
      <c r="A318" s="55" t="s">
        <v>575</v>
      </c>
      <c r="V318" s="56" t="s">
        <v>575</v>
      </c>
      <c r="W318" s="56" t="str">
        <f t="shared" si="8"/>
        <v>25</v>
      </c>
      <c r="Y318" s="55" t="e">
        <f t="shared" si="9"/>
        <v>#N/A</v>
      </c>
    </row>
    <row r="319" spans="1:25" x14ac:dyDescent="0.3">
      <c r="A319" s="55" t="s">
        <v>576</v>
      </c>
      <c r="V319" s="56" t="s">
        <v>576</v>
      </c>
      <c r="W319" s="56" t="str">
        <f t="shared" si="8"/>
        <v>25</v>
      </c>
      <c r="Y319" s="55" t="e">
        <f t="shared" si="9"/>
        <v>#N/A</v>
      </c>
    </row>
    <row r="320" spans="1:25" x14ac:dyDescent="0.3">
      <c r="A320" s="55" t="s">
        <v>577</v>
      </c>
      <c r="V320" s="56" t="s">
        <v>577</v>
      </c>
      <c r="W320" s="56" t="str">
        <f t="shared" si="8"/>
        <v>25</v>
      </c>
      <c r="Y320" s="55" t="e">
        <f t="shared" si="9"/>
        <v>#N/A</v>
      </c>
    </row>
    <row r="321" spans="1:25" x14ac:dyDescent="0.3">
      <c r="A321" s="55" t="s">
        <v>578</v>
      </c>
      <c r="V321" s="56" t="s">
        <v>578</v>
      </c>
      <c r="W321" s="56" t="str">
        <f t="shared" si="8"/>
        <v>25</v>
      </c>
      <c r="Y321" s="55" t="e">
        <f t="shared" si="9"/>
        <v>#N/A</v>
      </c>
    </row>
    <row r="322" spans="1:25" x14ac:dyDescent="0.3">
      <c r="A322" s="55" t="s">
        <v>578</v>
      </c>
      <c r="V322" s="56" t="s">
        <v>578</v>
      </c>
      <c r="W322" s="56" t="str">
        <f t="shared" si="8"/>
        <v>25</v>
      </c>
      <c r="Y322" s="55" t="e">
        <f t="shared" si="9"/>
        <v>#N/A</v>
      </c>
    </row>
    <row r="323" spans="1:25" x14ac:dyDescent="0.3">
      <c r="A323" s="55" t="s">
        <v>579</v>
      </c>
      <c r="V323" s="56" t="s">
        <v>579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1:25" x14ac:dyDescent="0.3">
      <c r="A324" s="55" t="s">
        <v>580</v>
      </c>
      <c r="V324" s="56" t="s">
        <v>580</v>
      </c>
      <c r="W324" s="56" t="str">
        <f t="shared" si="10"/>
        <v>25</v>
      </c>
      <c r="Y324" s="55" t="e">
        <f t="shared" si="11"/>
        <v>#N/A</v>
      </c>
    </row>
    <row r="325" spans="1:25" x14ac:dyDescent="0.3">
      <c r="A325" s="55" t="s">
        <v>581</v>
      </c>
      <c r="V325" s="56" t="s">
        <v>581</v>
      </c>
      <c r="W325" s="56" t="str">
        <f t="shared" si="10"/>
        <v>25</v>
      </c>
      <c r="Y325" s="55" t="e">
        <f t="shared" si="11"/>
        <v>#N/A</v>
      </c>
    </row>
    <row r="326" spans="1:25" x14ac:dyDescent="0.3">
      <c r="A326" s="55" t="s">
        <v>582</v>
      </c>
      <c r="V326" s="56" t="s">
        <v>582</v>
      </c>
      <c r="W326" s="56" t="str">
        <f t="shared" si="10"/>
        <v>25</v>
      </c>
      <c r="Y326" s="55" t="e">
        <f t="shared" si="11"/>
        <v>#N/A</v>
      </c>
    </row>
    <row r="327" spans="1:25" x14ac:dyDescent="0.3">
      <c r="A327" s="55" t="s">
        <v>583</v>
      </c>
      <c r="V327" s="56" t="s">
        <v>583</v>
      </c>
      <c r="W327" s="56" t="str">
        <f t="shared" si="10"/>
        <v>25</v>
      </c>
      <c r="Y327" s="55" t="e">
        <f t="shared" si="11"/>
        <v>#N/A</v>
      </c>
    </row>
    <row r="328" spans="1:25" x14ac:dyDescent="0.3">
      <c r="A328" s="55" t="s">
        <v>584</v>
      </c>
      <c r="V328" s="56" t="s">
        <v>584</v>
      </c>
      <c r="W328" s="56" t="str">
        <f t="shared" si="10"/>
        <v>25</v>
      </c>
      <c r="Y328" s="55" t="e">
        <f t="shared" si="11"/>
        <v>#N/A</v>
      </c>
    </row>
    <row r="329" spans="1:25" x14ac:dyDescent="0.3">
      <c r="A329" s="55" t="s">
        <v>585</v>
      </c>
      <c r="V329" s="56" t="s">
        <v>585</v>
      </c>
      <c r="W329" s="56" t="str">
        <f t="shared" si="10"/>
        <v>25</v>
      </c>
      <c r="Y329" s="55" t="e">
        <f t="shared" si="11"/>
        <v>#N/A</v>
      </c>
    </row>
    <row r="330" spans="1:25" x14ac:dyDescent="0.3">
      <c r="A330" s="55" t="s">
        <v>586</v>
      </c>
      <c r="V330" s="56" t="s">
        <v>586</v>
      </c>
      <c r="W330" s="56" t="str">
        <f t="shared" si="10"/>
        <v>25</v>
      </c>
      <c r="Y330" s="55" t="e">
        <f t="shared" si="11"/>
        <v>#N/A</v>
      </c>
    </row>
    <row r="331" spans="1:25" x14ac:dyDescent="0.3">
      <c r="A331" s="55" t="s">
        <v>587</v>
      </c>
      <c r="V331" s="56" t="s">
        <v>587</v>
      </c>
      <c r="W331" s="56" t="str">
        <f t="shared" si="10"/>
        <v>25</v>
      </c>
      <c r="Y331" s="55" t="e">
        <f t="shared" si="11"/>
        <v>#N/A</v>
      </c>
    </row>
    <row r="332" spans="1:25" x14ac:dyDescent="0.3">
      <c r="A332" s="55" t="s">
        <v>588</v>
      </c>
      <c r="V332" s="56" t="s">
        <v>588</v>
      </c>
      <c r="W332" s="56" t="str">
        <f t="shared" si="10"/>
        <v>25</v>
      </c>
      <c r="Y332" s="55" t="e">
        <f t="shared" si="11"/>
        <v>#N/A</v>
      </c>
    </row>
    <row r="333" spans="1:25" x14ac:dyDescent="0.3">
      <c r="A333" s="55" t="s">
        <v>589</v>
      </c>
      <c r="V333" s="56" t="s">
        <v>589</v>
      </c>
      <c r="W333" s="56" t="str">
        <f t="shared" si="10"/>
        <v>25</v>
      </c>
      <c r="Y333" s="55" t="e">
        <f t="shared" si="11"/>
        <v>#N/A</v>
      </c>
    </row>
    <row r="334" spans="1:25" x14ac:dyDescent="0.3">
      <c r="A334" s="55" t="s">
        <v>590</v>
      </c>
      <c r="V334" s="56" t="s">
        <v>590</v>
      </c>
      <c r="W334" s="56" t="str">
        <f t="shared" si="10"/>
        <v>25</v>
      </c>
      <c r="Y334" s="55" t="e">
        <f t="shared" si="11"/>
        <v>#N/A</v>
      </c>
    </row>
    <row r="335" spans="1:25" x14ac:dyDescent="0.3">
      <c r="A335" s="55" t="s">
        <v>591</v>
      </c>
      <c r="V335" s="56" t="s">
        <v>591</v>
      </c>
      <c r="W335" s="56" t="str">
        <f t="shared" si="10"/>
        <v>25</v>
      </c>
      <c r="Y335" s="55" t="e">
        <f t="shared" si="11"/>
        <v>#N/A</v>
      </c>
    </row>
    <row r="336" spans="1:25" x14ac:dyDescent="0.3">
      <c r="A336" s="55" t="s">
        <v>591</v>
      </c>
      <c r="V336" s="56" t="s">
        <v>591</v>
      </c>
      <c r="W336" s="56" t="str">
        <f t="shared" si="10"/>
        <v>25</v>
      </c>
      <c r="Y336" s="55" t="e">
        <f t="shared" si="11"/>
        <v>#N/A</v>
      </c>
    </row>
    <row r="337" spans="1:25" x14ac:dyDescent="0.3">
      <c r="A337" s="55" t="s">
        <v>592</v>
      </c>
      <c r="V337" s="56" t="s">
        <v>592</v>
      </c>
      <c r="W337" s="56" t="str">
        <f t="shared" si="10"/>
        <v>25</v>
      </c>
      <c r="Y337" s="55" t="e">
        <f t="shared" si="11"/>
        <v>#N/A</v>
      </c>
    </row>
    <row r="338" spans="1:25" x14ac:dyDescent="0.3">
      <c r="A338" s="55" t="s">
        <v>593</v>
      </c>
      <c r="V338" s="56" t="s">
        <v>593</v>
      </c>
      <c r="W338" s="56" t="str">
        <f t="shared" si="10"/>
        <v>25</v>
      </c>
      <c r="Y338" s="55" t="e">
        <f t="shared" si="11"/>
        <v>#N/A</v>
      </c>
    </row>
    <row r="339" spans="1:25" x14ac:dyDescent="0.3">
      <c r="A339" s="55" t="s">
        <v>594</v>
      </c>
      <c r="V339" s="56" t="s">
        <v>594</v>
      </c>
      <c r="W339" s="56" t="str">
        <f t="shared" si="10"/>
        <v>25</v>
      </c>
      <c r="Y339" s="55" t="e">
        <f t="shared" si="11"/>
        <v>#N/A</v>
      </c>
    </row>
    <row r="340" spans="1:25" x14ac:dyDescent="0.3">
      <c r="A340" s="55" t="s">
        <v>595</v>
      </c>
      <c r="V340" s="56" t="s">
        <v>595</v>
      </c>
      <c r="W340" s="56" t="str">
        <f t="shared" si="10"/>
        <v>25</v>
      </c>
      <c r="Y340" s="55" t="e">
        <f t="shared" si="11"/>
        <v>#N/A</v>
      </c>
    </row>
    <row r="341" spans="1:25" x14ac:dyDescent="0.3">
      <c r="A341" s="55" t="s">
        <v>596</v>
      </c>
      <c r="V341" s="56" t="s">
        <v>596</v>
      </c>
      <c r="W341" s="56" t="str">
        <f t="shared" si="10"/>
        <v>25</v>
      </c>
      <c r="Y341" s="55" t="e">
        <f t="shared" si="11"/>
        <v>#N/A</v>
      </c>
    </row>
    <row r="342" spans="1:25" x14ac:dyDescent="0.3">
      <c r="A342" s="55" t="s">
        <v>597</v>
      </c>
      <c r="V342" s="56" t="s">
        <v>597</v>
      </c>
      <c r="W342" s="56" t="str">
        <f t="shared" si="10"/>
        <v>25</v>
      </c>
      <c r="Y342" s="55" t="e">
        <f t="shared" si="11"/>
        <v>#N/A</v>
      </c>
    </row>
    <row r="343" spans="1:25" x14ac:dyDescent="0.3">
      <c r="A343" s="55" t="s">
        <v>598</v>
      </c>
      <c r="V343" s="56" t="s">
        <v>598</v>
      </c>
      <c r="W343" s="56" t="str">
        <f t="shared" si="10"/>
        <v>25</v>
      </c>
      <c r="Y343" s="55" t="e">
        <f t="shared" si="11"/>
        <v>#N/A</v>
      </c>
    </row>
    <row r="344" spans="1:25" x14ac:dyDescent="0.3">
      <c r="A344" s="55" t="s">
        <v>599</v>
      </c>
      <c r="V344" s="56" t="s">
        <v>599</v>
      </c>
      <c r="W344" s="56" t="str">
        <f t="shared" si="10"/>
        <v>25</v>
      </c>
      <c r="Y344" s="55" t="e">
        <f t="shared" si="11"/>
        <v>#N/A</v>
      </c>
    </row>
    <row r="345" spans="1:25" x14ac:dyDescent="0.3">
      <c r="A345" s="55" t="s">
        <v>600</v>
      </c>
      <c r="V345" s="56" t="s">
        <v>600</v>
      </c>
      <c r="W345" s="56" t="str">
        <f t="shared" si="10"/>
        <v>25</v>
      </c>
      <c r="Y345" s="55" t="e">
        <f t="shared" si="11"/>
        <v>#N/A</v>
      </c>
    </row>
    <row r="346" spans="1:25" x14ac:dyDescent="0.3">
      <c r="A346" s="55" t="s">
        <v>601</v>
      </c>
      <c r="V346" s="56" t="s">
        <v>601</v>
      </c>
      <c r="W346" s="56" t="str">
        <f t="shared" si="10"/>
        <v>25</v>
      </c>
      <c r="Y346" s="55" t="e">
        <f t="shared" si="11"/>
        <v>#N/A</v>
      </c>
    </row>
    <row r="347" spans="1:25" x14ac:dyDescent="0.3">
      <c r="A347" s="55" t="s">
        <v>602</v>
      </c>
      <c r="V347" s="56" t="s">
        <v>602</v>
      </c>
      <c r="W347" s="56" t="str">
        <f t="shared" si="10"/>
        <v>25</v>
      </c>
      <c r="Y347" s="55" t="e">
        <f t="shared" si="11"/>
        <v>#N/A</v>
      </c>
    </row>
    <row r="348" spans="1:25" x14ac:dyDescent="0.3">
      <c r="A348" s="55" t="s">
        <v>603</v>
      </c>
      <c r="V348" s="56" t="s">
        <v>603</v>
      </c>
      <c r="W348" s="56" t="str">
        <f t="shared" si="10"/>
        <v>25</v>
      </c>
      <c r="Y348" s="55" t="e">
        <f t="shared" si="11"/>
        <v>#N/A</v>
      </c>
    </row>
    <row r="349" spans="1:25" x14ac:dyDescent="0.3">
      <c r="A349" s="55" t="s">
        <v>604</v>
      </c>
      <c r="V349" s="56" t="s">
        <v>604</v>
      </c>
      <c r="W349" s="56" t="str">
        <f t="shared" si="10"/>
        <v>26</v>
      </c>
      <c r="Y349" s="55" t="e">
        <f t="shared" si="11"/>
        <v>#N/A</v>
      </c>
    </row>
    <row r="350" spans="1:25" x14ac:dyDescent="0.3">
      <c r="A350" s="55" t="s">
        <v>605</v>
      </c>
      <c r="V350" s="56" t="s">
        <v>605</v>
      </c>
      <c r="W350" s="56" t="str">
        <f t="shared" si="10"/>
        <v>26</v>
      </c>
      <c r="Y350" s="55" t="e">
        <f t="shared" si="11"/>
        <v>#N/A</v>
      </c>
    </row>
    <row r="351" spans="1:25" x14ac:dyDescent="0.3">
      <c r="A351" s="55" t="s">
        <v>606</v>
      </c>
      <c r="V351" s="56" t="s">
        <v>606</v>
      </c>
      <c r="W351" s="56" t="str">
        <f t="shared" si="10"/>
        <v>26</v>
      </c>
      <c r="Y351" s="55" t="e">
        <f t="shared" si="11"/>
        <v>#N/A</v>
      </c>
    </row>
    <row r="352" spans="1:25" x14ac:dyDescent="0.3">
      <c r="A352" s="55" t="s">
        <v>607</v>
      </c>
      <c r="V352" s="56" t="s">
        <v>607</v>
      </c>
      <c r="W352" s="56" t="str">
        <f t="shared" si="10"/>
        <v>26</v>
      </c>
      <c r="Y352" s="55" t="e">
        <f t="shared" si="11"/>
        <v>#N/A</v>
      </c>
    </row>
    <row r="353" spans="1:25" x14ac:dyDescent="0.3">
      <c r="A353" s="55" t="s">
        <v>607</v>
      </c>
      <c r="V353" s="56" t="s">
        <v>607</v>
      </c>
      <c r="W353" s="56" t="str">
        <f t="shared" si="10"/>
        <v>26</v>
      </c>
      <c r="Y353" s="55" t="e">
        <f t="shared" si="11"/>
        <v>#N/A</v>
      </c>
    </row>
    <row r="354" spans="1:25" x14ac:dyDescent="0.3">
      <c r="A354" s="55" t="s">
        <v>608</v>
      </c>
      <c r="V354" s="56" t="s">
        <v>608</v>
      </c>
      <c r="W354" s="56" t="str">
        <f t="shared" si="10"/>
        <v>26</v>
      </c>
      <c r="Y354" s="55" t="e">
        <f t="shared" si="11"/>
        <v>#N/A</v>
      </c>
    </row>
    <row r="355" spans="1:25" x14ac:dyDescent="0.3">
      <c r="A355" s="55" t="s">
        <v>609</v>
      </c>
      <c r="V355" s="56" t="s">
        <v>609</v>
      </c>
      <c r="W355" s="56" t="str">
        <f t="shared" si="10"/>
        <v>26</v>
      </c>
      <c r="Y355" s="55" t="e">
        <f t="shared" si="11"/>
        <v>#N/A</v>
      </c>
    </row>
    <row r="356" spans="1:25" x14ac:dyDescent="0.3">
      <c r="A356" s="55" t="s">
        <v>609</v>
      </c>
      <c r="V356" s="56" t="s">
        <v>609</v>
      </c>
      <c r="W356" s="56" t="str">
        <f t="shared" si="10"/>
        <v>26</v>
      </c>
      <c r="Y356" s="55" t="e">
        <f t="shared" si="11"/>
        <v>#N/A</v>
      </c>
    </row>
    <row r="357" spans="1:25" x14ac:dyDescent="0.3">
      <c r="A357" s="55" t="s">
        <v>610</v>
      </c>
      <c r="V357" s="56" t="s">
        <v>610</v>
      </c>
      <c r="W357" s="56" t="str">
        <f t="shared" si="10"/>
        <v>26</v>
      </c>
      <c r="Y357" s="55" t="e">
        <f t="shared" si="11"/>
        <v>#N/A</v>
      </c>
    </row>
    <row r="358" spans="1:25" x14ac:dyDescent="0.3">
      <c r="A358" s="55" t="s">
        <v>611</v>
      </c>
      <c r="V358" s="56" t="s">
        <v>611</v>
      </c>
      <c r="W358" s="56" t="str">
        <f t="shared" si="10"/>
        <v>27</v>
      </c>
      <c r="Y358" s="55" t="e">
        <f t="shared" si="11"/>
        <v>#N/A</v>
      </c>
    </row>
    <row r="359" spans="1:25" x14ac:dyDescent="0.3">
      <c r="A359" s="55" t="s">
        <v>612</v>
      </c>
      <c r="V359" s="56" t="s">
        <v>612</v>
      </c>
      <c r="W359" s="56" t="str">
        <f t="shared" si="10"/>
        <v>27</v>
      </c>
      <c r="Y359" s="55" t="e">
        <f t="shared" si="11"/>
        <v>#N/A</v>
      </c>
    </row>
    <row r="360" spans="1:25" x14ac:dyDescent="0.3">
      <c r="A360" s="55" t="s">
        <v>613</v>
      </c>
      <c r="V360" s="56" t="s">
        <v>613</v>
      </c>
      <c r="W360" s="56" t="str">
        <f t="shared" si="10"/>
        <v>27</v>
      </c>
      <c r="Y360" s="55" t="e">
        <f t="shared" si="11"/>
        <v>#N/A</v>
      </c>
    </row>
    <row r="361" spans="1:25" x14ac:dyDescent="0.3">
      <c r="A361" s="55" t="s">
        <v>614</v>
      </c>
      <c r="V361" s="56" t="s">
        <v>614</v>
      </c>
      <c r="W361" s="56" t="str">
        <f t="shared" si="10"/>
        <v>27</v>
      </c>
      <c r="Y361" s="55" t="e">
        <f t="shared" si="11"/>
        <v>#N/A</v>
      </c>
    </row>
    <row r="362" spans="1:25" x14ac:dyDescent="0.3">
      <c r="A362" s="55" t="s">
        <v>615</v>
      </c>
      <c r="V362" s="56" t="s">
        <v>615</v>
      </c>
      <c r="W362" s="56" t="str">
        <f t="shared" si="10"/>
        <v>27</v>
      </c>
      <c r="Y362" s="55" t="e">
        <f t="shared" si="11"/>
        <v>#N/A</v>
      </c>
    </row>
    <row r="363" spans="1:25" x14ac:dyDescent="0.3">
      <c r="A363" s="55" t="s">
        <v>616</v>
      </c>
      <c r="V363" s="56" t="s">
        <v>616</v>
      </c>
      <c r="W363" s="56" t="str">
        <f t="shared" si="10"/>
        <v>27</v>
      </c>
      <c r="Y363" s="55" t="e">
        <f t="shared" si="11"/>
        <v>#N/A</v>
      </c>
    </row>
    <row r="364" spans="1:25" x14ac:dyDescent="0.3">
      <c r="A364" s="55" t="s">
        <v>617</v>
      </c>
      <c r="V364" s="56" t="s">
        <v>617</v>
      </c>
      <c r="W364" s="56" t="str">
        <f t="shared" si="10"/>
        <v>27</v>
      </c>
      <c r="Y364" s="55" t="e">
        <f t="shared" si="11"/>
        <v>#N/A</v>
      </c>
    </row>
    <row r="365" spans="1:25" x14ac:dyDescent="0.3">
      <c r="A365" s="55" t="s">
        <v>618</v>
      </c>
      <c r="V365" s="56" t="s">
        <v>618</v>
      </c>
      <c r="W365" s="56" t="str">
        <f t="shared" si="10"/>
        <v>27</v>
      </c>
      <c r="Y365" s="55" t="e">
        <f t="shared" si="11"/>
        <v>#N/A</v>
      </c>
    </row>
    <row r="366" spans="1:25" x14ac:dyDescent="0.3">
      <c r="A366" s="55" t="s">
        <v>619</v>
      </c>
      <c r="V366" s="56" t="s">
        <v>619</v>
      </c>
      <c r="W366" s="56" t="str">
        <f t="shared" si="10"/>
        <v>27</v>
      </c>
      <c r="Y366" s="55" t="e">
        <f t="shared" si="11"/>
        <v>#N/A</v>
      </c>
    </row>
    <row r="367" spans="1:25" x14ac:dyDescent="0.3">
      <c r="A367" s="55" t="s">
        <v>620</v>
      </c>
      <c r="V367" s="56" t="s">
        <v>620</v>
      </c>
      <c r="W367" s="56" t="str">
        <f t="shared" si="10"/>
        <v>27</v>
      </c>
      <c r="Y367" s="55" t="e">
        <f t="shared" si="11"/>
        <v>#N/A</v>
      </c>
    </row>
    <row r="368" spans="1:25" x14ac:dyDescent="0.3">
      <c r="A368" s="55" t="s">
        <v>620</v>
      </c>
      <c r="V368" s="56" t="s">
        <v>620</v>
      </c>
      <c r="W368" s="56" t="str">
        <f t="shared" si="10"/>
        <v>27</v>
      </c>
      <c r="Y368" s="55" t="e">
        <f t="shared" si="11"/>
        <v>#N/A</v>
      </c>
    </row>
    <row r="369" spans="1:25" x14ac:dyDescent="0.3">
      <c r="A369" s="55" t="s">
        <v>621</v>
      </c>
      <c r="V369" s="56" t="s">
        <v>621</v>
      </c>
      <c r="W369" s="56" t="str">
        <f t="shared" si="10"/>
        <v>27</v>
      </c>
      <c r="Y369" s="55" t="e">
        <f t="shared" si="11"/>
        <v>#N/A</v>
      </c>
    </row>
    <row r="370" spans="1:25" x14ac:dyDescent="0.3">
      <c r="A370" s="55" t="s">
        <v>622</v>
      </c>
      <c r="V370" s="56" t="s">
        <v>622</v>
      </c>
      <c r="W370" s="56" t="str">
        <f t="shared" si="10"/>
        <v>27</v>
      </c>
      <c r="Y370" s="55" t="e">
        <f t="shared" si="11"/>
        <v>#N/A</v>
      </c>
    </row>
    <row r="371" spans="1:25" x14ac:dyDescent="0.3">
      <c r="A371" s="55" t="s">
        <v>623</v>
      </c>
      <c r="V371" s="56" t="s">
        <v>623</v>
      </c>
      <c r="W371" s="56" t="str">
        <f t="shared" si="10"/>
        <v>27</v>
      </c>
      <c r="Y371" s="55" t="e">
        <f t="shared" si="11"/>
        <v>#N/A</v>
      </c>
    </row>
    <row r="372" spans="1:25" x14ac:dyDescent="0.3">
      <c r="A372" s="55" t="s">
        <v>624</v>
      </c>
      <c r="V372" s="56" t="s">
        <v>624</v>
      </c>
      <c r="W372" s="56" t="str">
        <f t="shared" si="10"/>
        <v>28</v>
      </c>
      <c r="Y372" s="55" t="e">
        <f t="shared" si="11"/>
        <v>#N/A</v>
      </c>
    </row>
    <row r="373" spans="1:25" x14ac:dyDescent="0.3">
      <c r="A373" s="55" t="s">
        <v>625</v>
      </c>
      <c r="V373" s="56" t="s">
        <v>625</v>
      </c>
      <c r="W373" s="56" t="str">
        <f t="shared" si="10"/>
        <v>28</v>
      </c>
      <c r="Y373" s="55" t="e">
        <f t="shared" si="11"/>
        <v>#N/A</v>
      </c>
    </row>
    <row r="374" spans="1:25" x14ac:dyDescent="0.3">
      <c r="A374" s="55" t="s">
        <v>626</v>
      </c>
      <c r="V374" s="56" t="s">
        <v>626</v>
      </c>
      <c r="W374" s="56" t="str">
        <f t="shared" si="10"/>
        <v>30</v>
      </c>
      <c r="Y374" s="55" t="e">
        <f t="shared" si="11"/>
        <v>#N/A</v>
      </c>
    </row>
    <row r="375" spans="1:25" x14ac:dyDescent="0.3">
      <c r="A375" s="55" t="s">
        <v>627</v>
      </c>
      <c r="V375" s="56" t="s">
        <v>627</v>
      </c>
      <c r="W375" s="56" t="str">
        <f t="shared" si="10"/>
        <v>30</v>
      </c>
      <c r="Y375" s="55" t="e">
        <f t="shared" si="11"/>
        <v>#N/A</v>
      </c>
    </row>
    <row r="376" spans="1:25" x14ac:dyDescent="0.3">
      <c r="A376" s="55" t="s">
        <v>628</v>
      </c>
      <c r="V376" s="56" t="s">
        <v>628</v>
      </c>
      <c r="W376" s="56" t="str">
        <f t="shared" si="10"/>
        <v>30</v>
      </c>
      <c r="Y376" s="55" t="e">
        <f t="shared" si="11"/>
        <v>#N/A</v>
      </c>
    </row>
    <row r="377" spans="1:25" x14ac:dyDescent="0.3">
      <c r="A377" s="55" t="s">
        <v>629</v>
      </c>
      <c r="V377" s="56" t="s">
        <v>629</v>
      </c>
      <c r="W377" s="56" t="str">
        <f t="shared" si="10"/>
        <v>30</v>
      </c>
      <c r="Y377" s="55" t="e">
        <f t="shared" si="11"/>
        <v>#N/A</v>
      </c>
    </row>
    <row r="378" spans="1:25" x14ac:dyDescent="0.3">
      <c r="A378" s="55" t="s">
        <v>630</v>
      </c>
      <c r="V378" s="56" t="s">
        <v>630</v>
      </c>
      <c r="W378" s="56" t="str">
        <f t="shared" si="10"/>
        <v>30</v>
      </c>
      <c r="Y378" s="55" t="e">
        <f t="shared" si="11"/>
        <v>#N/A</v>
      </c>
    </row>
    <row r="379" spans="1:25" x14ac:dyDescent="0.3">
      <c r="A379" s="55" t="s">
        <v>631</v>
      </c>
      <c r="V379" s="56" t="s">
        <v>631</v>
      </c>
      <c r="W379" s="56" t="str">
        <f t="shared" si="10"/>
        <v>30</v>
      </c>
      <c r="Y379" s="55" t="e">
        <f t="shared" si="11"/>
        <v>#N/A</v>
      </c>
    </row>
    <row r="380" spans="1:25" x14ac:dyDescent="0.3">
      <c r="A380" s="55" t="s">
        <v>632</v>
      </c>
      <c r="V380" s="56" t="s">
        <v>632</v>
      </c>
      <c r="W380" s="56" t="str">
        <f t="shared" si="10"/>
        <v>30</v>
      </c>
      <c r="Y380" s="55" t="e">
        <f t="shared" si="11"/>
        <v>#N/A</v>
      </c>
    </row>
    <row r="381" spans="1:25" x14ac:dyDescent="0.3">
      <c r="A381" s="55" t="s">
        <v>632</v>
      </c>
      <c r="V381" s="56" t="s">
        <v>632</v>
      </c>
      <c r="W381" s="56" t="str">
        <f t="shared" si="10"/>
        <v>30</v>
      </c>
      <c r="Y381" s="55" t="e">
        <f t="shared" si="11"/>
        <v>#N/A</v>
      </c>
    </row>
    <row r="382" spans="1:25" x14ac:dyDescent="0.3">
      <c r="A382" s="55" t="s">
        <v>633</v>
      </c>
      <c r="V382" s="56" t="s">
        <v>633</v>
      </c>
      <c r="W382" s="56" t="str">
        <f t="shared" si="10"/>
        <v>30</v>
      </c>
      <c r="Y382" s="55" t="e">
        <f t="shared" si="11"/>
        <v>#N/A</v>
      </c>
    </row>
    <row r="383" spans="1:25" x14ac:dyDescent="0.3">
      <c r="A383" s="55" t="s">
        <v>633</v>
      </c>
      <c r="V383" s="56" t="s">
        <v>633</v>
      </c>
      <c r="W383" s="56" t="str">
        <f t="shared" si="10"/>
        <v>30</v>
      </c>
      <c r="Y383" s="55" t="e">
        <f t="shared" si="11"/>
        <v>#N/A</v>
      </c>
    </row>
    <row r="384" spans="1:25" x14ac:dyDescent="0.3">
      <c r="A384" s="55" t="s">
        <v>633</v>
      </c>
      <c r="V384" s="56" t="s">
        <v>633</v>
      </c>
      <c r="W384" s="56" t="str">
        <f t="shared" si="10"/>
        <v>30</v>
      </c>
      <c r="Y384" s="55" t="e">
        <f t="shared" si="11"/>
        <v>#N/A</v>
      </c>
    </row>
    <row r="385" spans="1:25" x14ac:dyDescent="0.3">
      <c r="A385" s="55" t="s">
        <v>633</v>
      </c>
      <c r="V385" s="56" t="s">
        <v>633</v>
      </c>
      <c r="W385" s="56" t="str">
        <f t="shared" si="10"/>
        <v>30</v>
      </c>
      <c r="Y385" s="55" t="e">
        <f t="shared" si="11"/>
        <v>#N/A</v>
      </c>
    </row>
    <row r="386" spans="1:25" x14ac:dyDescent="0.3">
      <c r="A386" s="55" t="s">
        <v>634</v>
      </c>
      <c r="V386" s="56" t="s">
        <v>634</v>
      </c>
      <c r="W386" s="56" t="str">
        <f t="shared" si="10"/>
        <v>30</v>
      </c>
      <c r="Y386" s="55" t="e">
        <f t="shared" si="11"/>
        <v>#N/A</v>
      </c>
    </row>
    <row r="387" spans="1:25" x14ac:dyDescent="0.3">
      <c r="A387" s="55" t="s">
        <v>635</v>
      </c>
      <c r="V387" s="56" t="s">
        <v>635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1:25" x14ac:dyDescent="0.3">
      <c r="A388" s="55" t="s">
        <v>636</v>
      </c>
      <c r="V388" s="56" t="s">
        <v>636</v>
      </c>
      <c r="W388" s="56" t="str">
        <f t="shared" si="12"/>
        <v>30</v>
      </c>
      <c r="Y388" s="55" t="e">
        <f t="shared" si="13"/>
        <v>#N/A</v>
      </c>
    </row>
    <row r="389" spans="1:25" x14ac:dyDescent="0.3">
      <c r="A389" s="55" t="s">
        <v>637</v>
      </c>
      <c r="V389" s="56" t="s">
        <v>637</v>
      </c>
      <c r="W389" s="56" t="str">
        <f t="shared" si="12"/>
        <v>30</v>
      </c>
      <c r="Y389" s="55" t="e">
        <f t="shared" si="13"/>
        <v>#N/A</v>
      </c>
    </row>
    <row r="390" spans="1:25" x14ac:dyDescent="0.3">
      <c r="A390" s="55" t="s">
        <v>638</v>
      </c>
      <c r="V390" s="56" t="s">
        <v>638</v>
      </c>
      <c r="W390" s="56" t="str">
        <f t="shared" si="12"/>
        <v>30</v>
      </c>
      <c r="Y390" s="55" t="e">
        <f t="shared" si="13"/>
        <v>#N/A</v>
      </c>
    </row>
    <row r="391" spans="1:25" x14ac:dyDescent="0.3">
      <c r="A391" s="55" t="s">
        <v>639</v>
      </c>
      <c r="V391" s="56" t="s">
        <v>639</v>
      </c>
      <c r="W391" s="56" t="str">
        <f t="shared" si="12"/>
        <v>30</v>
      </c>
      <c r="Y391" s="55" t="e">
        <f t="shared" si="13"/>
        <v>#N/A</v>
      </c>
    </row>
    <row r="392" spans="1:25" x14ac:dyDescent="0.3">
      <c r="A392" s="55" t="s">
        <v>640</v>
      </c>
      <c r="V392" s="56" t="s">
        <v>640</v>
      </c>
      <c r="W392" s="56" t="str">
        <f t="shared" si="12"/>
        <v>30</v>
      </c>
      <c r="Y392" s="55" t="e">
        <f t="shared" si="13"/>
        <v>#N/A</v>
      </c>
    </row>
    <row r="393" spans="1:25" x14ac:dyDescent="0.3">
      <c r="A393" s="55" t="s">
        <v>641</v>
      </c>
      <c r="V393" s="56" t="s">
        <v>641</v>
      </c>
      <c r="W393" s="56" t="str">
        <f t="shared" si="12"/>
        <v>30</v>
      </c>
      <c r="Y393" s="55" t="e">
        <f t="shared" si="13"/>
        <v>#N/A</v>
      </c>
    </row>
    <row r="394" spans="1:25" x14ac:dyDescent="0.3">
      <c r="A394" s="55" t="s">
        <v>641</v>
      </c>
      <c r="V394" s="56" t="s">
        <v>641</v>
      </c>
      <c r="W394" s="56" t="str">
        <f t="shared" si="12"/>
        <v>30</v>
      </c>
      <c r="Y394" s="55" t="e">
        <f t="shared" si="13"/>
        <v>#N/A</v>
      </c>
    </row>
    <row r="395" spans="1:25" x14ac:dyDescent="0.3">
      <c r="A395" s="55" t="s">
        <v>642</v>
      </c>
      <c r="V395" s="56" t="s">
        <v>642</v>
      </c>
      <c r="W395" s="56" t="str">
        <f t="shared" si="12"/>
        <v>30</v>
      </c>
      <c r="Y395" s="55" t="e">
        <f t="shared" si="13"/>
        <v>#N/A</v>
      </c>
    </row>
    <row r="396" spans="1:25" x14ac:dyDescent="0.3">
      <c r="A396" s="55" t="s">
        <v>642</v>
      </c>
      <c r="V396" s="56" t="s">
        <v>642</v>
      </c>
      <c r="W396" s="56" t="str">
        <f t="shared" si="12"/>
        <v>30</v>
      </c>
      <c r="Y396" s="55" t="e">
        <f t="shared" si="13"/>
        <v>#N/A</v>
      </c>
    </row>
    <row r="397" spans="1:25" x14ac:dyDescent="0.3">
      <c r="A397" s="55" t="s">
        <v>643</v>
      </c>
      <c r="V397" s="56" t="s">
        <v>643</v>
      </c>
      <c r="W397" s="56" t="str">
        <f t="shared" si="12"/>
        <v>30</v>
      </c>
      <c r="Y397" s="55" t="e">
        <f t="shared" si="13"/>
        <v>#N/A</v>
      </c>
    </row>
    <row r="398" spans="1:25" x14ac:dyDescent="0.3">
      <c r="A398" s="55" t="s">
        <v>643</v>
      </c>
      <c r="V398" s="56" t="s">
        <v>643</v>
      </c>
      <c r="W398" s="56" t="str">
        <f t="shared" si="12"/>
        <v>30</v>
      </c>
      <c r="Y398" s="55" t="e">
        <f t="shared" si="13"/>
        <v>#N/A</v>
      </c>
    </row>
    <row r="399" spans="1:25" x14ac:dyDescent="0.3">
      <c r="A399" s="55" t="s">
        <v>644</v>
      </c>
      <c r="V399" s="56" t="s">
        <v>644</v>
      </c>
      <c r="W399" s="56" t="str">
        <f t="shared" si="12"/>
        <v>30</v>
      </c>
      <c r="Y399" s="55" t="e">
        <f t="shared" si="13"/>
        <v>#N/A</v>
      </c>
    </row>
    <row r="400" spans="1:25" x14ac:dyDescent="0.3">
      <c r="A400" s="55" t="s">
        <v>645</v>
      </c>
      <c r="V400" s="56" t="s">
        <v>645</v>
      </c>
      <c r="W400" s="56" t="str">
        <f t="shared" si="12"/>
        <v>30</v>
      </c>
      <c r="Y400" s="55" t="e">
        <f t="shared" si="13"/>
        <v>#N/A</v>
      </c>
    </row>
    <row r="401" spans="1:25" x14ac:dyDescent="0.3">
      <c r="A401" s="55" t="s">
        <v>646</v>
      </c>
      <c r="V401" s="56" t="s">
        <v>646</v>
      </c>
      <c r="W401" s="56" t="str">
        <f t="shared" si="12"/>
        <v>30</v>
      </c>
      <c r="Y401" s="55" t="e">
        <f t="shared" si="13"/>
        <v>#N/A</v>
      </c>
    </row>
    <row r="402" spans="1:25" x14ac:dyDescent="0.3">
      <c r="A402" s="55" t="s">
        <v>647</v>
      </c>
      <c r="V402" s="56" t="s">
        <v>647</v>
      </c>
      <c r="W402" s="56" t="str">
        <f t="shared" si="12"/>
        <v>30</v>
      </c>
      <c r="Y402" s="55" t="e">
        <f t="shared" si="13"/>
        <v>#N/A</v>
      </c>
    </row>
    <row r="403" spans="1:25" x14ac:dyDescent="0.3">
      <c r="A403" s="55" t="s">
        <v>648</v>
      </c>
      <c r="V403" s="56" t="s">
        <v>648</v>
      </c>
      <c r="W403" s="56" t="str">
        <f t="shared" si="12"/>
        <v>30</v>
      </c>
      <c r="Y403" s="55" t="e">
        <f t="shared" si="13"/>
        <v>#N/A</v>
      </c>
    </row>
    <row r="404" spans="1:25" x14ac:dyDescent="0.3">
      <c r="A404" s="55" t="s">
        <v>649</v>
      </c>
      <c r="V404" s="56" t="s">
        <v>649</v>
      </c>
      <c r="W404" s="56" t="str">
        <f t="shared" si="12"/>
        <v>30</v>
      </c>
      <c r="Y404" s="55" t="e">
        <f t="shared" si="13"/>
        <v>#N/A</v>
      </c>
    </row>
    <row r="405" spans="1:25" x14ac:dyDescent="0.3">
      <c r="A405" s="55" t="s">
        <v>650</v>
      </c>
      <c r="V405" s="56" t="s">
        <v>650</v>
      </c>
      <c r="W405" s="56" t="str">
        <f t="shared" si="12"/>
        <v>30</v>
      </c>
      <c r="Y405" s="55" t="e">
        <f t="shared" si="13"/>
        <v>#N/A</v>
      </c>
    </row>
    <row r="406" spans="1:25" x14ac:dyDescent="0.3">
      <c r="A406" s="55" t="s">
        <v>651</v>
      </c>
      <c r="V406" s="56" t="s">
        <v>651</v>
      </c>
      <c r="W406" s="56" t="str">
        <f t="shared" si="12"/>
        <v>30</v>
      </c>
      <c r="Y406" s="55" t="e">
        <f t="shared" si="13"/>
        <v>#N/A</v>
      </c>
    </row>
    <row r="407" spans="1:25" x14ac:dyDescent="0.3">
      <c r="A407" s="55" t="s">
        <v>652</v>
      </c>
      <c r="V407" s="56" t="s">
        <v>652</v>
      </c>
      <c r="W407" s="56" t="str">
        <f t="shared" si="12"/>
        <v>30</v>
      </c>
      <c r="Y407" s="55" t="e">
        <f t="shared" si="13"/>
        <v>#N/A</v>
      </c>
    </row>
    <row r="408" spans="1:25" x14ac:dyDescent="0.3">
      <c r="A408" s="55" t="s">
        <v>652</v>
      </c>
      <c r="V408" s="56" t="s">
        <v>652</v>
      </c>
      <c r="W408" s="56" t="str">
        <f t="shared" si="12"/>
        <v>30</v>
      </c>
      <c r="Y408" s="55" t="e">
        <f t="shared" si="13"/>
        <v>#N/A</v>
      </c>
    </row>
    <row r="409" spans="1:25" x14ac:dyDescent="0.3">
      <c r="A409" s="55" t="s">
        <v>653</v>
      </c>
      <c r="V409" s="56" t="s">
        <v>653</v>
      </c>
      <c r="W409" s="56" t="str">
        <f t="shared" si="12"/>
        <v>30</v>
      </c>
      <c r="Y409" s="55" t="e">
        <f t="shared" si="13"/>
        <v>#N/A</v>
      </c>
    </row>
    <row r="410" spans="1:25" x14ac:dyDescent="0.3">
      <c r="A410" s="55" t="s">
        <v>654</v>
      </c>
      <c r="V410" s="56" t="s">
        <v>654</v>
      </c>
      <c r="W410" s="56" t="str">
        <f t="shared" si="12"/>
        <v>30</v>
      </c>
      <c r="Y410" s="55" t="e">
        <f t="shared" si="13"/>
        <v>#N/A</v>
      </c>
    </row>
    <row r="411" spans="1:25" x14ac:dyDescent="0.3">
      <c r="A411" s="55" t="s">
        <v>655</v>
      </c>
      <c r="V411" s="56" t="s">
        <v>655</v>
      </c>
      <c r="W411" s="56" t="str">
        <f t="shared" si="12"/>
        <v>30</v>
      </c>
      <c r="Y411" s="55" t="e">
        <f t="shared" si="13"/>
        <v>#N/A</v>
      </c>
    </row>
    <row r="412" spans="1:25" x14ac:dyDescent="0.3">
      <c r="A412" s="55" t="s">
        <v>656</v>
      </c>
      <c r="V412" s="56" t="s">
        <v>656</v>
      </c>
      <c r="W412" s="56" t="str">
        <f t="shared" si="12"/>
        <v>30</v>
      </c>
      <c r="Y412" s="55" t="e">
        <f t="shared" si="13"/>
        <v>#N/A</v>
      </c>
    </row>
    <row r="413" spans="1:25" x14ac:dyDescent="0.3">
      <c r="A413" s="55" t="s">
        <v>657</v>
      </c>
      <c r="V413" s="56" t="s">
        <v>657</v>
      </c>
      <c r="W413" s="56" t="str">
        <f t="shared" si="12"/>
        <v>30</v>
      </c>
      <c r="Y413" s="55" t="e">
        <f t="shared" si="13"/>
        <v>#N/A</v>
      </c>
    </row>
    <row r="414" spans="1:25" x14ac:dyDescent="0.3">
      <c r="A414" s="55" t="s">
        <v>658</v>
      </c>
      <c r="V414" s="56" t="s">
        <v>658</v>
      </c>
      <c r="W414" s="56" t="str">
        <f t="shared" si="12"/>
        <v>30</v>
      </c>
      <c r="Y414" s="55" t="e">
        <f t="shared" si="13"/>
        <v>#N/A</v>
      </c>
    </row>
    <row r="415" spans="1:25" x14ac:dyDescent="0.3">
      <c r="A415" s="55" t="s">
        <v>658</v>
      </c>
      <c r="V415" s="56" t="s">
        <v>658</v>
      </c>
      <c r="W415" s="56" t="str">
        <f t="shared" si="12"/>
        <v>30</v>
      </c>
      <c r="Y415" s="55" t="e">
        <f t="shared" si="13"/>
        <v>#N/A</v>
      </c>
    </row>
    <row r="416" spans="1:25" x14ac:dyDescent="0.3">
      <c r="A416" s="55" t="s">
        <v>659</v>
      </c>
      <c r="V416" s="56" t="s">
        <v>659</v>
      </c>
      <c r="W416" s="56" t="str">
        <f t="shared" si="12"/>
        <v>30</v>
      </c>
      <c r="Y416" s="55" t="e">
        <f t="shared" si="13"/>
        <v>#N/A</v>
      </c>
    </row>
    <row r="417" spans="1:25" x14ac:dyDescent="0.3">
      <c r="A417" s="55" t="s">
        <v>660</v>
      </c>
      <c r="V417" s="56" t="s">
        <v>660</v>
      </c>
      <c r="W417" s="56" t="str">
        <f t="shared" si="12"/>
        <v>30</v>
      </c>
      <c r="Y417" s="55" t="e">
        <f t="shared" si="13"/>
        <v>#N/A</v>
      </c>
    </row>
    <row r="418" spans="1:25" x14ac:dyDescent="0.3">
      <c r="A418" s="55" t="s">
        <v>661</v>
      </c>
      <c r="V418" s="56" t="s">
        <v>661</v>
      </c>
      <c r="W418" s="56" t="str">
        <f t="shared" si="12"/>
        <v>30</v>
      </c>
      <c r="Y418" s="55" t="e">
        <f t="shared" si="13"/>
        <v>#N/A</v>
      </c>
    </row>
    <row r="419" spans="1:25" x14ac:dyDescent="0.3">
      <c r="A419" s="55" t="s">
        <v>662</v>
      </c>
      <c r="V419" s="56" t="s">
        <v>662</v>
      </c>
      <c r="W419" s="56" t="str">
        <f t="shared" si="12"/>
        <v>30</v>
      </c>
      <c r="Y419" s="55" t="e">
        <f t="shared" si="13"/>
        <v>#N/A</v>
      </c>
    </row>
    <row r="420" spans="1:25" x14ac:dyDescent="0.3">
      <c r="A420" s="55" t="s">
        <v>663</v>
      </c>
      <c r="V420" s="56" t="s">
        <v>663</v>
      </c>
      <c r="W420" s="56" t="str">
        <f t="shared" si="12"/>
        <v>30</v>
      </c>
      <c r="Y420" s="55" t="e">
        <f t="shared" si="13"/>
        <v>#N/A</v>
      </c>
    </row>
    <row r="421" spans="1:25" x14ac:dyDescent="0.3">
      <c r="A421" s="55" t="s">
        <v>664</v>
      </c>
      <c r="V421" s="56" t="s">
        <v>664</v>
      </c>
      <c r="W421" s="56" t="str">
        <f t="shared" si="12"/>
        <v>30</v>
      </c>
      <c r="Y421" s="55" t="e">
        <f t="shared" si="13"/>
        <v>#N/A</v>
      </c>
    </row>
    <row r="422" spans="1:25" x14ac:dyDescent="0.3">
      <c r="A422" s="55" t="s">
        <v>665</v>
      </c>
      <c r="V422" s="56" t="s">
        <v>665</v>
      </c>
      <c r="W422" s="56" t="str">
        <f t="shared" si="12"/>
        <v>31</v>
      </c>
      <c r="Y422" s="55" t="e">
        <f t="shared" si="13"/>
        <v>#N/A</v>
      </c>
    </row>
    <row r="423" spans="1:25" x14ac:dyDescent="0.3">
      <c r="A423" s="55" t="s">
        <v>666</v>
      </c>
      <c r="V423" s="56" t="s">
        <v>666</v>
      </c>
      <c r="W423" s="56" t="str">
        <f t="shared" si="12"/>
        <v>31</v>
      </c>
      <c r="Y423" s="55" t="e">
        <f t="shared" si="13"/>
        <v>#N/A</v>
      </c>
    </row>
    <row r="424" spans="1:25" x14ac:dyDescent="0.3">
      <c r="A424" s="55" t="s">
        <v>667</v>
      </c>
      <c r="V424" s="56" t="s">
        <v>667</v>
      </c>
      <c r="W424" s="56" t="str">
        <f t="shared" si="12"/>
        <v>31</v>
      </c>
      <c r="Y424" s="55" t="e">
        <f t="shared" si="13"/>
        <v>#N/A</v>
      </c>
    </row>
    <row r="425" spans="1:25" x14ac:dyDescent="0.3">
      <c r="A425" s="55" t="s">
        <v>668</v>
      </c>
      <c r="V425" s="56" t="s">
        <v>668</v>
      </c>
      <c r="W425" s="56" t="str">
        <f t="shared" si="12"/>
        <v>31</v>
      </c>
      <c r="Y425" s="55" t="e">
        <f t="shared" si="13"/>
        <v>#N/A</v>
      </c>
    </row>
    <row r="426" spans="1:25" x14ac:dyDescent="0.3">
      <c r="A426" s="55" t="s">
        <v>669</v>
      </c>
      <c r="V426" s="56" t="s">
        <v>669</v>
      </c>
      <c r="W426" s="56" t="str">
        <f t="shared" si="12"/>
        <v>31</v>
      </c>
      <c r="Y426" s="55" t="e">
        <f t="shared" si="13"/>
        <v>#N/A</v>
      </c>
    </row>
    <row r="427" spans="1:25" x14ac:dyDescent="0.3">
      <c r="A427" s="55" t="s">
        <v>670</v>
      </c>
      <c r="V427" s="56" t="s">
        <v>670</v>
      </c>
      <c r="W427" s="56" t="str">
        <f t="shared" si="12"/>
        <v>31</v>
      </c>
      <c r="Y427" s="55" t="e">
        <f t="shared" si="13"/>
        <v>#N/A</v>
      </c>
    </row>
    <row r="428" spans="1:25" x14ac:dyDescent="0.3">
      <c r="A428" s="55" t="s">
        <v>671</v>
      </c>
      <c r="V428" s="56" t="s">
        <v>671</v>
      </c>
      <c r="W428" s="56" t="str">
        <f t="shared" si="12"/>
        <v>31</v>
      </c>
      <c r="Y428" s="55" t="e">
        <f t="shared" si="13"/>
        <v>#N/A</v>
      </c>
    </row>
    <row r="429" spans="1:25" x14ac:dyDescent="0.3">
      <c r="A429" s="55" t="s">
        <v>672</v>
      </c>
      <c r="V429" s="56" t="s">
        <v>672</v>
      </c>
      <c r="W429" s="56" t="str">
        <f t="shared" si="12"/>
        <v>31</v>
      </c>
      <c r="Y429" s="55" t="e">
        <f t="shared" si="13"/>
        <v>#N/A</v>
      </c>
    </row>
    <row r="430" spans="1:25" x14ac:dyDescent="0.3">
      <c r="A430" s="55" t="s">
        <v>673</v>
      </c>
      <c r="V430" s="56" t="s">
        <v>673</v>
      </c>
      <c r="W430" s="56" t="str">
        <f t="shared" si="12"/>
        <v>31</v>
      </c>
      <c r="Y430" s="55" t="e">
        <f t="shared" si="13"/>
        <v>#N/A</v>
      </c>
    </row>
    <row r="431" spans="1:25" x14ac:dyDescent="0.3">
      <c r="A431" s="55" t="s">
        <v>674</v>
      </c>
      <c r="V431" s="56" t="s">
        <v>674</v>
      </c>
      <c r="W431" s="56" t="str">
        <f t="shared" si="12"/>
        <v>31</v>
      </c>
      <c r="Y431" s="55" t="e">
        <f t="shared" si="13"/>
        <v>#N/A</v>
      </c>
    </row>
    <row r="432" spans="1:25" x14ac:dyDescent="0.3">
      <c r="A432" s="55" t="s">
        <v>675</v>
      </c>
      <c r="V432" s="56" t="s">
        <v>675</v>
      </c>
      <c r="W432" s="56" t="str">
        <f t="shared" si="12"/>
        <v>31</v>
      </c>
      <c r="Y432" s="55" t="e">
        <f t="shared" si="13"/>
        <v>#N/A</v>
      </c>
    </row>
    <row r="433" spans="1:25" x14ac:dyDescent="0.3">
      <c r="A433" s="55" t="s">
        <v>676</v>
      </c>
      <c r="V433" s="56" t="s">
        <v>676</v>
      </c>
      <c r="W433" s="56" t="str">
        <f t="shared" si="12"/>
        <v>32</v>
      </c>
      <c r="Y433" s="55" t="e">
        <f t="shared" si="13"/>
        <v>#N/A</v>
      </c>
    </row>
    <row r="434" spans="1:25" x14ac:dyDescent="0.3">
      <c r="A434" s="55" t="s">
        <v>677</v>
      </c>
      <c r="V434" s="56" t="s">
        <v>677</v>
      </c>
      <c r="W434" s="56" t="str">
        <f t="shared" si="12"/>
        <v>32</v>
      </c>
      <c r="Y434" s="55" t="e">
        <f t="shared" si="13"/>
        <v>#N/A</v>
      </c>
    </row>
    <row r="435" spans="1:25" x14ac:dyDescent="0.3">
      <c r="A435" s="55" t="s">
        <v>678</v>
      </c>
      <c r="V435" s="56" t="s">
        <v>678</v>
      </c>
      <c r="W435" s="56" t="str">
        <f t="shared" si="12"/>
        <v>32</v>
      </c>
      <c r="Y435" s="55" t="e">
        <f t="shared" si="13"/>
        <v>#N/A</v>
      </c>
    </row>
    <row r="436" spans="1:25" x14ac:dyDescent="0.3">
      <c r="A436" s="55" t="s">
        <v>679</v>
      </c>
      <c r="V436" s="56" t="s">
        <v>679</v>
      </c>
      <c r="W436" s="56" t="str">
        <f t="shared" si="12"/>
        <v>32</v>
      </c>
      <c r="Y436" s="55" t="e">
        <f t="shared" si="13"/>
        <v>#N/A</v>
      </c>
    </row>
    <row r="437" spans="1:25" x14ac:dyDescent="0.3">
      <c r="A437" s="55" t="s">
        <v>680</v>
      </c>
      <c r="V437" s="56" t="s">
        <v>680</v>
      </c>
      <c r="W437" s="56" t="str">
        <f t="shared" si="12"/>
        <v>32</v>
      </c>
      <c r="Y437" s="55" t="e">
        <f t="shared" si="13"/>
        <v>#N/A</v>
      </c>
    </row>
    <row r="438" spans="1:25" x14ac:dyDescent="0.3">
      <c r="A438" s="55" t="s">
        <v>681</v>
      </c>
      <c r="V438" s="56" t="s">
        <v>681</v>
      </c>
      <c r="W438" s="56" t="str">
        <f t="shared" si="12"/>
        <v>32</v>
      </c>
      <c r="Y438" s="55" t="e">
        <f t="shared" si="13"/>
        <v>#N/A</v>
      </c>
    </row>
    <row r="439" spans="1:25" x14ac:dyDescent="0.3">
      <c r="A439" s="55" t="s">
        <v>682</v>
      </c>
      <c r="V439" s="56" t="s">
        <v>682</v>
      </c>
      <c r="W439" s="56" t="str">
        <f t="shared" si="12"/>
        <v>32</v>
      </c>
      <c r="Y439" s="55" t="e">
        <f t="shared" si="13"/>
        <v>#N/A</v>
      </c>
    </row>
    <row r="440" spans="1:25" x14ac:dyDescent="0.3">
      <c r="A440" s="55" t="s">
        <v>683</v>
      </c>
      <c r="V440" s="56" t="s">
        <v>683</v>
      </c>
      <c r="W440" s="56" t="str">
        <f t="shared" si="12"/>
        <v>32</v>
      </c>
      <c r="Y440" s="55" t="e">
        <f t="shared" si="13"/>
        <v>#N/A</v>
      </c>
    </row>
    <row r="441" spans="1:25" x14ac:dyDescent="0.3">
      <c r="A441" s="55" t="s">
        <v>684</v>
      </c>
      <c r="V441" s="56" t="s">
        <v>684</v>
      </c>
      <c r="W441" s="56" t="str">
        <f t="shared" si="12"/>
        <v>32</v>
      </c>
      <c r="Y441" s="55" t="e">
        <f t="shared" si="13"/>
        <v>#N/A</v>
      </c>
    </row>
    <row r="442" spans="1:25" x14ac:dyDescent="0.3">
      <c r="A442" s="55" t="s">
        <v>685</v>
      </c>
      <c r="V442" s="56" t="s">
        <v>685</v>
      </c>
      <c r="W442" s="56" t="str">
        <f t="shared" si="12"/>
        <v>32</v>
      </c>
      <c r="Y442" s="55" t="e">
        <f t="shared" si="13"/>
        <v>#N/A</v>
      </c>
    </row>
    <row r="443" spans="1:25" x14ac:dyDescent="0.3">
      <c r="A443" s="55" t="s">
        <v>686</v>
      </c>
      <c r="V443" s="56" t="s">
        <v>686</v>
      </c>
      <c r="W443" s="56" t="str">
        <f t="shared" si="12"/>
        <v>32</v>
      </c>
      <c r="Y443" s="55" t="e">
        <f t="shared" si="13"/>
        <v>#N/A</v>
      </c>
    </row>
    <row r="444" spans="1:25" x14ac:dyDescent="0.3">
      <c r="A444" s="55" t="s">
        <v>687</v>
      </c>
      <c r="V444" s="56" t="s">
        <v>687</v>
      </c>
      <c r="W444" s="56" t="str">
        <f t="shared" si="12"/>
        <v>32</v>
      </c>
      <c r="Y444" s="55" t="e">
        <f t="shared" si="13"/>
        <v>#N/A</v>
      </c>
    </row>
    <row r="445" spans="1:25" x14ac:dyDescent="0.3">
      <c r="A445" s="55" t="s">
        <v>688</v>
      </c>
      <c r="V445" s="56" t="s">
        <v>688</v>
      </c>
      <c r="W445" s="56" t="str">
        <f t="shared" si="12"/>
        <v>32</v>
      </c>
      <c r="Y445" s="55" t="e">
        <f t="shared" si="13"/>
        <v>#N/A</v>
      </c>
    </row>
    <row r="446" spans="1:25" x14ac:dyDescent="0.3">
      <c r="A446" s="55" t="s">
        <v>689</v>
      </c>
      <c r="V446" s="56" t="s">
        <v>689</v>
      </c>
      <c r="W446" s="56" t="str">
        <f t="shared" si="12"/>
        <v>32</v>
      </c>
      <c r="Y446" s="55" t="e">
        <f t="shared" si="13"/>
        <v>#N/A</v>
      </c>
    </row>
    <row r="447" spans="1:25" x14ac:dyDescent="0.3">
      <c r="A447" s="55" t="s">
        <v>690</v>
      </c>
      <c r="V447" s="56" t="s">
        <v>690</v>
      </c>
      <c r="W447" s="56" t="str">
        <f t="shared" si="12"/>
        <v>32</v>
      </c>
      <c r="Y447" s="55" t="e">
        <f t="shared" si="13"/>
        <v>#N/A</v>
      </c>
    </row>
    <row r="448" spans="1:25" x14ac:dyDescent="0.3">
      <c r="A448" s="55" t="s">
        <v>691</v>
      </c>
      <c r="V448" s="56" t="s">
        <v>691</v>
      </c>
      <c r="W448" s="56" t="str">
        <f t="shared" si="12"/>
        <v>32</v>
      </c>
      <c r="Y448" s="55" t="e">
        <f t="shared" si="13"/>
        <v>#N/A</v>
      </c>
    </row>
    <row r="449" spans="1:25" x14ac:dyDescent="0.3">
      <c r="A449" s="55" t="s">
        <v>692</v>
      </c>
      <c r="V449" s="56" t="s">
        <v>692</v>
      </c>
      <c r="W449" s="56" t="str">
        <f t="shared" si="12"/>
        <v>32</v>
      </c>
      <c r="Y449" s="55" t="e">
        <f t="shared" si="13"/>
        <v>#N/A</v>
      </c>
    </row>
    <row r="450" spans="1:25" x14ac:dyDescent="0.3">
      <c r="A450" s="55" t="s">
        <v>693</v>
      </c>
      <c r="V450" s="56" t="s">
        <v>693</v>
      </c>
      <c r="W450" s="56" t="str">
        <f t="shared" si="12"/>
        <v>32</v>
      </c>
      <c r="Y450" s="55" t="e">
        <f t="shared" si="13"/>
        <v>#N/A</v>
      </c>
    </row>
    <row r="451" spans="1:25" x14ac:dyDescent="0.3">
      <c r="A451" s="55" t="s">
        <v>693</v>
      </c>
      <c r="V451" s="56" t="s">
        <v>693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1:25" x14ac:dyDescent="0.3">
      <c r="A452" s="55" t="s">
        <v>694</v>
      </c>
      <c r="V452" s="56" t="s">
        <v>694</v>
      </c>
      <c r="W452" s="56" t="str">
        <f t="shared" si="14"/>
        <v>32</v>
      </c>
      <c r="Y452" s="55" t="e">
        <f t="shared" si="15"/>
        <v>#N/A</v>
      </c>
    </row>
    <row r="453" spans="1:25" x14ac:dyDescent="0.3">
      <c r="A453" s="55" t="s">
        <v>695</v>
      </c>
      <c r="V453" s="56" t="s">
        <v>695</v>
      </c>
      <c r="W453" s="56" t="str">
        <f t="shared" si="14"/>
        <v>32</v>
      </c>
      <c r="Y453" s="55" t="e">
        <f t="shared" si="15"/>
        <v>#N/A</v>
      </c>
    </row>
    <row r="454" spans="1:25" x14ac:dyDescent="0.3">
      <c r="A454" s="55" t="s">
        <v>696</v>
      </c>
      <c r="V454" s="56" t="s">
        <v>696</v>
      </c>
      <c r="W454" s="56" t="str">
        <f t="shared" si="14"/>
        <v>32</v>
      </c>
      <c r="Y454" s="55" t="e">
        <f t="shared" si="15"/>
        <v>#N/A</v>
      </c>
    </row>
    <row r="455" spans="1:25" x14ac:dyDescent="0.3">
      <c r="A455" s="55" t="s">
        <v>697</v>
      </c>
      <c r="V455" s="56" t="s">
        <v>697</v>
      </c>
      <c r="W455" s="56" t="str">
        <f t="shared" si="14"/>
        <v>32</v>
      </c>
      <c r="Y455" s="55" t="e">
        <f t="shared" si="15"/>
        <v>#N/A</v>
      </c>
    </row>
    <row r="456" spans="1:25" x14ac:dyDescent="0.3">
      <c r="A456" s="55" t="s">
        <v>698</v>
      </c>
      <c r="V456" s="56" t="s">
        <v>698</v>
      </c>
      <c r="W456" s="56" t="str">
        <f t="shared" si="14"/>
        <v>32</v>
      </c>
      <c r="Y456" s="55" t="e">
        <f t="shared" si="15"/>
        <v>#N/A</v>
      </c>
    </row>
    <row r="457" spans="1:25" x14ac:dyDescent="0.3">
      <c r="A457" s="55" t="s">
        <v>699</v>
      </c>
      <c r="V457" s="56" t="s">
        <v>699</v>
      </c>
      <c r="W457" s="56" t="str">
        <f t="shared" si="14"/>
        <v>32</v>
      </c>
      <c r="Y457" s="55" t="e">
        <f t="shared" si="15"/>
        <v>#N/A</v>
      </c>
    </row>
    <row r="458" spans="1:25" x14ac:dyDescent="0.3">
      <c r="A458" s="55" t="s">
        <v>699</v>
      </c>
      <c r="V458" s="56" t="s">
        <v>699</v>
      </c>
      <c r="W458" s="56" t="str">
        <f t="shared" si="14"/>
        <v>32</v>
      </c>
      <c r="Y458" s="55" t="e">
        <f t="shared" si="15"/>
        <v>#N/A</v>
      </c>
    </row>
    <row r="459" spans="1:25" x14ac:dyDescent="0.3">
      <c r="A459" s="55" t="s">
        <v>699</v>
      </c>
      <c r="V459" s="56" t="s">
        <v>699</v>
      </c>
      <c r="W459" s="56" t="str">
        <f t="shared" si="14"/>
        <v>32</v>
      </c>
      <c r="Y459" s="55" t="e">
        <f t="shared" si="15"/>
        <v>#N/A</v>
      </c>
    </row>
    <row r="460" spans="1:25" x14ac:dyDescent="0.3">
      <c r="A460" s="55" t="s">
        <v>700</v>
      </c>
      <c r="V460" s="56" t="s">
        <v>700</v>
      </c>
      <c r="W460" s="56" t="str">
        <f t="shared" si="14"/>
        <v>32</v>
      </c>
      <c r="Y460" s="55" t="e">
        <f t="shared" si="15"/>
        <v>#N/A</v>
      </c>
    </row>
    <row r="461" spans="1:25" x14ac:dyDescent="0.3">
      <c r="A461" s="55" t="s">
        <v>701</v>
      </c>
      <c r="V461" s="56" t="s">
        <v>701</v>
      </c>
      <c r="W461" s="56" t="str">
        <f t="shared" si="14"/>
        <v>32</v>
      </c>
      <c r="Y461" s="55" t="e">
        <f t="shared" si="15"/>
        <v>#N/A</v>
      </c>
    </row>
    <row r="462" spans="1:25" x14ac:dyDescent="0.3">
      <c r="A462" s="55" t="s">
        <v>702</v>
      </c>
      <c r="V462" s="56" t="s">
        <v>702</v>
      </c>
      <c r="W462" s="56" t="str">
        <f t="shared" si="14"/>
        <v>32</v>
      </c>
      <c r="Y462" s="55" t="e">
        <f t="shared" si="15"/>
        <v>#N/A</v>
      </c>
    </row>
    <row r="463" spans="1:25" x14ac:dyDescent="0.3">
      <c r="A463" s="55" t="s">
        <v>703</v>
      </c>
      <c r="V463" s="56" t="s">
        <v>703</v>
      </c>
      <c r="W463" s="56" t="str">
        <f t="shared" si="14"/>
        <v>32</v>
      </c>
      <c r="Y463" s="55" t="e">
        <f t="shared" si="15"/>
        <v>#N/A</v>
      </c>
    </row>
    <row r="464" spans="1:25" x14ac:dyDescent="0.3">
      <c r="A464" s="55" t="s">
        <v>704</v>
      </c>
      <c r="V464" s="56" t="s">
        <v>704</v>
      </c>
      <c r="W464" s="56" t="str">
        <f t="shared" si="14"/>
        <v>32</v>
      </c>
      <c r="Y464" s="55" t="e">
        <f t="shared" si="15"/>
        <v>#N/A</v>
      </c>
    </row>
    <row r="465" spans="1:25" x14ac:dyDescent="0.3">
      <c r="A465" s="55" t="s">
        <v>705</v>
      </c>
      <c r="V465" s="56" t="s">
        <v>705</v>
      </c>
      <c r="W465" s="56" t="str">
        <f t="shared" si="14"/>
        <v>32</v>
      </c>
      <c r="Y465" s="55" t="e">
        <f t="shared" si="15"/>
        <v>#N/A</v>
      </c>
    </row>
    <row r="466" spans="1:25" x14ac:dyDescent="0.3">
      <c r="A466" s="55" t="s">
        <v>706</v>
      </c>
      <c r="V466" s="56" t="s">
        <v>706</v>
      </c>
      <c r="W466" s="56" t="str">
        <f t="shared" si="14"/>
        <v>32</v>
      </c>
      <c r="Y466" s="55" t="e">
        <f t="shared" si="15"/>
        <v>#N/A</v>
      </c>
    </row>
    <row r="467" spans="1:25" x14ac:dyDescent="0.3">
      <c r="A467" s="55" t="s">
        <v>707</v>
      </c>
      <c r="V467" s="56" t="s">
        <v>707</v>
      </c>
      <c r="W467" s="56" t="str">
        <f t="shared" si="14"/>
        <v>32</v>
      </c>
      <c r="Y467" s="55" t="e">
        <f t="shared" si="15"/>
        <v>#N/A</v>
      </c>
    </row>
    <row r="468" spans="1:25" x14ac:dyDescent="0.3">
      <c r="A468" s="55" t="s">
        <v>708</v>
      </c>
      <c r="V468" s="56" t="s">
        <v>708</v>
      </c>
      <c r="W468" s="56" t="str">
        <f t="shared" si="14"/>
        <v>33</v>
      </c>
      <c r="Y468" s="55" t="e">
        <f t="shared" si="15"/>
        <v>#N/A</v>
      </c>
    </row>
    <row r="469" spans="1:25" x14ac:dyDescent="0.3">
      <c r="A469" s="55" t="s">
        <v>709</v>
      </c>
      <c r="V469" s="56" t="s">
        <v>709</v>
      </c>
      <c r="W469" s="56" t="str">
        <f t="shared" si="14"/>
        <v>33</v>
      </c>
      <c r="Y469" s="55" t="e">
        <f t="shared" si="15"/>
        <v>#N/A</v>
      </c>
    </row>
    <row r="470" spans="1:25" x14ac:dyDescent="0.3">
      <c r="A470" s="55" t="s">
        <v>710</v>
      </c>
      <c r="V470" s="56" t="s">
        <v>710</v>
      </c>
      <c r="W470" s="56" t="str">
        <f t="shared" si="14"/>
        <v>33</v>
      </c>
      <c r="Y470" s="55" t="e">
        <f t="shared" si="15"/>
        <v>#N/A</v>
      </c>
    </row>
    <row r="471" spans="1:25" x14ac:dyDescent="0.3">
      <c r="A471" s="55" t="s">
        <v>711</v>
      </c>
      <c r="V471" s="56" t="s">
        <v>711</v>
      </c>
      <c r="W471" s="56" t="str">
        <f t="shared" si="14"/>
        <v>34</v>
      </c>
      <c r="Y471" s="55" t="e">
        <f t="shared" si="15"/>
        <v>#N/A</v>
      </c>
    </row>
    <row r="472" spans="1:25" x14ac:dyDescent="0.3">
      <c r="A472" s="55" t="s">
        <v>712</v>
      </c>
      <c r="V472" s="56" t="s">
        <v>712</v>
      </c>
      <c r="W472" s="56" t="str">
        <f t="shared" si="14"/>
        <v>35</v>
      </c>
      <c r="Y472" s="55" t="e">
        <f t="shared" si="15"/>
        <v>#N/A</v>
      </c>
    </row>
    <row r="473" spans="1:25" x14ac:dyDescent="0.3">
      <c r="A473" s="55" t="s">
        <v>712</v>
      </c>
      <c r="V473" s="56" t="s">
        <v>712</v>
      </c>
      <c r="W473" s="56" t="str">
        <f t="shared" si="14"/>
        <v>35</v>
      </c>
      <c r="Y473" s="55" t="e">
        <f t="shared" si="15"/>
        <v>#N/A</v>
      </c>
    </row>
    <row r="474" spans="1:25" x14ac:dyDescent="0.3">
      <c r="A474" s="55" t="s">
        <v>713</v>
      </c>
      <c r="V474" s="56" t="s">
        <v>713</v>
      </c>
      <c r="W474" s="56" t="str">
        <f t="shared" si="14"/>
        <v>35</v>
      </c>
      <c r="Y474" s="55" t="e">
        <f t="shared" si="15"/>
        <v>#N/A</v>
      </c>
    </row>
    <row r="475" spans="1:25" x14ac:dyDescent="0.3">
      <c r="A475" s="55" t="s">
        <v>713</v>
      </c>
      <c r="V475" s="56" t="s">
        <v>713</v>
      </c>
      <c r="W475" s="56" t="str">
        <f t="shared" si="14"/>
        <v>35</v>
      </c>
      <c r="Y475" s="55" t="e">
        <f t="shared" si="15"/>
        <v>#N/A</v>
      </c>
    </row>
    <row r="476" spans="1:25" x14ac:dyDescent="0.3">
      <c r="A476" s="55" t="s">
        <v>713</v>
      </c>
      <c r="V476" s="56" t="s">
        <v>713</v>
      </c>
      <c r="W476" s="56" t="str">
        <f t="shared" si="14"/>
        <v>35</v>
      </c>
      <c r="Y476" s="55" t="e">
        <f t="shared" si="15"/>
        <v>#N/A</v>
      </c>
    </row>
    <row r="477" spans="1:25" x14ac:dyDescent="0.3">
      <c r="A477" s="55" t="s">
        <v>713</v>
      </c>
      <c r="V477" s="56" t="s">
        <v>713</v>
      </c>
      <c r="W477" s="56" t="str">
        <f t="shared" si="14"/>
        <v>35</v>
      </c>
      <c r="Y477" s="55" t="e">
        <f t="shared" si="15"/>
        <v>#N/A</v>
      </c>
    </row>
    <row r="478" spans="1:25" x14ac:dyDescent="0.3">
      <c r="A478" s="55" t="s">
        <v>713</v>
      </c>
      <c r="V478" s="56" t="s">
        <v>713</v>
      </c>
      <c r="W478" s="56" t="str">
        <f t="shared" si="14"/>
        <v>35</v>
      </c>
      <c r="Y478" s="55" t="e">
        <f t="shared" si="15"/>
        <v>#N/A</v>
      </c>
    </row>
    <row r="479" spans="1:25" x14ac:dyDescent="0.3">
      <c r="A479" s="55" t="s">
        <v>713</v>
      </c>
      <c r="V479" s="56" t="s">
        <v>713</v>
      </c>
      <c r="W479" s="56" t="str">
        <f t="shared" si="14"/>
        <v>35</v>
      </c>
      <c r="Y479" s="55" t="e">
        <f t="shared" si="15"/>
        <v>#N/A</v>
      </c>
    </row>
    <row r="480" spans="1:25" x14ac:dyDescent="0.3">
      <c r="A480" s="55" t="s">
        <v>713</v>
      </c>
      <c r="V480" s="56" t="s">
        <v>713</v>
      </c>
      <c r="W480" s="56" t="str">
        <f t="shared" si="14"/>
        <v>35</v>
      </c>
      <c r="Y480" s="55" t="e">
        <f t="shared" si="15"/>
        <v>#N/A</v>
      </c>
    </row>
    <row r="481" spans="1:25" x14ac:dyDescent="0.3">
      <c r="A481" s="55" t="s">
        <v>714</v>
      </c>
      <c r="V481" s="56" t="s">
        <v>714</v>
      </c>
      <c r="W481" s="56" t="str">
        <f t="shared" si="14"/>
        <v>35</v>
      </c>
      <c r="Y481" s="55" t="e">
        <f t="shared" si="15"/>
        <v>#N/A</v>
      </c>
    </row>
    <row r="482" spans="1:25" x14ac:dyDescent="0.3">
      <c r="A482" s="55" t="s">
        <v>714</v>
      </c>
      <c r="V482" s="56" t="s">
        <v>714</v>
      </c>
      <c r="W482" s="56" t="str">
        <f t="shared" si="14"/>
        <v>35</v>
      </c>
      <c r="Y482" s="55" t="e">
        <f t="shared" si="15"/>
        <v>#N/A</v>
      </c>
    </row>
    <row r="483" spans="1:25" x14ac:dyDescent="0.3">
      <c r="A483" s="55" t="s">
        <v>715</v>
      </c>
      <c r="V483" s="56" t="s">
        <v>715</v>
      </c>
      <c r="W483" s="56" t="str">
        <f t="shared" si="14"/>
        <v>35</v>
      </c>
      <c r="Y483" s="55" t="e">
        <f t="shared" si="15"/>
        <v>#N/A</v>
      </c>
    </row>
    <row r="484" spans="1:25" x14ac:dyDescent="0.3">
      <c r="A484" s="55" t="s">
        <v>715</v>
      </c>
      <c r="V484" s="56" t="s">
        <v>715</v>
      </c>
      <c r="W484" s="56" t="str">
        <f t="shared" si="14"/>
        <v>35</v>
      </c>
      <c r="Y484" s="55" t="e">
        <f t="shared" si="15"/>
        <v>#N/A</v>
      </c>
    </row>
    <row r="485" spans="1:25" x14ac:dyDescent="0.3">
      <c r="A485" s="55" t="s">
        <v>716</v>
      </c>
      <c r="V485" s="56" t="s">
        <v>716</v>
      </c>
      <c r="W485" s="56" t="str">
        <f t="shared" si="14"/>
        <v>35</v>
      </c>
      <c r="Y485" s="55" t="e">
        <f t="shared" si="15"/>
        <v>#N/A</v>
      </c>
    </row>
    <row r="486" spans="1:25" x14ac:dyDescent="0.3">
      <c r="A486" s="55" t="s">
        <v>717</v>
      </c>
      <c r="V486" s="56" t="s">
        <v>717</v>
      </c>
      <c r="W486" s="56" t="str">
        <f t="shared" si="14"/>
        <v>35</v>
      </c>
      <c r="Y486" s="55" t="e">
        <f t="shared" si="15"/>
        <v>#N/A</v>
      </c>
    </row>
    <row r="487" spans="1:25" x14ac:dyDescent="0.3">
      <c r="A487" s="55" t="s">
        <v>717</v>
      </c>
      <c r="V487" s="56" t="s">
        <v>717</v>
      </c>
      <c r="W487" s="56" t="str">
        <f t="shared" si="14"/>
        <v>35</v>
      </c>
      <c r="Y487" s="55" t="e">
        <f t="shared" si="15"/>
        <v>#N/A</v>
      </c>
    </row>
    <row r="488" spans="1:25" x14ac:dyDescent="0.3">
      <c r="A488" s="55" t="s">
        <v>717</v>
      </c>
      <c r="V488" s="56" t="s">
        <v>717</v>
      </c>
      <c r="W488" s="56" t="str">
        <f t="shared" si="14"/>
        <v>35</v>
      </c>
      <c r="Y488" s="55" t="e">
        <f t="shared" si="15"/>
        <v>#N/A</v>
      </c>
    </row>
    <row r="489" spans="1:25" x14ac:dyDescent="0.3">
      <c r="A489" s="55" t="s">
        <v>717</v>
      </c>
      <c r="V489" s="56" t="s">
        <v>717</v>
      </c>
      <c r="W489" s="56" t="str">
        <f t="shared" si="14"/>
        <v>35</v>
      </c>
      <c r="Y489" s="55" t="e">
        <f t="shared" si="15"/>
        <v>#N/A</v>
      </c>
    </row>
    <row r="490" spans="1:25" x14ac:dyDescent="0.3">
      <c r="A490" s="55" t="s">
        <v>718</v>
      </c>
      <c r="V490" s="56" t="s">
        <v>718</v>
      </c>
      <c r="W490" s="56" t="str">
        <f t="shared" si="14"/>
        <v>35</v>
      </c>
      <c r="Y490" s="55" t="e">
        <f t="shared" si="15"/>
        <v>#N/A</v>
      </c>
    </row>
    <row r="491" spans="1:25" x14ac:dyDescent="0.3">
      <c r="A491" s="55" t="s">
        <v>719</v>
      </c>
      <c r="V491" s="56" t="s">
        <v>719</v>
      </c>
      <c r="W491" s="56" t="str">
        <f t="shared" si="14"/>
        <v>35</v>
      </c>
      <c r="Y491" s="55" t="e">
        <f t="shared" si="15"/>
        <v>#N/A</v>
      </c>
    </row>
    <row r="492" spans="1:25" x14ac:dyDescent="0.3">
      <c r="A492" s="55" t="s">
        <v>719</v>
      </c>
      <c r="V492" s="56" t="s">
        <v>719</v>
      </c>
      <c r="W492" s="56" t="str">
        <f t="shared" si="14"/>
        <v>35</v>
      </c>
      <c r="Y492" s="55" t="e">
        <f t="shared" si="15"/>
        <v>#N/A</v>
      </c>
    </row>
    <row r="493" spans="1:25" x14ac:dyDescent="0.3">
      <c r="A493" s="55" t="s">
        <v>719</v>
      </c>
      <c r="V493" s="56" t="s">
        <v>719</v>
      </c>
      <c r="W493" s="56" t="str">
        <f t="shared" si="14"/>
        <v>35</v>
      </c>
      <c r="Y493" s="55" t="e">
        <f t="shared" si="15"/>
        <v>#N/A</v>
      </c>
    </row>
    <row r="494" spans="1:25" x14ac:dyDescent="0.3">
      <c r="A494" s="55" t="s">
        <v>720</v>
      </c>
      <c r="V494" s="56" t="s">
        <v>720</v>
      </c>
      <c r="W494" s="56" t="str">
        <f t="shared" si="14"/>
        <v>35</v>
      </c>
      <c r="Y494" s="55" t="e">
        <f t="shared" si="15"/>
        <v>#N/A</v>
      </c>
    </row>
    <row r="495" spans="1:25" x14ac:dyDescent="0.3">
      <c r="A495" s="55" t="s">
        <v>720</v>
      </c>
      <c r="V495" s="56" t="s">
        <v>720</v>
      </c>
      <c r="W495" s="56" t="str">
        <f t="shared" si="14"/>
        <v>35</v>
      </c>
      <c r="Y495" s="55" t="e">
        <f t="shared" si="15"/>
        <v>#N/A</v>
      </c>
    </row>
    <row r="496" spans="1:25" x14ac:dyDescent="0.3">
      <c r="A496" s="55" t="s">
        <v>721</v>
      </c>
      <c r="V496" s="56" t="s">
        <v>721</v>
      </c>
      <c r="W496" s="56" t="str">
        <f t="shared" si="14"/>
        <v>35</v>
      </c>
      <c r="Y496" s="55" t="e">
        <f t="shared" si="15"/>
        <v>#N/A</v>
      </c>
    </row>
    <row r="497" spans="1:25" x14ac:dyDescent="0.3">
      <c r="A497" s="55" t="s">
        <v>722</v>
      </c>
      <c r="V497" s="56" t="s">
        <v>722</v>
      </c>
      <c r="W497" s="56" t="str">
        <f t="shared" si="14"/>
        <v>35</v>
      </c>
      <c r="Y497" s="55" t="e">
        <f t="shared" si="15"/>
        <v>#N/A</v>
      </c>
    </row>
    <row r="498" spans="1:25" x14ac:dyDescent="0.3">
      <c r="A498" s="55" t="s">
        <v>723</v>
      </c>
      <c r="V498" s="56" t="s">
        <v>723</v>
      </c>
      <c r="W498" s="56" t="str">
        <f t="shared" si="14"/>
        <v>35</v>
      </c>
      <c r="Y498" s="55" t="e">
        <f t="shared" si="15"/>
        <v>#N/A</v>
      </c>
    </row>
    <row r="499" spans="1:25" x14ac:dyDescent="0.3">
      <c r="A499" s="55" t="s">
        <v>723</v>
      </c>
      <c r="V499" s="56" t="s">
        <v>723</v>
      </c>
      <c r="W499" s="56" t="str">
        <f t="shared" si="14"/>
        <v>35</v>
      </c>
      <c r="Y499" s="55" t="e">
        <f t="shared" si="15"/>
        <v>#N/A</v>
      </c>
    </row>
    <row r="500" spans="1:25" x14ac:dyDescent="0.3">
      <c r="A500" s="55" t="s">
        <v>723</v>
      </c>
      <c r="V500" s="56" t="s">
        <v>723</v>
      </c>
      <c r="W500" s="56" t="str">
        <f t="shared" si="14"/>
        <v>35</v>
      </c>
      <c r="Y500" s="55" t="e">
        <f t="shared" si="15"/>
        <v>#N/A</v>
      </c>
    </row>
    <row r="501" spans="1:25" x14ac:dyDescent="0.3">
      <c r="A501" s="55" t="s">
        <v>724</v>
      </c>
      <c r="V501" s="56" t="s">
        <v>724</v>
      </c>
      <c r="W501" s="56" t="str">
        <f t="shared" si="14"/>
        <v>35</v>
      </c>
      <c r="Y501" s="55" t="e">
        <f t="shared" si="15"/>
        <v>#N/A</v>
      </c>
    </row>
    <row r="502" spans="1:25" x14ac:dyDescent="0.3">
      <c r="A502" s="55" t="s">
        <v>724</v>
      </c>
      <c r="V502" s="56" t="s">
        <v>724</v>
      </c>
      <c r="W502" s="56" t="str">
        <f t="shared" si="14"/>
        <v>35</v>
      </c>
      <c r="Y502" s="55" t="e">
        <f t="shared" si="15"/>
        <v>#N/A</v>
      </c>
    </row>
    <row r="503" spans="1:25" x14ac:dyDescent="0.3">
      <c r="A503" s="55" t="s">
        <v>724</v>
      </c>
      <c r="V503" s="56" t="s">
        <v>724</v>
      </c>
      <c r="W503" s="56" t="str">
        <f t="shared" si="14"/>
        <v>35</v>
      </c>
      <c r="Y503" s="55" t="e">
        <f t="shared" si="15"/>
        <v>#N/A</v>
      </c>
    </row>
    <row r="504" spans="1:25" x14ac:dyDescent="0.3">
      <c r="A504" s="55" t="s">
        <v>725</v>
      </c>
      <c r="V504" s="56" t="s">
        <v>725</v>
      </c>
      <c r="W504" s="56" t="str">
        <f t="shared" si="14"/>
        <v>35</v>
      </c>
      <c r="Y504" s="55" t="e">
        <f t="shared" si="15"/>
        <v>#N/A</v>
      </c>
    </row>
    <row r="505" spans="1:25" x14ac:dyDescent="0.3">
      <c r="A505" s="55" t="s">
        <v>726</v>
      </c>
      <c r="V505" s="56" t="s">
        <v>726</v>
      </c>
      <c r="W505" s="56" t="str">
        <f t="shared" si="14"/>
        <v>35</v>
      </c>
      <c r="Y505" s="55" t="e">
        <f t="shared" si="15"/>
        <v>#N/A</v>
      </c>
    </row>
    <row r="506" spans="1:25" x14ac:dyDescent="0.3">
      <c r="A506" s="55" t="s">
        <v>727</v>
      </c>
      <c r="V506" s="56" t="s">
        <v>727</v>
      </c>
      <c r="W506" s="56" t="str">
        <f t="shared" si="14"/>
        <v>35</v>
      </c>
      <c r="Y506" s="55" t="e">
        <f t="shared" si="15"/>
        <v>#N/A</v>
      </c>
    </row>
    <row r="507" spans="1:25" x14ac:dyDescent="0.3">
      <c r="A507" s="55" t="s">
        <v>727</v>
      </c>
      <c r="V507" s="56" t="s">
        <v>727</v>
      </c>
      <c r="W507" s="56" t="str">
        <f t="shared" si="14"/>
        <v>35</v>
      </c>
      <c r="Y507" s="55" t="e">
        <f t="shared" si="15"/>
        <v>#N/A</v>
      </c>
    </row>
    <row r="508" spans="1:25" x14ac:dyDescent="0.3">
      <c r="A508" s="55" t="s">
        <v>728</v>
      </c>
      <c r="V508" s="56" t="s">
        <v>728</v>
      </c>
      <c r="W508" s="56" t="str">
        <f t="shared" si="14"/>
        <v>35</v>
      </c>
      <c r="Y508" s="55" t="e">
        <f t="shared" si="15"/>
        <v>#N/A</v>
      </c>
    </row>
    <row r="509" spans="1:25" x14ac:dyDescent="0.3">
      <c r="A509" s="55" t="s">
        <v>729</v>
      </c>
      <c r="V509" s="56" t="s">
        <v>729</v>
      </c>
      <c r="W509" s="56" t="str">
        <f t="shared" si="14"/>
        <v>35</v>
      </c>
      <c r="Y509" s="55" t="e">
        <f t="shared" si="15"/>
        <v>#N/A</v>
      </c>
    </row>
    <row r="510" spans="1:25" x14ac:dyDescent="0.3">
      <c r="A510" s="55" t="s">
        <v>729</v>
      </c>
      <c r="V510" s="56" t="s">
        <v>729</v>
      </c>
      <c r="W510" s="56" t="str">
        <f t="shared" si="14"/>
        <v>35</v>
      </c>
      <c r="Y510" s="55" t="e">
        <f t="shared" si="15"/>
        <v>#N/A</v>
      </c>
    </row>
    <row r="511" spans="1:25" x14ac:dyDescent="0.3">
      <c r="A511" s="55" t="s">
        <v>730</v>
      </c>
      <c r="V511" s="56" t="s">
        <v>730</v>
      </c>
      <c r="W511" s="56" t="str">
        <f t="shared" si="14"/>
        <v>35</v>
      </c>
      <c r="Y511" s="55" t="e">
        <f t="shared" si="15"/>
        <v>#N/A</v>
      </c>
    </row>
    <row r="512" spans="1:25" x14ac:dyDescent="0.3">
      <c r="A512" s="55" t="s">
        <v>731</v>
      </c>
      <c r="V512" s="56" t="s">
        <v>731</v>
      </c>
      <c r="W512" s="56" t="str">
        <f t="shared" si="14"/>
        <v>35</v>
      </c>
      <c r="Y512" s="55" t="e">
        <f t="shared" si="15"/>
        <v>#N/A</v>
      </c>
    </row>
    <row r="513" spans="1:25" x14ac:dyDescent="0.3">
      <c r="A513" s="55" t="s">
        <v>731</v>
      </c>
      <c r="V513" s="56" t="s">
        <v>731</v>
      </c>
      <c r="W513" s="56" t="str">
        <f t="shared" si="14"/>
        <v>35</v>
      </c>
      <c r="Y513" s="55" t="e">
        <f t="shared" si="15"/>
        <v>#N/A</v>
      </c>
    </row>
    <row r="514" spans="1:25" x14ac:dyDescent="0.3">
      <c r="A514" s="55" t="s">
        <v>732</v>
      </c>
      <c r="V514" s="56" t="s">
        <v>732</v>
      </c>
      <c r="W514" s="56" t="str">
        <f t="shared" si="14"/>
        <v>35</v>
      </c>
      <c r="Y514" s="55" t="e">
        <f t="shared" si="15"/>
        <v>#N/A</v>
      </c>
    </row>
    <row r="515" spans="1:25" x14ac:dyDescent="0.3">
      <c r="A515" s="55" t="s">
        <v>732</v>
      </c>
      <c r="V515" s="56" t="s">
        <v>732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1:25" x14ac:dyDescent="0.3">
      <c r="A516" s="55" t="s">
        <v>732</v>
      </c>
      <c r="V516" s="56" t="s">
        <v>732</v>
      </c>
      <c r="W516" s="56" t="str">
        <f t="shared" si="16"/>
        <v>35</v>
      </c>
      <c r="Y516" s="55" t="e">
        <f t="shared" si="17"/>
        <v>#N/A</v>
      </c>
    </row>
    <row r="517" spans="1:25" x14ac:dyDescent="0.3">
      <c r="A517" s="55" t="s">
        <v>733</v>
      </c>
      <c r="V517" s="56" t="s">
        <v>733</v>
      </c>
      <c r="W517" s="56" t="str">
        <f t="shared" si="16"/>
        <v>35</v>
      </c>
      <c r="Y517" s="55" t="e">
        <f t="shared" si="17"/>
        <v>#N/A</v>
      </c>
    </row>
    <row r="518" spans="1:25" x14ac:dyDescent="0.3">
      <c r="A518" s="55" t="s">
        <v>734</v>
      </c>
      <c r="V518" s="56" t="s">
        <v>734</v>
      </c>
      <c r="W518" s="56" t="str">
        <f t="shared" si="16"/>
        <v>35</v>
      </c>
      <c r="Y518" s="55" t="e">
        <f t="shared" si="17"/>
        <v>#N/A</v>
      </c>
    </row>
    <row r="519" spans="1:25" x14ac:dyDescent="0.3">
      <c r="A519" s="55" t="s">
        <v>734</v>
      </c>
      <c r="V519" s="56" t="s">
        <v>734</v>
      </c>
      <c r="W519" s="56" t="str">
        <f t="shared" si="16"/>
        <v>35</v>
      </c>
      <c r="Y519" s="55" t="e">
        <f t="shared" si="17"/>
        <v>#N/A</v>
      </c>
    </row>
    <row r="520" spans="1:25" x14ac:dyDescent="0.3">
      <c r="A520" s="55" t="s">
        <v>735</v>
      </c>
      <c r="V520" s="56" t="s">
        <v>735</v>
      </c>
      <c r="W520" s="56" t="str">
        <f t="shared" si="16"/>
        <v>35</v>
      </c>
      <c r="Y520" s="55" t="e">
        <f t="shared" si="17"/>
        <v>#N/A</v>
      </c>
    </row>
    <row r="521" spans="1:25" x14ac:dyDescent="0.3">
      <c r="A521" s="55" t="s">
        <v>736</v>
      </c>
      <c r="V521" s="56" t="s">
        <v>736</v>
      </c>
      <c r="W521" s="56" t="str">
        <f t="shared" si="16"/>
        <v>35</v>
      </c>
      <c r="Y521" s="55" t="e">
        <f t="shared" si="17"/>
        <v>#N/A</v>
      </c>
    </row>
    <row r="522" spans="1:25" x14ac:dyDescent="0.3">
      <c r="A522" s="55" t="s">
        <v>736</v>
      </c>
      <c r="V522" s="56" t="s">
        <v>736</v>
      </c>
      <c r="W522" s="56" t="str">
        <f t="shared" si="16"/>
        <v>35</v>
      </c>
      <c r="Y522" s="55" t="e">
        <f t="shared" si="17"/>
        <v>#N/A</v>
      </c>
    </row>
    <row r="523" spans="1:25" x14ac:dyDescent="0.3">
      <c r="A523" s="55" t="s">
        <v>737</v>
      </c>
      <c r="V523" s="56" t="s">
        <v>737</v>
      </c>
      <c r="W523" s="56" t="str">
        <f t="shared" si="16"/>
        <v>35</v>
      </c>
      <c r="Y523" s="55" t="e">
        <f t="shared" si="17"/>
        <v>#N/A</v>
      </c>
    </row>
    <row r="524" spans="1:25" x14ac:dyDescent="0.3">
      <c r="A524" s="55" t="s">
        <v>737</v>
      </c>
      <c r="V524" s="56" t="s">
        <v>737</v>
      </c>
      <c r="W524" s="56" t="str">
        <f t="shared" si="16"/>
        <v>35</v>
      </c>
      <c r="Y524" s="55" t="e">
        <f t="shared" si="17"/>
        <v>#N/A</v>
      </c>
    </row>
    <row r="525" spans="1:25" x14ac:dyDescent="0.3">
      <c r="A525" s="55" t="s">
        <v>737</v>
      </c>
      <c r="V525" s="56" t="s">
        <v>737</v>
      </c>
      <c r="W525" s="56" t="str">
        <f t="shared" si="16"/>
        <v>35</v>
      </c>
      <c r="Y525" s="55" t="e">
        <f t="shared" si="17"/>
        <v>#N/A</v>
      </c>
    </row>
    <row r="526" spans="1:25" x14ac:dyDescent="0.3">
      <c r="A526" s="55" t="s">
        <v>737</v>
      </c>
      <c r="V526" s="56" t="s">
        <v>737</v>
      </c>
      <c r="W526" s="56" t="str">
        <f t="shared" si="16"/>
        <v>35</v>
      </c>
      <c r="Y526" s="55" t="e">
        <f t="shared" si="17"/>
        <v>#N/A</v>
      </c>
    </row>
    <row r="527" spans="1:25" x14ac:dyDescent="0.3">
      <c r="A527" s="55" t="s">
        <v>738</v>
      </c>
      <c r="V527" s="56" t="s">
        <v>738</v>
      </c>
      <c r="W527" s="56" t="str">
        <f t="shared" si="16"/>
        <v>35</v>
      </c>
      <c r="Y527" s="55" t="e">
        <f t="shared" si="17"/>
        <v>#N/A</v>
      </c>
    </row>
    <row r="528" spans="1:25" x14ac:dyDescent="0.3">
      <c r="A528" s="55" t="s">
        <v>738</v>
      </c>
      <c r="V528" s="56" t="s">
        <v>738</v>
      </c>
      <c r="W528" s="56" t="str">
        <f t="shared" si="16"/>
        <v>35</v>
      </c>
      <c r="Y528" s="55" t="e">
        <f t="shared" si="17"/>
        <v>#N/A</v>
      </c>
    </row>
    <row r="529" spans="1:25" x14ac:dyDescent="0.3">
      <c r="A529" s="55" t="s">
        <v>738</v>
      </c>
      <c r="V529" s="56" t="s">
        <v>738</v>
      </c>
      <c r="W529" s="56" t="str">
        <f t="shared" si="16"/>
        <v>35</v>
      </c>
      <c r="Y529" s="55" t="e">
        <f t="shared" si="17"/>
        <v>#N/A</v>
      </c>
    </row>
    <row r="530" spans="1:25" x14ac:dyDescent="0.3">
      <c r="A530" s="55" t="s">
        <v>738</v>
      </c>
      <c r="V530" s="56" t="s">
        <v>738</v>
      </c>
      <c r="W530" s="56" t="str">
        <f t="shared" si="16"/>
        <v>35</v>
      </c>
      <c r="Y530" s="55" t="e">
        <f t="shared" si="17"/>
        <v>#N/A</v>
      </c>
    </row>
    <row r="531" spans="1:25" x14ac:dyDescent="0.3">
      <c r="A531" s="55" t="s">
        <v>738</v>
      </c>
      <c r="V531" s="56" t="s">
        <v>738</v>
      </c>
      <c r="W531" s="56" t="str">
        <f t="shared" si="16"/>
        <v>35</v>
      </c>
      <c r="Y531" s="55" t="e">
        <f t="shared" si="17"/>
        <v>#N/A</v>
      </c>
    </row>
    <row r="532" spans="1:25" x14ac:dyDescent="0.3">
      <c r="A532" s="55" t="s">
        <v>738</v>
      </c>
      <c r="V532" s="56" t="s">
        <v>738</v>
      </c>
      <c r="W532" s="56" t="str">
        <f t="shared" si="16"/>
        <v>35</v>
      </c>
      <c r="Y532" s="55" t="e">
        <f t="shared" si="17"/>
        <v>#N/A</v>
      </c>
    </row>
    <row r="533" spans="1:25" x14ac:dyDescent="0.3">
      <c r="A533" s="55" t="s">
        <v>739</v>
      </c>
      <c r="V533" s="56" t="s">
        <v>739</v>
      </c>
      <c r="W533" s="56" t="str">
        <f t="shared" si="16"/>
        <v>35</v>
      </c>
      <c r="Y533" s="55" t="e">
        <f t="shared" si="17"/>
        <v>#N/A</v>
      </c>
    </row>
    <row r="534" spans="1:25" x14ac:dyDescent="0.3">
      <c r="A534" s="55" t="s">
        <v>739</v>
      </c>
      <c r="V534" s="56" t="s">
        <v>739</v>
      </c>
      <c r="W534" s="56" t="str">
        <f t="shared" si="16"/>
        <v>35</v>
      </c>
      <c r="Y534" s="55" t="e">
        <f t="shared" si="17"/>
        <v>#N/A</v>
      </c>
    </row>
    <row r="535" spans="1:25" x14ac:dyDescent="0.3">
      <c r="A535" s="55" t="s">
        <v>739</v>
      </c>
      <c r="V535" s="56" t="s">
        <v>739</v>
      </c>
      <c r="W535" s="56" t="str">
        <f t="shared" si="16"/>
        <v>35</v>
      </c>
      <c r="Y535" s="55" t="e">
        <f t="shared" si="17"/>
        <v>#N/A</v>
      </c>
    </row>
    <row r="536" spans="1:25" x14ac:dyDescent="0.3">
      <c r="A536" s="55" t="s">
        <v>739</v>
      </c>
      <c r="V536" s="56" t="s">
        <v>739</v>
      </c>
      <c r="W536" s="56" t="str">
        <f t="shared" si="16"/>
        <v>35</v>
      </c>
      <c r="Y536" s="55" t="e">
        <f t="shared" si="17"/>
        <v>#N/A</v>
      </c>
    </row>
    <row r="537" spans="1:25" x14ac:dyDescent="0.3">
      <c r="A537" s="55" t="s">
        <v>739</v>
      </c>
      <c r="V537" s="56" t="s">
        <v>739</v>
      </c>
      <c r="W537" s="56" t="str">
        <f t="shared" si="16"/>
        <v>35</v>
      </c>
      <c r="Y537" s="55" t="e">
        <f t="shared" si="17"/>
        <v>#N/A</v>
      </c>
    </row>
    <row r="538" spans="1:25" x14ac:dyDescent="0.3">
      <c r="A538" s="55" t="s">
        <v>739</v>
      </c>
      <c r="V538" s="56" t="s">
        <v>739</v>
      </c>
      <c r="W538" s="56" t="str">
        <f t="shared" si="16"/>
        <v>35</v>
      </c>
      <c r="Y538" s="55" t="e">
        <f t="shared" si="17"/>
        <v>#N/A</v>
      </c>
    </row>
    <row r="539" spans="1:25" x14ac:dyDescent="0.3">
      <c r="A539" s="55" t="s">
        <v>739</v>
      </c>
      <c r="V539" s="56" t="s">
        <v>739</v>
      </c>
      <c r="W539" s="56" t="str">
        <f t="shared" si="16"/>
        <v>35</v>
      </c>
      <c r="Y539" s="55" t="e">
        <f t="shared" si="17"/>
        <v>#N/A</v>
      </c>
    </row>
    <row r="540" spans="1:25" x14ac:dyDescent="0.3">
      <c r="A540" s="55" t="s">
        <v>739</v>
      </c>
      <c r="V540" s="56" t="s">
        <v>739</v>
      </c>
      <c r="W540" s="56" t="str">
        <f t="shared" si="16"/>
        <v>35</v>
      </c>
      <c r="Y540" s="55" t="e">
        <f t="shared" si="17"/>
        <v>#N/A</v>
      </c>
    </row>
    <row r="541" spans="1:25" x14ac:dyDescent="0.3">
      <c r="A541" s="55" t="s">
        <v>739</v>
      </c>
      <c r="V541" s="56" t="s">
        <v>739</v>
      </c>
      <c r="W541" s="56" t="str">
        <f t="shared" si="16"/>
        <v>35</v>
      </c>
      <c r="Y541" s="55" t="e">
        <f t="shared" si="17"/>
        <v>#N/A</v>
      </c>
    </row>
    <row r="542" spans="1:25" x14ac:dyDescent="0.3">
      <c r="A542" s="55" t="s">
        <v>739</v>
      </c>
      <c r="V542" s="56" t="s">
        <v>739</v>
      </c>
      <c r="W542" s="56" t="str">
        <f t="shared" si="16"/>
        <v>35</v>
      </c>
      <c r="Y542" s="55" t="e">
        <f t="shared" si="17"/>
        <v>#N/A</v>
      </c>
    </row>
    <row r="543" spans="1:25" x14ac:dyDescent="0.3">
      <c r="A543" s="55" t="s">
        <v>740</v>
      </c>
      <c r="V543" s="56" t="s">
        <v>740</v>
      </c>
      <c r="W543" s="56" t="str">
        <f t="shared" si="16"/>
        <v>35</v>
      </c>
      <c r="Y543" s="55" t="e">
        <f t="shared" si="17"/>
        <v>#N/A</v>
      </c>
    </row>
    <row r="544" spans="1:25" x14ac:dyDescent="0.3">
      <c r="A544" s="55" t="s">
        <v>740</v>
      </c>
      <c r="V544" s="56" t="s">
        <v>740</v>
      </c>
      <c r="W544" s="56" t="str">
        <f t="shared" si="16"/>
        <v>35</v>
      </c>
      <c r="Y544" s="55" t="e">
        <f t="shared" si="17"/>
        <v>#N/A</v>
      </c>
    </row>
    <row r="545" spans="1:25" x14ac:dyDescent="0.3">
      <c r="A545" s="55" t="s">
        <v>740</v>
      </c>
      <c r="V545" s="56" t="s">
        <v>740</v>
      </c>
      <c r="W545" s="56" t="str">
        <f t="shared" si="16"/>
        <v>35</v>
      </c>
      <c r="Y545" s="55" t="e">
        <f t="shared" si="17"/>
        <v>#N/A</v>
      </c>
    </row>
    <row r="546" spans="1:25" x14ac:dyDescent="0.3">
      <c r="A546" s="55" t="s">
        <v>740</v>
      </c>
      <c r="V546" s="56" t="s">
        <v>740</v>
      </c>
      <c r="W546" s="56" t="str">
        <f t="shared" si="16"/>
        <v>35</v>
      </c>
      <c r="Y546" s="55" t="e">
        <f t="shared" si="17"/>
        <v>#N/A</v>
      </c>
    </row>
    <row r="547" spans="1:25" x14ac:dyDescent="0.3">
      <c r="A547" s="55" t="s">
        <v>741</v>
      </c>
      <c r="V547" s="56" t="s">
        <v>741</v>
      </c>
      <c r="W547" s="56" t="str">
        <f t="shared" si="16"/>
        <v>35</v>
      </c>
      <c r="Y547" s="55" t="e">
        <f t="shared" si="17"/>
        <v>#N/A</v>
      </c>
    </row>
    <row r="548" spans="1:25" x14ac:dyDescent="0.3">
      <c r="A548" s="55" t="s">
        <v>741</v>
      </c>
      <c r="V548" s="56" t="s">
        <v>741</v>
      </c>
      <c r="W548" s="56" t="str">
        <f t="shared" si="16"/>
        <v>35</v>
      </c>
      <c r="Y548" s="55" t="e">
        <f t="shared" si="17"/>
        <v>#N/A</v>
      </c>
    </row>
    <row r="549" spans="1:25" x14ac:dyDescent="0.3">
      <c r="A549" s="55" t="s">
        <v>742</v>
      </c>
      <c r="V549" s="56" t="s">
        <v>742</v>
      </c>
      <c r="W549" s="56" t="str">
        <f t="shared" si="16"/>
        <v>35</v>
      </c>
      <c r="Y549" s="55" t="e">
        <f t="shared" si="17"/>
        <v>#N/A</v>
      </c>
    </row>
    <row r="550" spans="1:25" x14ac:dyDescent="0.3">
      <c r="A550" s="55" t="s">
        <v>742</v>
      </c>
      <c r="V550" s="56" t="s">
        <v>742</v>
      </c>
      <c r="W550" s="56" t="str">
        <f t="shared" si="16"/>
        <v>35</v>
      </c>
      <c r="Y550" s="55" t="e">
        <f t="shared" si="17"/>
        <v>#N/A</v>
      </c>
    </row>
    <row r="551" spans="1:25" x14ac:dyDescent="0.3">
      <c r="A551" s="55" t="s">
        <v>742</v>
      </c>
      <c r="V551" s="56" t="s">
        <v>742</v>
      </c>
      <c r="W551" s="56" t="str">
        <f t="shared" si="16"/>
        <v>35</v>
      </c>
      <c r="Y551" s="55" t="e">
        <f t="shared" si="17"/>
        <v>#N/A</v>
      </c>
    </row>
    <row r="552" spans="1:25" x14ac:dyDescent="0.3">
      <c r="A552" s="55" t="s">
        <v>742</v>
      </c>
      <c r="V552" s="56" t="s">
        <v>742</v>
      </c>
      <c r="W552" s="56" t="str">
        <f t="shared" si="16"/>
        <v>35</v>
      </c>
      <c r="Y552" s="55" t="e">
        <f t="shared" si="17"/>
        <v>#N/A</v>
      </c>
    </row>
    <row r="553" spans="1:25" x14ac:dyDescent="0.3">
      <c r="A553" s="55" t="s">
        <v>742</v>
      </c>
      <c r="V553" s="56" t="s">
        <v>742</v>
      </c>
      <c r="W553" s="56" t="str">
        <f t="shared" si="16"/>
        <v>35</v>
      </c>
      <c r="Y553" s="55" t="e">
        <f t="shared" si="17"/>
        <v>#N/A</v>
      </c>
    </row>
    <row r="554" spans="1:25" x14ac:dyDescent="0.3">
      <c r="A554" s="55" t="s">
        <v>742</v>
      </c>
      <c r="V554" s="56" t="s">
        <v>742</v>
      </c>
      <c r="W554" s="56" t="str">
        <f t="shared" si="16"/>
        <v>35</v>
      </c>
      <c r="Y554" s="55" t="e">
        <f t="shared" si="17"/>
        <v>#N/A</v>
      </c>
    </row>
    <row r="555" spans="1:25" x14ac:dyDescent="0.3">
      <c r="A555" s="55" t="s">
        <v>743</v>
      </c>
      <c r="V555" s="56" t="s">
        <v>743</v>
      </c>
      <c r="W555" s="56" t="str">
        <f t="shared" si="16"/>
        <v>35</v>
      </c>
      <c r="Y555" s="55" t="e">
        <f t="shared" si="17"/>
        <v>#N/A</v>
      </c>
    </row>
    <row r="556" spans="1:25" x14ac:dyDescent="0.3">
      <c r="A556" s="55" t="s">
        <v>743</v>
      </c>
      <c r="V556" s="56" t="s">
        <v>743</v>
      </c>
      <c r="W556" s="56" t="str">
        <f t="shared" si="16"/>
        <v>35</v>
      </c>
      <c r="Y556" s="55" t="e">
        <f t="shared" si="17"/>
        <v>#N/A</v>
      </c>
    </row>
    <row r="557" spans="1:25" x14ac:dyDescent="0.3">
      <c r="A557" s="55" t="s">
        <v>743</v>
      </c>
      <c r="V557" s="56" t="s">
        <v>743</v>
      </c>
      <c r="W557" s="56" t="str">
        <f t="shared" si="16"/>
        <v>35</v>
      </c>
      <c r="Y557" s="55" t="e">
        <f t="shared" si="17"/>
        <v>#N/A</v>
      </c>
    </row>
    <row r="558" spans="1:25" x14ac:dyDescent="0.3">
      <c r="A558" s="55" t="s">
        <v>743</v>
      </c>
      <c r="V558" s="56" t="s">
        <v>743</v>
      </c>
      <c r="W558" s="56" t="str">
        <f t="shared" si="16"/>
        <v>35</v>
      </c>
      <c r="Y558" s="55" t="e">
        <f t="shared" si="17"/>
        <v>#N/A</v>
      </c>
    </row>
    <row r="559" spans="1:25" x14ac:dyDescent="0.3">
      <c r="A559" s="55" t="s">
        <v>744</v>
      </c>
      <c r="V559" s="56" t="s">
        <v>744</v>
      </c>
      <c r="W559" s="56" t="str">
        <f t="shared" si="16"/>
        <v>35</v>
      </c>
      <c r="Y559" s="55" t="e">
        <f t="shared" si="17"/>
        <v>#N/A</v>
      </c>
    </row>
    <row r="560" spans="1:25" x14ac:dyDescent="0.3">
      <c r="A560" s="55" t="s">
        <v>744</v>
      </c>
      <c r="V560" s="56" t="s">
        <v>744</v>
      </c>
      <c r="W560" s="56" t="str">
        <f t="shared" si="16"/>
        <v>35</v>
      </c>
      <c r="Y560" s="55" t="e">
        <f t="shared" si="17"/>
        <v>#N/A</v>
      </c>
    </row>
    <row r="561" spans="1:25" x14ac:dyDescent="0.3">
      <c r="A561" s="55" t="s">
        <v>744</v>
      </c>
      <c r="V561" s="56" t="s">
        <v>744</v>
      </c>
      <c r="W561" s="56" t="str">
        <f t="shared" si="16"/>
        <v>35</v>
      </c>
      <c r="Y561" s="55" t="e">
        <f t="shared" si="17"/>
        <v>#N/A</v>
      </c>
    </row>
    <row r="562" spans="1:25" x14ac:dyDescent="0.3">
      <c r="A562" s="55" t="s">
        <v>744</v>
      </c>
      <c r="V562" s="56" t="s">
        <v>744</v>
      </c>
      <c r="W562" s="56" t="str">
        <f t="shared" si="16"/>
        <v>35</v>
      </c>
      <c r="Y562" s="55" t="e">
        <f t="shared" si="17"/>
        <v>#N/A</v>
      </c>
    </row>
    <row r="563" spans="1:25" x14ac:dyDescent="0.3">
      <c r="A563" s="55" t="s">
        <v>744</v>
      </c>
      <c r="V563" s="56" t="s">
        <v>744</v>
      </c>
      <c r="W563" s="56" t="str">
        <f t="shared" si="16"/>
        <v>35</v>
      </c>
      <c r="Y563" s="55" t="e">
        <f t="shared" si="17"/>
        <v>#N/A</v>
      </c>
    </row>
    <row r="564" spans="1:25" x14ac:dyDescent="0.3">
      <c r="A564" s="55" t="s">
        <v>744</v>
      </c>
      <c r="V564" s="56" t="s">
        <v>744</v>
      </c>
      <c r="W564" s="56" t="str">
        <f t="shared" si="16"/>
        <v>35</v>
      </c>
      <c r="Y564" s="55" t="e">
        <f t="shared" si="17"/>
        <v>#N/A</v>
      </c>
    </row>
    <row r="565" spans="1:25" x14ac:dyDescent="0.3">
      <c r="A565" s="55" t="s">
        <v>744</v>
      </c>
      <c r="V565" s="56" t="s">
        <v>744</v>
      </c>
      <c r="W565" s="56" t="str">
        <f t="shared" si="16"/>
        <v>35</v>
      </c>
      <c r="Y565" s="55" t="e">
        <f t="shared" si="17"/>
        <v>#N/A</v>
      </c>
    </row>
    <row r="566" spans="1:25" x14ac:dyDescent="0.3">
      <c r="A566" s="55" t="s">
        <v>744</v>
      </c>
      <c r="V566" s="56" t="s">
        <v>744</v>
      </c>
      <c r="W566" s="56" t="str">
        <f t="shared" si="16"/>
        <v>35</v>
      </c>
      <c r="Y566" s="55" t="e">
        <f t="shared" si="17"/>
        <v>#N/A</v>
      </c>
    </row>
    <row r="567" spans="1:25" x14ac:dyDescent="0.3">
      <c r="A567" s="55" t="s">
        <v>744</v>
      </c>
      <c r="V567" s="56" t="s">
        <v>744</v>
      </c>
      <c r="W567" s="56" t="str">
        <f t="shared" si="16"/>
        <v>35</v>
      </c>
      <c r="Y567" s="55" t="e">
        <f t="shared" si="17"/>
        <v>#N/A</v>
      </c>
    </row>
    <row r="568" spans="1:25" x14ac:dyDescent="0.3">
      <c r="A568" s="55" t="s">
        <v>744</v>
      </c>
      <c r="V568" s="56" t="s">
        <v>744</v>
      </c>
      <c r="W568" s="56" t="str">
        <f t="shared" si="16"/>
        <v>35</v>
      </c>
      <c r="Y568" s="55" t="e">
        <f t="shared" si="17"/>
        <v>#N/A</v>
      </c>
    </row>
    <row r="569" spans="1:25" x14ac:dyDescent="0.3">
      <c r="A569" s="55" t="s">
        <v>744</v>
      </c>
      <c r="V569" s="56" t="s">
        <v>744</v>
      </c>
      <c r="W569" s="56" t="str">
        <f t="shared" si="16"/>
        <v>35</v>
      </c>
      <c r="Y569" s="55" t="e">
        <f t="shared" si="17"/>
        <v>#N/A</v>
      </c>
    </row>
    <row r="570" spans="1:25" x14ac:dyDescent="0.3">
      <c r="A570" s="55" t="s">
        <v>744</v>
      </c>
      <c r="V570" s="56" t="s">
        <v>744</v>
      </c>
      <c r="W570" s="56" t="str">
        <f t="shared" si="16"/>
        <v>35</v>
      </c>
      <c r="Y570" s="55" t="e">
        <f t="shared" si="17"/>
        <v>#N/A</v>
      </c>
    </row>
    <row r="571" spans="1:25" x14ac:dyDescent="0.3">
      <c r="A571" s="55" t="s">
        <v>744</v>
      </c>
      <c r="V571" s="56" t="s">
        <v>744</v>
      </c>
      <c r="W571" s="56" t="str">
        <f t="shared" si="16"/>
        <v>35</v>
      </c>
      <c r="Y571" s="55" t="e">
        <f t="shared" si="17"/>
        <v>#N/A</v>
      </c>
    </row>
    <row r="572" spans="1:25" x14ac:dyDescent="0.3">
      <c r="A572" s="55" t="s">
        <v>745</v>
      </c>
      <c r="V572" s="56" t="s">
        <v>745</v>
      </c>
      <c r="W572" s="56" t="str">
        <f t="shared" si="16"/>
        <v>35</v>
      </c>
      <c r="Y572" s="55" t="e">
        <f t="shared" si="17"/>
        <v>#N/A</v>
      </c>
    </row>
    <row r="573" spans="1:25" x14ac:dyDescent="0.3">
      <c r="A573" s="55" t="s">
        <v>745</v>
      </c>
      <c r="V573" s="56" t="s">
        <v>745</v>
      </c>
      <c r="W573" s="56" t="str">
        <f t="shared" si="16"/>
        <v>35</v>
      </c>
      <c r="Y573" s="55" t="e">
        <f t="shared" si="17"/>
        <v>#N/A</v>
      </c>
    </row>
    <row r="574" spans="1:25" x14ac:dyDescent="0.3">
      <c r="A574" s="55" t="s">
        <v>745</v>
      </c>
      <c r="V574" s="56" t="s">
        <v>745</v>
      </c>
      <c r="W574" s="56" t="str">
        <f t="shared" si="16"/>
        <v>35</v>
      </c>
      <c r="Y574" s="55" t="e">
        <f t="shared" si="17"/>
        <v>#N/A</v>
      </c>
    </row>
    <row r="575" spans="1:25" x14ac:dyDescent="0.3">
      <c r="A575" s="55" t="s">
        <v>745</v>
      </c>
      <c r="V575" s="56" t="s">
        <v>745</v>
      </c>
      <c r="W575" s="56" t="str">
        <f t="shared" si="16"/>
        <v>35</v>
      </c>
      <c r="Y575" s="55" t="e">
        <f t="shared" si="17"/>
        <v>#N/A</v>
      </c>
    </row>
    <row r="576" spans="1:25" x14ac:dyDescent="0.3">
      <c r="A576" s="55" t="s">
        <v>745</v>
      </c>
      <c r="V576" s="56" t="s">
        <v>745</v>
      </c>
      <c r="W576" s="56" t="str">
        <f t="shared" si="16"/>
        <v>35</v>
      </c>
      <c r="Y576" s="55" t="e">
        <f t="shared" si="17"/>
        <v>#N/A</v>
      </c>
    </row>
    <row r="577" spans="1:25" x14ac:dyDescent="0.3">
      <c r="A577" s="55" t="s">
        <v>746</v>
      </c>
      <c r="V577" s="56" t="s">
        <v>746</v>
      </c>
      <c r="W577" s="56" t="str">
        <f t="shared" si="16"/>
        <v>35</v>
      </c>
      <c r="Y577" s="55" t="e">
        <f t="shared" si="17"/>
        <v>#N/A</v>
      </c>
    </row>
    <row r="578" spans="1:25" x14ac:dyDescent="0.3">
      <c r="A578" s="55" t="s">
        <v>746</v>
      </c>
      <c r="V578" s="56" t="s">
        <v>746</v>
      </c>
      <c r="W578" s="56" t="str">
        <f t="shared" si="16"/>
        <v>35</v>
      </c>
      <c r="Y578" s="55" t="e">
        <f t="shared" si="17"/>
        <v>#N/A</v>
      </c>
    </row>
    <row r="579" spans="1:25" x14ac:dyDescent="0.3">
      <c r="A579" s="55" t="s">
        <v>746</v>
      </c>
      <c r="V579" s="56" t="s">
        <v>746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1:25" x14ac:dyDescent="0.3">
      <c r="A580" s="55" t="s">
        <v>746</v>
      </c>
      <c r="V580" s="56" t="s">
        <v>746</v>
      </c>
      <c r="W580" s="56" t="str">
        <f t="shared" si="18"/>
        <v>35</v>
      </c>
      <c r="Y580" s="55" t="e">
        <f t="shared" si="19"/>
        <v>#N/A</v>
      </c>
    </row>
    <row r="581" spans="1:25" x14ac:dyDescent="0.3">
      <c r="A581" s="55" t="s">
        <v>746</v>
      </c>
      <c r="V581" s="56" t="s">
        <v>746</v>
      </c>
      <c r="W581" s="56" t="str">
        <f t="shared" si="18"/>
        <v>35</v>
      </c>
      <c r="Y581" s="55" t="e">
        <f t="shared" si="19"/>
        <v>#N/A</v>
      </c>
    </row>
    <row r="582" spans="1:25" x14ac:dyDescent="0.3">
      <c r="A582" s="55" t="s">
        <v>746</v>
      </c>
      <c r="V582" s="56" t="s">
        <v>746</v>
      </c>
      <c r="W582" s="56" t="str">
        <f t="shared" si="18"/>
        <v>35</v>
      </c>
      <c r="Y582" s="55" t="e">
        <f t="shared" si="19"/>
        <v>#N/A</v>
      </c>
    </row>
    <row r="583" spans="1:25" x14ac:dyDescent="0.3">
      <c r="A583" s="55" t="s">
        <v>746</v>
      </c>
      <c r="V583" s="56" t="s">
        <v>746</v>
      </c>
      <c r="W583" s="56" t="str">
        <f t="shared" si="18"/>
        <v>35</v>
      </c>
      <c r="Y583" s="55" t="e">
        <f t="shared" si="19"/>
        <v>#N/A</v>
      </c>
    </row>
    <row r="584" spans="1:25" x14ac:dyDescent="0.3">
      <c r="A584" s="55" t="s">
        <v>746</v>
      </c>
      <c r="V584" s="56" t="s">
        <v>746</v>
      </c>
      <c r="W584" s="56" t="str">
        <f t="shared" si="18"/>
        <v>35</v>
      </c>
      <c r="Y584" s="55" t="e">
        <f t="shared" si="19"/>
        <v>#N/A</v>
      </c>
    </row>
    <row r="585" spans="1:25" x14ac:dyDescent="0.3">
      <c r="A585" s="55" t="s">
        <v>746</v>
      </c>
      <c r="V585" s="56" t="s">
        <v>746</v>
      </c>
      <c r="W585" s="56" t="str">
        <f t="shared" si="18"/>
        <v>35</v>
      </c>
      <c r="Y585" s="55" t="e">
        <f t="shared" si="19"/>
        <v>#N/A</v>
      </c>
    </row>
    <row r="586" spans="1:25" x14ac:dyDescent="0.3">
      <c r="A586" s="55" t="s">
        <v>746</v>
      </c>
      <c r="V586" s="56" t="s">
        <v>746</v>
      </c>
      <c r="W586" s="56" t="str">
        <f t="shared" si="18"/>
        <v>35</v>
      </c>
      <c r="Y586" s="55" t="e">
        <f t="shared" si="19"/>
        <v>#N/A</v>
      </c>
    </row>
    <row r="587" spans="1:25" x14ac:dyDescent="0.3">
      <c r="A587" s="55" t="s">
        <v>747</v>
      </c>
      <c r="V587" s="56" t="s">
        <v>747</v>
      </c>
      <c r="W587" s="56" t="str">
        <f t="shared" si="18"/>
        <v>35</v>
      </c>
      <c r="Y587" s="55" t="e">
        <f t="shared" si="19"/>
        <v>#N/A</v>
      </c>
    </row>
    <row r="588" spans="1:25" x14ac:dyDescent="0.3">
      <c r="A588" s="55" t="s">
        <v>747</v>
      </c>
      <c r="V588" s="56" t="s">
        <v>747</v>
      </c>
      <c r="W588" s="56" t="str">
        <f t="shared" si="18"/>
        <v>35</v>
      </c>
      <c r="Y588" s="55" t="e">
        <f t="shared" si="19"/>
        <v>#N/A</v>
      </c>
    </row>
    <row r="589" spans="1:25" x14ac:dyDescent="0.3">
      <c r="A589" s="55" t="s">
        <v>747</v>
      </c>
      <c r="V589" s="56" t="s">
        <v>747</v>
      </c>
      <c r="W589" s="56" t="str">
        <f t="shared" si="18"/>
        <v>35</v>
      </c>
      <c r="Y589" s="55" t="e">
        <f t="shared" si="19"/>
        <v>#N/A</v>
      </c>
    </row>
    <row r="590" spans="1:25" x14ac:dyDescent="0.3">
      <c r="A590" s="55" t="s">
        <v>747</v>
      </c>
      <c r="V590" s="56" t="s">
        <v>747</v>
      </c>
      <c r="W590" s="56" t="str">
        <f t="shared" si="18"/>
        <v>35</v>
      </c>
      <c r="Y590" s="55" t="e">
        <f t="shared" si="19"/>
        <v>#N/A</v>
      </c>
    </row>
    <row r="591" spans="1:25" x14ac:dyDescent="0.3">
      <c r="A591" s="55" t="s">
        <v>747</v>
      </c>
      <c r="V591" s="56" t="s">
        <v>747</v>
      </c>
      <c r="W591" s="56" t="str">
        <f t="shared" si="18"/>
        <v>35</v>
      </c>
      <c r="Y591" s="55" t="e">
        <f t="shared" si="19"/>
        <v>#N/A</v>
      </c>
    </row>
    <row r="592" spans="1:25" x14ac:dyDescent="0.3">
      <c r="A592" s="55" t="s">
        <v>747</v>
      </c>
      <c r="V592" s="56" t="s">
        <v>747</v>
      </c>
      <c r="W592" s="56" t="str">
        <f t="shared" si="18"/>
        <v>35</v>
      </c>
      <c r="Y592" s="55" t="e">
        <f t="shared" si="19"/>
        <v>#N/A</v>
      </c>
    </row>
    <row r="593" spans="1:25" x14ac:dyDescent="0.3">
      <c r="A593" s="55" t="s">
        <v>748</v>
      </c>
      <c r="V593" s="56" t="s">
        <v>748</v>
      </c>
      <c r="W593" s="56" t="str">
        <f t="shared" si="18"/>
        <v>37</v>
      </c>
      <c r="Y593" s="55" t="e">
        <f t="shared" si="19"/>
        <v>#N/A</v>
      </c>
    </row>
    <row r="594" spans="1:25" x14ac:dyDescent="0.3">
      <c r="A594" s="55" t="s">
        <v>749</v>
      </c>
      <c r="V594" s="56" t="s">
        <v>749</v>
      </c>
      <c r="W594" s="56" t="str">
        <f t="shared" si="18"/>
        <v>37</v>
      </c>
      <c r="Y594" s="55" t="e">
        <f t="shared" si="19"/>
        <v>#N/A</v>
      </c>
    </row>
    <row r="595" spans="1:25" x14ac:dyDescent="0.3">
      <c r="A595" s="55" t="s">
        <v>750</v>
      </c>
      <c r="V595" s="56" t="s">
        <v>750</v>
      </c>
      <c r="W595" s="56" t="str">
        <f t="shared" si="18"/>
        <v>37</v>
      </c>
      <c r="Y595" s="55" t="e">
        <f t="shared" si="19"/>
        <v>#N/A</v>
      </c>
    </row>
    <row r="596" spans="1:25" x14ac:dyDescent="0.3">
      <c r="A596" s="55" t="s">
        <v>751</v>
      </c>
      <c r="V596" s="56" t="s">
        <v>751</v>
      </c>
      <c r="W596" s="56" t="str">
        <f t="shared" si="18"/>
        <v>37</v>
      </c>
      <c r="Y596" s="55" t="e">
        <f t="shared" si="19"/>
        <v>#N/A</v>
      </c>
    </row>
    <row r="597" spans="1:25" x14ac:dyDescent="0.3">
      <c r="A597" s="55" t="s">
        <v>752</v>
      </c>
      <c r="V597" s="56" t="s">
        <v>752</v>
      </c>
      <c r="W597" s="56" t="str">
        <f t="shared" si="18"/>
        <v>37</v>
      </c>
      <c r="Y597" s="55" t="e">
        <f t="shared" si="19"/>
        <v>#N/A</v>
      </c>
    </row>
    <row r="598" spans="1:25" x14ac:dyDescent="0.3">
      <c r="A598" s="55" t="s">
        <v>753</v>
      </c>
      <c r="V598" s="56" t="s">
        <v>753</v>
      </c>
      <c r="W598" s="56" t="str">
        <f t="shared" si="18"/>
        <v>37</v>
      </c>
      <c r="Y598" s="55" t="e">
        <f t="shared" si="19"/>
        <v>#N/A</v>
      </c>
    </row>
    <row r="599" spans="1:25" x14ac:dyDescent="0.3">
      <c r="A599" s="55" t="s">
        <v>754</v>
      </c>
      <c r="V599" s="56" t="s">
        <v>754</v>
      </c>
      <c r="W599" s="56" t="str">
        <f t="shared" si="18"/>
        <v>37</v>
      </c>
      <c r="Y599" s="55" t="e">
        <f t="shared" si="19"/>
        <v>#N/A</v>
      </c>
    </row>
    <row r="600" spans="1:25" x14ac:dyDescent="0.3">
      <c r="A600" s="55" t="s">
        <v>755</v>
      </c>
      <c r="V600" s="56" t="s">
        <v>755</v>
      </c>
      <c r="W600" s="56" t="str">
        <f t="shared" si="18"/>
        <v>37</v>
      </c>
      <c r="Y600" s="55" t="e">
        <f t="shared" si="19"/>
        <v>#N/A</v>
      </c>
    </row>
    <row r="601" spans="1:25" x14ac:dyDescent="0.3">
      <c r="A601" s="55" t="s">
        <v>756</v>
      </c>
      <c r="V601" s="56" t="s">
        <v>756</v>
      </c>
      <c r="W601" s="56" t="str">
        <f t="shared" si="18"/>
        <v>37</v>
      </c>
      <c r="Y601" s="55" t="e">
        <f t="shared" si="19"/>
        <v>#N/A</v>
      </c>
    </row>
    <row r="602" spans="1:25" x14ac:dyDescent="0.3">
      <c r="A602" s="55" t="s">
        <v>757</v>
      </c>
      <c r="V602" s="56" t="s">
        <v>757</v>
      </c>
      <c r="W602" s="56" t="str">
        <f t="shared" si="18"/>
        <v>37</v>
      </c>
      <c r="Y602" s="55" t="e">
        <f t="shared" si="19"/>
        <v>#N/A</v>
      </c>
    </row>
    <row r="603" spans="1:25" x14ac:dyDescent="0.3">
      <c r="A603" s="55" t="s">
        <v>758</v>
      </c>
      <c r="V603" s="56" t="s">
        <v>758</v>
      </c>
      <c r="W603" s="56" t="str">
        <f t="shared" si="18"/>
        <v>37</v>
      </c>
      <c r="Y603" s="55" t="e">
        <f t="shared" si="19"/>
        <v>#N/A</v>
      </c>
    </row>
    <row r="604" spans="1:25" x14ac:dyDescent="0.3">
      <c r="A604" s="55" t="s">
        <v>759</v>
      </c>
      <c r="V604" s="56" t="s">
        <v>759</v>
      </c>
      <c r="W604" s="56" t="str">
        <f t="shared" si="18"/>
        <v>37</v>
      </c>
      <c r="Y604" s="55" t="e">
        <f t="shared" si="19"/>
        <v>#N/A</v>
      </c>
    </row>
    <row r="605" spans="1:25" x14ac:dyDescent="0.3">
      <c r="A605" s="55" t="s">
        <v>760</v>
      </c>
      <c r="V605" s="56" t="s">
        <v>760</v>
      </c>
      <c r="W605" s="56" t="str">
        <f t="shared" si="18"/>
        <v>37</v>
      </c>
      <c r="Y605" s="55" t="e">
        <f t="shared" si="19"/>
        <v>#N/A</v>
      </c>
    </row>
    <row r="606" spans="1:25" x14ac:dyDescent="0.3">
      <c r="A606" s="55" t="s">
        <v>761</v>
      </c>
      <c r="V606" s="56" t="s">
        <v>761</v>
      </c>
      <c r="W606" s="56" t="str">
        <f t="shared" si="18"/>
        <v>37</v>
      </c>
      <c r="Y606" s="55" t="e">
        <f t="shared" si="19"/>
        <v>#N/A</v>
      </c>
    </row>
    <row r="607" spans="1:25" x14ac:dyDescent="0.3">
      <c r="A607" s="55" t="s">
        <v>762</v>
      </c>
      <c r="V607" s="56" t="s">
        <v>762</v>
      </c>
      <c r="W607" s="56" t="str">
        <f t="shared" si="18"/>
        <v>37</v>
      </c>
      <c r="Y607" s="55" t="e">
        <f t="shared" si="19"/>
        <v>#N/A</v>
      </c>
    </row>
    <row r="608" spans="1:25" x14ac:dyDescent="0.3">
      <c r="A608" s="55" t="s">
        <v>763</v>
      </c>
      <c r="V608" s="56" t="s">
        <v>763</v>
      </c>
      <c r="W608" s="56" t="str">
        <f t="shared" si="18"/>
        <v>37</v>
      </c>
      <c r="Y608" s="55" t="e">
        <f t="shared" si="19"/>
        <v>#N/A</v>
      </c>
    </row>
    <row r="609" spans="1:25" x14ac:dyDescent="0.3">
      <c r="A609" s="55" t="s">
        <v>764</v>
      </c>
      <c r="V609" s="56" t="s">
        <v>764</v>
      </c>
      <c r="W609" s="56" t="str">
        <f t="shared" si="18"/>
        <v>37</v>
      </c>
      <c r="Y609" s="55" t="e">
        <f t="shared" si="19"/>
        <v>#N/A</v>
      </c>
    </row>
    <row r="610" spans="1:25" x14ac:dyDescent="0.3">
      <c r="A610" s="55" t="s">
        <v>765</v>
      </c>
      <c r="V610" s="56" t="s">
        <v>765</v>
      </c>
      <c r="W610" s="56" t="str">
        <f t="shared" si="18"/>
        <v>37</v>
      </c>
      <c r="Y610" s="55" t="e">
        <f t="shared" si="19"/>
        <v>#N/A</v>
      </c>
    </row>
    <row r="611" spans="1:25" x14ac:dyDescent="0.3">
      <c r="A611" s="55" t="s">
        <v>766</v>
      </c>
      <c r="V611" s="56" t="s">
        <v>766</v>
      </c>
      <c r="W611" s="56" t="str">
        <f t="shared" si="18"/>
        <v>37</v>
      </c>
      <c r="Y611" s="55" t="e">
        <f t="shared" si="19"/>
        <v>#N/A</v>
      </c>
    </row>
    <row r="612" spans="1:25" x14ac:dyDescent="0.3">
      <c r="A612" s="55" t="s">
        <v>767</v>
      </c>
      <c r="V612" s="56" t="s">
        <v>767</v>
      </c>
      <c r="W612" s="56" t="str">
        <f t="shared" si="18"/>
        <v>37</v>
      </c>
      <c r="Y612" s="55" t="e">
        <f t="shared" si="19"/>
        <v>#N/A</v>
      </c>
    </row>
    <row r="613" spans="1:25" x14ac:dyDescent="0.3">
      <c r="A613" s="55" t="s">
        <v>768</v>
      </c>
      <c r="V613" s="56" t="s">
        <v>768</v>
      </c>
      <c r="W613" s="56" t="str">
        <f t="shared" si="18"/>
        <v>37</v>
      </c>
      <c r="Y613" s="55" t="e">
        <f t="shared" si="19"/>
        <v>#N/A</v>
      </c>
    </row>
    <row r="614" spans="1:25" x14ac:dyDescent="0.3">
      <c r="A614" s="55" t="s">
        <v>769</v>
      </c>
      <c r="V614" s="56" t="s">
        <v>769</v>
      </c>
      <c r="W614" s="56" t="str">
        <f t="shared" si="18"/>
        <v>37</v>
      </c>
      <c r="Y614" s="55" t="e">
        <f t="shared" si="19"/>
        <v>#N/A</v>
      </c>
    </row>
    <row r="615" spans="1:25" x14ac:dyDescent="0.3">
      <c r="A615" s="55" t="s">
        <v>770</v>
      </c>
      <c r="V615" s="56" t="s">
        <v>770</v>
      </c>
      <c r="W615" s="56" t="str">
        <f t="shared" si="18"/>
        <v>37</v>
      </c>
      <c r="Y615" s="55" t="e">
        <f t="shared" si="19"/>
        <v>#N/A</v>
      </c>
    </row>
    <row r="616" spans="1:25" x14ac:dyDescent="0.3">
      <c r="A616" s="55" t="s">
        <v>771</v>
      </c>
      <c r="V616" s="56" t="s">
        <v>771</v>
      </c>
      <c r="W616" s="56" t="str">
        <f t="shared" si="18"/>
        <v>39</v>
      </c>
      <c r="Y616" s="55" t="e">
        <f t="shared" si="19"/>
        <v>#N/A</v>
      </c>
    </row>
    <row r="617" spans="1:25" x14ac:dyDescent="0.3">
      <c r="A617" s="55" t="s">
        <v>772</v>
      </c>
      <c r="V617" s="56" t="s">
        <v>772</v>
      </c>
      <c r="W617" s="56" t="str">
        <f t="shared" si="18"/>
        <v>48</v>
      </c>
      <c r="Y617" s="55" t="e">
        <f t="shared" si="19"/>
        <v>#N/A</v>
      </c>
    </row>
    <row r="618" spans="1:25" x14ac:dyDescent="0.3">
      <c r="A618" s="55" t="s">
        <v>773</v>
      </c>
      <c r="V618" s="56" t="s">
        <v>773</v>
      </c>
      <c r="W618" s="56" t="str">
        <f t="shared" si="18"/>
        <v>48</v>
      </c>
      <c r="Y618" s="55" t="e">
        <f t="shared" si="19"/>
        <v>#N/A</v>
      </c>
    </row>
    <row r="619" spans="1:25" x14ac:dyDescent="0.3">
      <c r="A619" s="55" t="s">
        <v>773</v>
      </c>
      <c r="V619" s="56" t="s">
        <v>773</v>
      </c>
      <c r="W619" s="56" t="str">
        <f t="shared" si="18"/>
        <v>48</v>
      </c>
      <c r="Y619" s="55" t="e">
        <f t="shared" si="19"/>
        <v>#N/A</v>
      </c>
    </row>
    <row r="620" spans="1:25" x14ac:dyDescent="0.3">
      <c r="A620" s="55" t="s">
        <v>774</v>
      </c>
      <c r="V620" s="56" t="s">
        <v>774</v>
      </c>
      <c r="W620" s="56" t="str">
        <f t="shared" si="18"/>
        <v>48</v>
      </c>
      <c r="Y620" s="55" t="e">
        <f t="shared" si="19"/>
        <v>#N/A</v>
      </c>
    </row>
    <row r="621" spans="1:25" x14ac:dyDescent="0.3">
      <c r="A621" s="55" t="s">
        <v>775</v>
      </c>
      <c r="V621" s="56" t="s">
        <v>775</v>
      </c>
      <c r="W621" s="56" t="str">
        <f t="shared" si="18"/>
        <v>51</v>
      </c>
      <c r="Y621" s="55" t="e">
        <f t="shared" si="19"/>
        <v>#N/A</v>
      </c>
    </row>
    <row r="622" spans="1:25" x14ac:dyDescent="0.3">
      <c r="A622" s="55" t="s">
        <v>776</v>
      </c>
      <c r="V622" s="56" t="s">
        <v>776</v>
      </c>
      <c r="W622" s="56" t="str">
        <f t="shared" si="18"/>
        <v>52</v>
      </c>
      <c r="Y622" s="55" t="e">
        <f t="shared" si="19"/>
        <v>#N/A</v>
      </c>
    </row>
    <row r="623" spans="1:25" x14ac:dyDescent="0.3">
      <c r="A623" s="55" t="s">
        <v>776</v>
      </c>
      <c r="V623" s="56" t="s">
        <v>776</v>
      </c>
      <c r="W623" s="56" t="str">
        <f t="shared" si="18"/>
        <v>52</v>
      </c>
      <c r="Y623" s="55" t="e">
        <f t="shared" si="19"/>
        <v>#N/A</v>
      </c>
    </row>
    <row r="624" spans="1:25" x14ac:dyDescent="0.3">
      <c r="A624" s="55" t="s">
        <v>776</v>
      </c>
      <c r="V624" s="56" t="s">
        <v>776</v>
      </c>
      <c r="W624" s="56" t="str">
        <f t="shared" si="18"/>
        <v>52</v>
      </c>
      <c r="Y624" s="55" t="e">
        <f t="shared" si="19"/>
        <v>#N/A</v>
      </c>
    </row>
    <row r="625" spans="1:25" x14ac:dyDescent="0.3">
      <c r="A625" s="55" t="s">
        <v>776</v>
      </c>
      <c r="V625" s="56" t="s">
        <v>776</v>
      </c>
      <c r="W625" s="56" t="str">
        <f t="shared" si="18"/>
        <v>52</v>
      </c>
      <c r="Y625" s="55" t="e">
        <f t="shared" si="19"/>
        <v>#N/A</v>
      </c>
    </row>
    <row r="626" spans="1:25" x14ac:dyDescent="0.3">
      <c r="A626" s="55" t="s">
        <v>776</v>
      </c>
      <c r="V626" s="56" t="s">
        <v>776</v>
      </c>
      <c r="W626" s="56" t="str">
        <f t="shared" si="18"/>
        <v>52</v>
      </c>
      <c r="Y626" s="55" t="e">
        <f t="shared" si="19"/>
        <v>#N/A</v>
      </c>
    </row>
    <row r="627" spans="1:25" x14ac:dyDescent="0.3">
      <c r="A627" s="55" t="s">
        <v>776</v>
      </c>
      <c r="V627" s="56" t="s">
        <v>776</v>
      </c>
      <c r="W627" s="56" t="str">
        <f t="shared" si="18"/>
        <v>52</v>
      </c>
      <c r="Y627" s="55" t="e">
        <f t="shared" si="19"/>
        <v>#N/A</v>
      </c>
    </row>
    <row r="628" spans="1:25" x14ac:dyDescent="0.3">
      <c r="A628" s="55" t="s">
        <v>776</v>
      </c>
      <c r="V628" s="56" t="s">
        <v>776</v>
      </c>
      <c r="W628" s="56" t="str">
        <f t="shared" si="18"/>
        <v>52</v>
      </c>
      <c r="Y628" s="55" t="e">
        <f t="shared" si="19"/>
        <v>#N/A</v>
      </c>
    </row>
    <row r="629" spans="1:25" x14ac:dyDescent="0.3">
      <c r="A629" s="55" t="s">
        <v>776</v>
      </c>
      <c r="V629" s="56" t="s">
        <v>776</v>
      </c>
      <c r="W629" s="56" t="str">
        <f t="shared" si="18"/>
        <v>52</v>
      </c>
      <c r="Y629" s="55" t="e">
        <f t="shared" si="19"/>
        <v>#N/A</v>
      </c>
    </row>
    <row r="630" spans="1:25" x14ac:dyDescent="0.3">
      <c r="A630" s="55" t="s">
        <v>777</v>
      </c>
      <c r="V630" s="56" t="s">
        <v>777</v>
      </c>
      <c r="W630" s="56" t="str">
        <f t="shared" si="18"/>
        <v>52</v>
      </c>
      <c r="Y630" s="55" t="e">
        <f t="shared" si="19"/>
        <v>#N/A</v>
      </c>
    </row>
    <row r="631" spans="1:25" x14ac:dyDescent="0.3">
      <c r="A631" s="55" t="s">
        <v>777</v>
      </c>
      <c r="V631" s="56" t="s">
        <v>777</v>
      </c>
      <c r="W631" s="56" t="str">
        <f t="shared" si="18"/>
        <v>52</v>
      </c>
      <c r="Y631" s="55" t="e">
        <f t="shared" si="19"/>
        <v>#N/A</v>
      </c>
    </row>
    <row r="632" spans="1:25" x14ac:dyDescent="0.3">
      <c r="A632" s="55" t="s">
        <v>778</v>
      </c>
      <c r="V632" s="56" t="s">
        <v>778</v>
      </c>
      <c r="W632" s="56" t="str">
        <f t="shared" si="18"/>
        <v>52</v>
      </c>
      <c r="Y632" s="55" t="e">
        <f t="shared" si="19"/>
        <v>#N/A</v>
      </c>
    </row>
    <row r="633" spans="1:25" x14ac:dyDescent="0.3">
      <c r="A633" s="55" t="s">
        <v>779</v>
      </c>
      <c r="V633" s="56" t="s">
        <v>779</v>
      </c>
      <c r="W633" s="56" t="str">
        <f t="shared" si="18"/>
        <v>52</v>
      </c>
      <c r="Y633" s="55" t="e">
        <f t="shared" si="19"/>
        <v>#N/A</v>
      </c>
    </row>
    <row r="634" spans="1:25" x14ac:dyDescent="0.3">
      <c r="A634" s="55" t="s">
        <v>780</v>
      </c>
      <c r="V634" s="56" t="s">
        <v>780</v>
      </c>
      <c r="W634" s="56" t="str">
        <f t="shared" si="18"/>
        <v>52</v>
      </c>
      <c r="Y634" s="55" t="e">
        <f t="shared" si="19"/>
        <v>#N/A</v>
      </c>
    </row>
    <row r="635" spans="1:25" x14ac:dyDescent="0.3">
      <c r="A635" s="55" t="s">
        <v>780</v>
      </c>
      <c r="V635" s="56" t="s">
        <v>780</v>
      </c>
      <c r="W635" s="56" t="str">
        <f t="shared" si="18"/>
        <v>52</v>
      </c>
      <c r="Y635" s="55" t="e">
        <f t="shared" si="19"/>
        <v>#N/A</v>
      </c>
    </row>
    <row r="636" spans="1:25" x14ac:dyDescent="0.3">
      <c r="A636" s="55" t="s">
        <v>780</v>
      </c>
      <c r="V636" s="56" t="s">
        <v>780</v>
      </c>
      <c r="W636" s="56" t="str">
        <f t="shared" si="18"/>
        <v>52</v>
      </c>
      <c r="Y636" s="55" t="e">
        <f t="shared" si="19"/>
        <v>#N/A</v>
      </c>
    </row>
    <row r="637" spans="1:25" x14ac:dyDescent="0.3">
      <c r="A637" s="55" t="s">
        <v>781</v>
      </c>
      <c r="V637" s="56" t="s">
        <v>781</v>
      </c>
      <c r="W637" s="56" t="str">
        <f t="shared" si="18"/>
        <v>52</v>
      </c>
      <c r="Y637" s="55" t="e">
        <f t="shared" si="19"/>
        <v>#N/A</v>
      </c>
    </row>
    <row r="638" spans="1:25" x14ac:dyDescent="0.3">
      <c r="A638" s="55" t="s">
        <v>782</v>
      </c>
      <c r="V638" s="56" t="s">
        <v>782</v>
      </c>
      <c r="W638" s="56" t="str">
        <f t="shared" si="18"/>
        <v>52</v>
      </c>
      <c r="Y638" s="55" t="e">
        <f t="shared" si="19"/>
        <v>#N/A</v>
      </c>
    </row>
    <row r="639" spans="1:25" x14ac:dyDescent="0.3">
      <c r="A639" s="55" t="s">
        <v>783</v>
      </c>
      <c r="V639" s="56" t="s">
        <v>783</v>
      </c>
      <c r="W639" s="56" t="str">
        <f t="shared" si="18"/>
        <v>52</v>
      </c>
      <c r="Y639" s="55" t="e">
        <f t="shared" si="19"/>
        <v>#N/A</v>
      </c>
    </row>
    <row r="640" spans="1:25" x14ac:dyDescent="0.3">
      <c r="A640" s="55" t="s">
        <v>784</v>
      </c>
      <c r="V640" s="56" t="s">
        <v>784</v>
      </c>
      <c r="W640" s="56" t="str">
        <f t="shared" si="18"/>
        <v>52</v>
      </c>
      <c r="Y640" s="55" t="e">
        <f t="shared" si="19"/>
        <v>#N/A</v>
      </c>
    </row>
    <row r="641" spans="1:25" x14ac:dyDescent="0.3">
      <c r="A641" s="55" t="s">
        <v>785</v>
      </c>
      <c r="V641" s="56" t="s">
        <v>785</v>
      </c>
      <c r="W641" s="56" t="str">
        <f t="shared" si="18"/>
        <v>52</v>
      </c>
      <c r="Y641" s="55" t="e">
        <f t="shared" si="19"/>
        <v>#N/A</v>
      </c>
    </row>
    <row r="642" spans="1:25" x14ac:dyDescent="0.3">
      <c r="A642" s="55" t="s">
        <v>786</v>
      </c>
      <c r="V642" s="56" t="s">
        <v>786</v>
      </c>
      <c r="W642" s="56" t="str">
        <f t="shared" si="18"/>
        <v>52</v>
      </c>
      <c r="Y642" s="55" t="e">
        <f t="shared" si="19"/>
        <v>#N/A</v>
      </c>
    </row>
    <row r="643" spans="1:25" x14ac:dyDescent="0.3">
      <c r="A643" s="55" t="s">
        <v>787</v>
      </c>
      <c r="V643" s="56" t="s">
        <v>787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1:25" x14ac:dyDescent="0.3">
      <c r="A644" s="55" t="s">
        <v>787</v>
      </c>
      <c r="V644" s="56" t="s">
        <v>787</v>
      </c>
      <c r="W644" s="56" t="str">
        <f t="shared" si="20"/>
        <v>52</v>
      </c>
      <c r="Y644" s="55" t="e">
        <f t="shared" si="21"/>
        <v>#N/A</v>
      </c>
    </row>
    <row r="645" spans="1:25" x14ac:dyDescent="0.3">
      <c r="A645" s="55" t="s">
        <v>788</v>
      </c>
      <c r="V645" s="56" t="s">
        <v>788</v>
      </c>
      <c r="W645" s="56" t="str">
        <f t="shared" si="20"/>
        <v>52</v>
      </c>
      <c r="Y645" s="55" t="e">
        <f t="shared" si="21"/>
        <v>#N/A</v>
      </c>
    </row>
    <row r="646" spans="1:25" x14ac:dyDescent="0.3">
      <c r="A646" s="55" t="s">
        <v>789</v>
      </c>
      <c r="V646" s="56" t="s">
        <v>789</v>
      </c>
      <c r="W646" s="56" t="str">
        <f t="shared" si="20"/>
        <v>52</v>
      </c>
      <c r="Y646" s="55" t="e">
        <f t="shared" si="21"/>
        <v>#N/A</v>
      </c>
    </row>
    <row r="647" spans="1:25" x14ac:dyDescent="0.3">
      <c r="A647" s="55" t="s">
        <v>790</v>
      </c>
      <c r="V647" s="56" t="s">
        <v>790</v>
      </c>
      <c r="W647" s="56" t="str">
        <f t="shared" si="20"/>
        <v>52</v>
      </c>
      <c r="Y647" s="55" t="e">
        <f t="shared" si="21"/>
        <v>#N/A</v>
      </c>
    </row>
    <row r="648" spans="1:25" x14ac:dyDescent="0.3">
      <c r="A648" s="55" t="s">
        <v>791</v>
      </c>
      <c r="V648" s="56" t="s">
        <v>791</v>
      </c>
      <c r="W648" s="56" t="str">
        <f t="shared" si="20"/>
        <v>52</v>
      </c>
      <c r="Y648" s="55" t="e">
        <f t="shared" si="21"/>
        <v>#N/A</v>
      </c>
    </row>
    <row r="649" spans="1:25" x14ac:dyDescent="0.3">
      <c r="A649" s="55" t="s">
        <v>792</v>
      </c>
      <c r="V649" s="56" t="s">
        <v>792</v>
      </c>
      <c r="W649" s="56" t="str">
        <f t="shared" si="20"/>
        <v>52</v>
      </c>
      <c r="Y649" s="55" t="e">
        <f t="shared" si="21"/>
        <v>#N/A</v>
      </c>
    </row>
    <row r="650" spans="1:25" x14ac:dyDescent="0.3">
      <c r="A650" s="55" t="s">
        <v>792</v>
      </c>
      <c r="V650" s="56" t="s">
        <v>792</v>
      </c>
      <c r="W650" s="56" t="str">
        <f t="shared" si="20"/>
        <v>52</v>
      </c>
      <c r="Y650" s="55" t="e">
        <f t="shared" si="21"/>
        <v>#N/A</v>
      </c>
    </row>
    <row r="651" spans="1:25" x14ac:dyDescent="0.3">
      <c r="A651" s="55" t="s">
        <v>792</v>
      </c>
      <c r="V651" s="56" t="s">
        <v>792</v>
      </c>
      <c r="W651" s="56" t="str">
        <f t="shared" si="20"/>
        <v>52</v>
      </c>
      <c r="Y651" s="55" t="e">
        <f t="shared" si="21"/>
        <v>#N/A</v>
      </c>
    </row>
    <row r="652" spans="1:25" x14ac:dyDescent="0.3">
      <c r="A652" s="55" t="s">
        <v>792</v>
      </c>
      <c r="V652" s="56" t="s">
        <v>792</v>
      </c>
      <c r="W652" s="56" t="str">
        <f t="shared" si="20"/>
        <v>52</v>
      </c>
      <c r="Y652" s="55" t="e">
        <f t="shared" si="21"/>
        <v>#N/A</v>
      </c>
    </row>
    <row r="653" spans="1:25" x14ac:dyDescent="0.3">
      <c r="A653" s="55" t="s">
        <v>792</v>
      </c>
      <c r="V653" s="56" t="s">
        <v>792</v>
      </c>
      <c r="W653" s="56" t="str">
        <f t="shared" si="20"/>
        <v>52</v>
      </c>
      <c r="Y653" s="55" t="e">
        <f t="shared" si="21"/>
        <v>#N/A</v>
      </c>
    </row>
    <row r="654" spans="1:25" x14ac:dyDescent="0.3">
      <c r="A654" s="55" t="s">
        <v>792</v>
      </c>
      <c r="V654" s="56" t="s">
        <v>792</v>
      </c>
      <c r="W654" s="56" t="str">
        <f t="shared" si="20"/>
        <v>52</v>
      </c>
      <c r="Y654" s="55" t="e">
        <f t="shared" si="21"/>
        <v>#N/A</v>
      </c>
    </row>
    <row r="655" spans="1:25" x14ac:dyDescent="0.3">
      <c r="A655" s="55" t="s">
        <v>792</v>
      </c>
      <c r="V655" s="56" t="s">
        <v>792</v>
      </c>
      <c r="W655" s="56" t="str">
        <f t="shared" si="20"/>
        <v>52</v>
      </c>
      <c r="Y655" s="55" t="e">
        <f t="shared" si="21"/>
        <v>#N/A</v>
      </c>
    </row>
    <row r="656" spans="1:25" x14ac:dyDescent="0.3">
      <c r="A656" s="55" t="s">
        <v>792</v>
      </c>
      <c r="V656" s="56" t="s">
        <v>792</v>
      </c>
      <c r="W656" s="56" t="str">
        <f t="shared" si="20"/>
        <v>52</v>
      </c>
      <c r="Y656" s="55" t="e">
        <f t="shared" si="21"/>
        <v>#N/A</v>
      </c>
    </row>
    <row r="657" spans="1:25" x14ac:dyDescent="0.3">
      <c r="A657" s="55" t="s">
        <v>792</v>
      </c>
      <c r="V657" s="56" t="s">
        <v>792</v>
      </c>
      <c r="W657" s="56" t="str">
        <f t="shared" si="20"/>
        <v>52</v>
      </c>
      <c r="Y657" s="55" t="e">
        <f t="shared" si="21"/>
        <v>#N/A</v>
      </c>
    </row>
    <row r="658" spans="1:25" x14ac:dyDescent="0.3">
      <c r="A658" s="55" t="s">
        <v>792</v>
      </c>
      <c r="V658" s="56" t="s">
        <v>792</v>
      </c>
      <c r="W658" s="56" t="str">
        <f t="shared" si="20"/>
        <v>52</v>
      </c>
      <c r="Y658" s="55" t="e">
        <f t="shared" si="21"/>
        <v>#N/A</v>
      </c>
    </row>
    <row r="659" spans="1:25" x14ac:dyDescent="0.3">
      <c r="A659" s="55" t="s">
        <v>793</v>
      </c>
      <c r="V659" s="56" t="s">
        <v>793</v>
      </c>
      <c r="W659" s="56" t="str">
        <f t="shared" si="20"/>
        <v>52</v>
      </c>
      <c r="Y659" s="55" t="e">
        <f t="shared" si="21"/>
        <v>#N/A</v>
      </c>
    </row>
    <row r="660" spans="1:25" x14ac:dyDescent="0.3">
      <c r="A660" s="55" t="s">
        <v>794</v>
      </c>
      <c r="V660" s="56" t="s">
        <v>794</v>
      </c>
      <c r="W660" s="56" t="str">
        <f t="shared" si="20"/>
        <v>52</v>
      </c>
      <c r="Y660" s="55" t="e">
        <f t="shared" si="21"/>
        <v>#N/A</v>
      </c>
    </row>
    <row r="661" spans="1:25" x14ac:dyDescent="0.3">
      <c r="A661" s="55" t="s">
        <v>795</v>
      </c>
      <c r="V661" s="56" t="s">
        <v>795</v>
      </c>
      <c r="W661" s="56" t="str">
        <f t="shared" si="20"/>
        <v>52</v>
      </c>
      <c r="Y661" s="55" t="e">
        <f t="shared" si="21"/>
        <v>#N/A</v>
      </c>
    </row>
    <row r="662" spans="1:25" x14ac:dyDescent="0.3">
      <c r="A662" s="55" t="s">
        <v>796</v>
      </c>
      <c r="V662" s="56" t="s">
        <v>796</v>
      </c>
      <c r="W662" s="56" t="str">
        <f t="shared" si="20"/>
        <v>52</v>
      </c>
      <c r="Y662" s="55" t="e">
        <f t="shared" si="21"/>
        <v>#N/A</v>
      </c>
    </row>
    <row r="663" spans="1:25" x14ac:dyDescent="0.3">
      <c r="A663" s="55" t="s">
        <v>797</v>
      </c>
      <c r="V663" s="56" t="s">
        <v>797</v>
      </c>
      <c r="W663" s="56" t="str">
        <f t="shared" si="20"/>
        <v>52</v>
      </c>
      <c r="Y663" s="55" t="e">
        <f t="shared" si="21"/>
        <v>#N/A</v>
      </c>
    </row>
    <row r="664" spans="1:25" x14ac:dyDescent="0.3">
      <c r="A664" s="55" t="s">
        <v>797</v>
      </c>
      <c r="V664" s="56" t="s">
        <v>797</v>
      </c>
      <c r="W664" s="56" t="str">
        <f t="shared" si="20"/>
        <v>52</v>
      </c>
      <c r="Y664" s="55" t="e">
        <f t="shared" si="21"/>
        <v>#N/A</v>
      </c>
    </row>
    <row r="665" spans="1:25" x14ac:dyDescent="0.3">
      <c r="A665" s="55" t="s">
        <v>797</v>
      </c>
      <c r="V665" s="56" t="s">
        <v>797</v>
      </c>
      <c r="W665" s="56" t="str">
        <f t="shared" si="20"/>
        <v>52</v>
      </c>
      <c r="Y665" s="55" t="e">
        <f t="shared" si="21"/>
        <v>#N/A</v>
      </c>
    </row>
    <row r="666" spans="1:25" x14ac:dyDescent="0.3">
      <c r="A666" s="55" t="s">
        <v>797</v>
      </c>
      <c r="V666" s="56" t="s">
        <v>797</v>
      </c>
      <c r="W666" s="56" t="str">
        <f t="shared" si="20"/>
        <v>52</v>
      </c>
      <c r="Y666" s="55" t="e">
        <f t="shared" si="21"/>
        <v>#N/A</v>
      </c>
    </row>
    <row r="667" spans="1:25" x14ac:dyDescent="0.3">
      <c r="A667" s="55" t="s">
        <v>798</v>
      </c>
      <c r="V667" s="56" t="s">
        <v>798</v>
      </c>
      <c r="W667" s="56" t="str">
        <f t="shared" si="20"/>
        <v>52</v>
      </c>
      <c r="Y667" s="55" t="e">
        <f t="shared" si="21"/>
        <v>#N/A</v>
      </c>
    </row>
    <row r="668" spans="1:25" x14ac:dyDescent="0.3">
      <c r="A668" s="55" t="s">
        <v>798</v>
      </c>
      <c r="V668" s="56" t="s">
        <v>798</v>
      </c>
      <c r="W668" s="56" t="str">
        <f t="shared" si="20"/>
        <v>52</v>
      </c>
      <c r="Y668" s="55" t="e">
        <f t="shared" si="21"/>
        <v>#N/A</v>
      </c>
    </row>
    <row r="669" spans="1:25" x14ac:dyDescent="0.3">
      <c r="A669" s="55" t="s">
        <v>798</v>
      </c>
      <c r="V669" s="56" t="s">
        <v>798</v>
      </c>
      <c r="W669" s="56" t="str">
        <f t="shared" si="20"/>
        <v>52</v>
      </c>
      <c r="Y669" s="55" t="e">
        <f t="shared" si="21"/>
        <v>#N/A</v>
      </c>
    </row>
    <row r="670" spans="1:25" x14ac:dyDescent="0.3">
      <c r="A670" s="55" t="s">
        <v>798</v>
      </c>
      <c r="V670" s="56" t="s">
        <v>798</v>
      </c>
      <c r="W670" s="56" t="str">
        <f t="shared" si="20"/>
        <v>52</v>
      </c>
      <c r="Y670" s="55" t="e">
        <f t="shared" si="21"/>
        <v>#N/A</v>
      </c>
    </row>
    <row r="671" spans="1:25" x14ac:dyDescent="0.3">
      <c r="A671" s="55" t="s">
        <v>799</v>
      </c>
      <c r="V671" s="56" t="s">
        <v>799</v>
      </c>
      <c r="W671" s="56" t="str">
        <f t="shared" si="20"/>
        <v>52</v>
      </c>
      <c r="Y671" s="55" t="e">
        <f t="shared" si="21"/>
        <v>#N/A</v>
      </c>
    </row>
    <row r="672" spans="1:25" x14ac:dyDescent="0.3">
      <c r="A672" s="55" t="s">
        <v>800</v>
      </c>
      <c r="V672" s="56" t="s">
        <v>800</v>
      </c>
      <c r="W672" s="56" t="str">
        <f t="shared" si="20"/>
        <v>52</v>
      </c>
      <c r="Y672" s="55" t="e">
        <f t="shared" si="21"/>
        <v>#N/A</v>
      </c>
    </row>
    <row r="673" spans="1:25" x14ac:dyDescent="0.3">
      <c r="A673" s="55" t="s">
        <v>800</v>
      </c>
      <c r="V673" s="56" t="s">
        <v>800</v>
      </c>
      <c r="W673" s="56" t="str">
        <f t="shared" si="20"/>
        <v>52</v>
      </c>
      <c r="Y673" s="55" t="e">
        <f t="shared" si="21"/>
        <v>#N/A</v>
      </c>
    </row>
    <row r="674" spans="1:25" x14ac:dyDescent="0.3">
      <c r="A674" s="55" t="s">
        <v>800</v>
      </c>
      <c r="V674" s="56" t="s">
        <v>800</v>
      </c>
      <c r="W674" s="56" t="str">
        <f t="shared" si="20"/>
        <v>52</v>
      </c>
      <c r="Y674" s="55" t="e">
        <f t="shared" si="21"/>
        <v>#N/A</v>
      </c>
    </row>
    <row r="675" spans="1:25" x14ac:dyDescent="0.3">
      <c r="A675" s="55" t="s">
        <v>800</v>
      </c>
      <c r="V675" s="56" t="s">
        <v>800</v>
      </c>
      <c r="W675" s="56" t="str">
        <f t="shared" si="20"/>
        <v>52</v>
      </c>
      <c r="Y675" s="55" t="e">
        <f t="shared" si="21"/>
        <v>#N/A</v>
      </c>
    </row>
    <row r="676" spans="1:25" x14ac:dyDescent="0.3">
      <c r="A676" s="55" t="s">
        <v>800</v>
      </c>
      <c r="V676" s="56" t="s">
        <v>800</v>
      </c>
      <c r="W676" s="56" t="str">
        <f t="shared" si="20"/>
        <v>52</v>
      </c>
      <c r="Y676" s="55" t="e">
        <f t="shared" si="21"/>
        <v>#N/A</v>
      </c>
    </row>
    <row r="677" spans="1:25" x14ac:dyDescent="0.3">
      <c r="A677" s="55" t="s">
        <v>800</v>
      </c>
      <c r="V677" s="56" t="s">
        <v>800</v>
      </c>
      <c r="W677" s="56" t="str">
        <f t="shared" si="20"/>
        <v>52</v>
      </c>
      <c r="Y677" s="55" t="e">
        <f t="shared" si="21"/>
        <v>#N/A</v>
      </c>
    </row>
    <row r="678" spans="1:25" x14ac:dyDescent="0.3">
      <c r="A678" s="55" t="s">
        <v>800</v>
      </c>
      <c r="V678" s="56" t="s">
        <v>800</v>
      </c>
      <c r="W678" s="56" t="str">
        <f t="shared" si="20"/>
        <v>52</v>
      </c>
      <c r="Y678" s="55" t="e">
        <f t="shared" si="21"/>
        <v>#N/A</v>
      </c>
    </row>
    <row r="679" spans="1:25" x14ac:dyDescent="0.3">
      <c r="A679" s="55" t="s">
        <v>800</v>
      </c>
      <c r="V679" s="56" t="s">
        <v>800</v>
      </c>
      <c r="W679" s="56" t="str">
        <f t="shared" si="20"/>
        <v>52</v>
      </c>
      <c r="Y679" s="55" t="e">
        <f t="shared" si="21"/>
        <v>#N/A</v>
      </c>
    </row>
    <row r="680" spans="1:25" x14ac:dyDescent="0.3">
      <c r="A680" s="55" t="s">
        <v>800</v>
      </c>
      <c r="V680" s="56" t="s">
        <v>800</v>
      </c>
      <c r="W680" s="56" t="str">
        <f t="shared" si="20"/>
        <v>52</v>
      </c>
      <c r="Y680" s="55" t="e">
        <f t="shared" si="21"/>
        <v>#N/A</v>
      </c>
    </row>
    <row r="681" spans="1:25" x14ac:dyDescent="0.3">
      <c r="A681" s="55" t="s">
        <v>800</v>
      </c>
      <c r="V681" s="56" t="s">
        <v>800</v>
      </c>
      <c r="W681" s="56" t="str">
        <f t="shared" si="20"/>
        <v>52</v>
      </c>
      <c r="Y681" s="55" t="e">
        <f t="shared" si="21"/>
        <v>#N/A</v>
      </c>
    </row>
    <row r="682" spans="1:25" x14ac:dyDescent="0.3">
      <c r="A682" s="55" t="s">
        <v>800</v>
      </c>
      <c r="V682" s="56" t="s">
        <v>800</v>
      </c>
      <c r="W682" s="56" t="str">
        <f t="shared" si="20"/>
        <v>52</v>
      </c>
      <c r="Y682" s="55" t="e">
        <f t="shared" si="21"/>
        <v>#N/A</v>
      </c>
    </row>
    <row r="683" spans="1:25" x14ac:dyDescent="0.3">
      <c r="A683" s="55" t="s">
        <v>800</v>
      </c>
      <c r="V683" s="56" t="s">
        <v>800</v>
      </c>
      <c r="W683" s="56" t="str">
        <f t="shared" si="20"/>
        <v>52</v>
      </c>
      <c r="Y683" s="55" t="e">
        <f t="shared" si="21"/>
        <v>#N/A</v>
      </c>
    </row>
    <row r="684" spans="1:25" x14ac:dyDescent="0.3">
      <c r="A684" s="55" t="s">
        <v>801</v>
      </c>
      <c r="V684" s="56" t="s">
        <v>801</v>
      </c>
      <c r="W684" s="56" t="str">
        <f t="shared" si="20"/>
        <v>52</v>
      </c>
      <c r="Y684" s="55" t="e">
        <f t="shared" si="21"/>
        <v>#N/A</v>
      </c>
    </row>
    <row r="685" spans="1:25" x14ac:dyDescent="0.3">
      <c r="A685" s="55" t="s">
        <v>802</v>
      </c>
      <c r="V685" s="56" t="s">
        <v>802</v>
      </c>
      <c r="W685" s="56" t="str">
        <f t="shared" si="20"/>
        <v>52</v>
      </c>
      <c r="Y685" s="55" t="e">
        <f t="shared" si="21"/>
        <v>#N/A</v>
      </c>
    </row>
    <row r="686" spans="1:25" x14ac:dyDescent="0.3">
      <c r="A686" s="55" t="s">
        <v>802</v>
      </c>
      <c r="V686" s="56" t="s">
        <v>802</v>
      </c>
      <c r="W686" s="56" t="str">
        <f t="shared" si="20"/>
        <v>52</v>
      </c>
      <c r="Y686" s="55" t="e">
        <f t="shared" si="21"/>
        <v>#N/A</v>
      </c>
    </row>
    <row r="687" spans="1:25" x14ac:dyDescent="0.3">
      <c r="A687" s="55" t="s">
        <v>802</v>
      </c>
      <c r="V687" s="56" t="s">
        <v>802</v>
      </c>
      <c r="W687" s="56" t="str">
        <f t="shared" si="20"/>
        <v>52</v>
      </c>
      <c r="Y687" s="55" t="e">
        <f t="shared" si="21"/>
        <v>#N/A</v>
      </c>
    </row>
    <row r="688" spans="1:25" x14ac:dyDescent="0.3">
      <c r="A688" s="55" t="s">
        <v>803</v>
      </c>
      <c r="V688" s="56" t="s">
        <v>803</v>
      </c>
      <c r="W688" s="56" t="str">
        <f t="shared" si="20"/>
        <v>52</v>
      </c>
      <c r="Y688" s="55" t="e">
        <f t="shared" si="21"/>
        <v>#N/A</v>
      </c>
    </row>
    <row r="689" spans="1:25" x14ac:dyDescent="0.3">
      <c r="A689" s="55" t="s">
        <v>804</v>
      </c>
      <c r="V689" s="56" t="s">
        <v>804</v>
      </c>
      <c r="W689" s="56" t="str">
        <f t="shared" si="20"/>
        <v>52</v>
      </c>
      <c r="Y689" s="55" t="e">
        <f t="shared" si="21"/>
        <v>#N/A</v>
      </c>
    </row>
    <row r="690" spans="1:25" x14ac:dyDescent="0.3">
      <c r="A690" s="55" t="s">
        <v>805</v>
      </c>
      <c r="V690" s="56" t="s">
        <v>805</v>
      </c>
      <c r="W690" s="56" t="str">
        <f t="shared" si="20"/>
        <v>52</v>
      </c>
      <c r="Y690" s="55" t="e">
        <f t="shared" si="21"/>
        <v>#N/A</v>
      </c>
    </row>
    <row r="691" spans="1:25" x14ac:dyDescent="0.3">
      <c r="A691" s="55" t="s">
        <v>805</v>
      </c>
      <c r="V691" s="56" t="s">
        <v>805</v>
      </c>
      <c r="W691" s="56" t="str">
        <f t="shared" si="20"/>
        <v>52</v>
      </c>
      <c r="Y691" s="55" t="e">
        <f t="shared" si="21"/>
        <v>#N/A</v>
      </c>
    </row>
    <row r="692" spans="1:25" x14ac:dyDescent="0.3">
      <c r="A692" s="55" t="s">
        <v>805</v>
      </c>
      <c r="V692" s="56" t="s">
        <v>805</v>
      </c>
      <c r="W692" s="56" t="str">
        <f t="shared" si="20"/>
        <v>52</v>
      </c>
      <c r="Y692" s="55" t="e">
        <f t="shared" si="21"/>
        <v>#N/A</v>
      </c>
    </row>
    <row r="693" spans="1:25" x14ac:dyDescent="0.3">
      <c r="A693" s="55" t="s">
        <v>805</v>
      </c>
      <c r="V693" s="56" t="s">
        <v>805</v>
      </c>
      <c r="W693" s="56" t="str">
        <f t="shared" si="20"/>
        <v>52</v>
      </c>
      <c r="Y693" s="55" t="e">
        <f t="shared" si="21"/>
        <v>#N/A</v>
      </c>
    </row>
    <row r="694" spans="1:25" x14ac:dyDescent="0.3">
      <c r="A694" s="55" t="s">
        <v>805</v>
      </c>
      <c r="V694" s="56" t="s">
        <v>805</v>
      </c>
      <c r="W694" s="56" t="str">
        <f t="shared" si="20"/>
        <v>52</v>
      </c>
      <c r="Y694" s="55" t="e">
        <f t="shared" si="21"/>
        <v>#N/A</v>
      </c>
    </row>
    <row r="695" spans="1:25" x14ac:dyDescent="0.3">
      <c r="A695" s="55" t="s">
        <v>805</v>
      </c>
      <c r="V695" s="56" t="s">
        <v>805</v>
      </c>
      <c r="W695" s="56" t="str">
        <f t="shared" si="20"/>
        <v>52</v>
      </c>
      <c r="Y695" s="55" t="e">
        <f t="shared" si="21"/>
        <v>#N/A</v>
      </c>
    </row>
    <row r="696" spans="1:25" x14ac:dyDescent="0.3">
      <c r="A696" s="55" t="s">
        <v>805</v>
      </c>
      <c r="V696" s="56" t="s">
        <v>805</v>
      </c>
      <c r="W696" s="56" t="str">
        <f t="shared" si="20"/>
        <v>52</v>
      </c>
      <c r="Y696" s="55" t="e">
        <f t="shared" si="21"/>
        <v>#N/A</v>
      </c>
    </row>
    <row r="697" spans="1:25" x14ac:dyDescent="0.3">
      <c r="A697" s="55" t="s">
        <v>805</v>
      </c>
      <c r="V697" s="56" t="s">
        <v>805</v>
      </c>
      <c r="W697" s="56" t="str">
        <f t="shared" si="20"/>
        <v>52</v>
      </c>
      <c r="Y697" s="55" t="e">
        <f t="shared" si="21"/>
        <v>#N/A</v>
      </c>
    </row>
    <row r="698" spans="1:25" x14ac:dyDescent="0.3">
      <c r="A698" s="55" t="s">
        <v>805</v>
      </c>
      <c r="V698" s="56" t="s">
        <v>805</v>
      </c>
      <c r="W698" s="56" t="str">
        <f t="shared" si="20"/>
        <v>52</v>
      </c>
      <c r="Y698" s="55" t="e">
        <f t="shared" si="21"/>
        <v>#N/A</v>
      </c>
    </row>
    <row r="699" spans="1:25" x14ac:dyDescent="0.3">
      <c r="A699" s="55" t="s">
        <v>805</v>
      </c>
      <c r="V699" s="56" t="s">
        <v>805</v>
      </c>
      <c r="W699" s="56" t="str">
        <f t="shared" si="20"/>
        <v>52</v>
      </c>
      <c r="Y699" s="55" t="e">
        <f t="shared" si="21"/>
        <v>#N/A</v>
      </c>
    </row>
    <row r="700" spans="1:25" x14ac:dyDescent="0.3">
      <c r="A700" s="55" t="s">
        <v>806</v>
      </c>
      <c r="V700" s="56" t="s">
        <v>806</v>
      </c>
      <c r="W700" s="56" t="str">
        <f t="shared" si="20"/>
        <v>52</v>
      </c>
      <c r="Y700" s="55" t="e">
        <f t="shared" si="21"/>
        <v>#N/A</v>
      </c>
    </row>
    <row r="701" spans="1:25" x14ac:dyDescent="0.3">
      <c r="A701" s="55" t="s">
        <v>806</v>
      </c>
      <c r="V701" s="56" t="s">
        <v>806</v>
      </c>
      <c r="W701" s="56" t="str">
        <f t="shared" si="20"/>
        <v>52</v>
      </c>
      <c r="Y701" s="55" t="e">
        <f t="shared" si="21"/>
        <v>#N/A</v>
      </c>
    </row>
    <row r="702" spans="1:25" x14ac:dyDescent="0.3">
      <c r="A702" s="55" t="s">
        <v>807</v>
      </c>
      <c r="V702" s="56" t="s">
        <v>807</v>
      </c>
      <c r="W702" s="56" t="str">
        <f t="shared" si="20"/>
        <v>52</v>
      </c>
      <c r="Y702" s="55" t="e">
        <f t="shared" si="21"/>
        <v>#N/A</v>
      </c>
    </row>
    <row r="703" spans="1:25" x14ac:dyDescent="0.3">
      <c r="A703" s="55" t="s">
        <v>808</v>
      </c>
      <c r="V703" s="56" t="s">
        <v>808</v>
      </c>
      <c r="W703" s="56" t="str">
        <f t="shared" si="20"/>
        <v>52</v>
      </c>
      <c r="Y703" s="55" t="e">
        <f t="shared" si="21"/>
        <v>#N/A</v>
      </c>
    </row>
    <row r="704" spans="1:25" x14ac:dyDescent="0.3">
      <c r="A704" s="55" t="s">
        <v>809</v>
      </c>
      <c r="V704" s="56" t="s">
        <v>809</v>
      </c>
      <c r="W704" s="56" t="str">
        <f t="shared" si="20"/>
        <v>52</v>
      </c>
      <c r="Y704" s="55" t="e">
        <f t="shared" si="21"/>
        <v>#N/A</v>
      </c>
    </row>
    <row r="705" spans="1:25" x14ac:dyDescent="0.3">
      <c r="A705" s="55" t="s">
        <v>810</v>
      </c>
      <c r="V705" s="56" t="s">
        <v>810</v>
      </c>
      <c r="W705" s="56" t="str">
        <f t="shared" si="20"/>
        <v>52</v>
      </c>
      <c r="Y705" s="55" t="e">
        <f t="shared" si="21"/>
        <v>#N/A</v>
      </c>
    </row>
    <row r="706" spans="1:25" x14ac:dyDescent="0.3">
      <c r="A706" s="55" t="s">
        <v>811</v>
      </c>
      <c r="V706" s="56" t="s">
        <v>811</v>
      </c>
      <c r="W706" s="56" t="str">
        <f t="shared" si="20"/>
        <v>52</v>
      </c>
      <c r="Y706" s="55" t="e">
        <f t="shared" si="21"/>
        <v>#N/A</v>
      </c>
    </row>
    <row r="707" spans="1:25" x14ac:dyDescent="0.3">
      <c r="A707" s="55" t="s">
        <v>811</v>
      </c>
      <c r="V707" s="56" t="s">
        <v>811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1:25" x14ac:dyDescent="0.3">
      <c r="A708" s="55" t="s">
        <v>811</v>
      </c>
      <c r="V708" s="56" t="s">
        <v>811</v>
      </c>
      <c r="W708" s="56" t="str">
        <f t="shared" si="22"/>
        <v>52</v>
      </c>
      <c r="Y708" s="55" t="e">
        <f t="shared" si="23"/>
        <v>#N/A</v>
      </c>
    </row>
    <row r="709" spans="1:25" x14ac:dyDescent="0.3">
      <c r="A709" s="55" t="s">
        <v>811</v>
      </c>
      <c r="V709" s="56" t="s">
        <v>811</v>
      </c>
      <c r="W709" s="56" t="str">
        <f t="shared" si="22"/>
        <v>52</v>
      </c>
      <c r="Y709" s="55" t="e">
        <f t="shared" si="23"/>
        <v>#N/A</v>
      </c>
    </row>
    <row r="710" spans="1:25" x14ac:dyDescent="0.3">
      <c r="A710" s="55" t="s">
        <v>811</v>
      </c>
      <c r="V710" s="56" t="s">
        <v>811</v>
      </c>
      <c r="W710" s="56" t="str">
        <f t="shared" si="22"/>
        <v>52</v>
      </c>
      <c r="Y710" s="55" t="e">
        <f t="shared" si="23"/>
        <v>#N/A</v>
      </c>
    </row>
    <row r="711" spans="1:25" x14ac:dyDescent="0.3">
      <c r="A711" s="55" t="s">
        <v>811</v>
      </c>
      <c r="V711" s="56" t="s">
        <v>811</v>
      </c>
      <c r="W711" s="56" t="str">
        <f t="shared" si="22"/>
        <v>52</v>
      </c>
      <c r="Y711" s="55" t="e">
        <f t="shared" si="23"/>
        <v>#N/A</v>
      </c>
    </row>
    <row r="712" spans="1:25" x14ac:dyDescent="0.3">
      <c r="A712" s="55" t="s">
        <v>811</v>
      </c>
      <c r="V712" s="56" t="s">
        <v>811</v>
      </c>
      <c r="W712" s="56" t="str">
        <f t="shared" si="22"/>
        <v>52</v>
      </c>
      <c r="Y712" s="55" t="e">
        <f t="shared" si="23"/>
        <v>#N/A</v>
      </c>
    </row>
    <row r="713" spans="1:25" x14ac:dyDescent="0.3">
      <c r="A713" s="55" t="s">
        <v>811</v>
      </c>
      <c r="V713" s="56" t="s">
        <v>811</v>
      </c>
      <c r="W713" s="56" t="str">
        <f t="shared" si="22"/>
        <v>52</v>
      </c>
      <c r="Y713" s="55" t="e">
        <f t="shared" si="23"/>
        <v>#N/A</v>
      </c>
    </row>
    <row r="714" spans="1:25" x14ac:dyDescent="0.3">
      <c r="A714" s="55" t="s">
        <v>811</v>
      </c>
      <c r="V714" s="56" t="s">
        <v>811</v>
      </c>
      <c r="W714" s="56" t="str">
        <f t="shared" si="22"/>
        <v>52</v>
      </c>
      <c r="Y714" s="55" t="e">
        <f t="shared" si="23"/>
        <v>#N/A</v>
      </c>
    </row>
    <row r="715" spans="1:25" x14ac:dyDescent="0.3">
      <c r="A715" s="55" t="s">
        <v>811</v>
      </c>
      <c r="V715" s="56" t="s">
        <v>811</v>
      </c>
      <c r="W715" s="56" t="str">
        <f t="shared" si="22"/>
        <v>52</v>
      </c>
      <c r="Y715" s="55" t="e">
        <f t="shared" si="23"/>
        <v>#N/A</v>
      </c>
    </row>
    <row r="716" spans="1:25" x14ac:dyDescent="0.3">
      <c r="A716" s="55" t="s">
        <v>811</v>
      </c>
      <c r="V716" s="56" t="s">
        <v>811</v>
      </c>
      <c r="W716" s="56" t="str">
        <f t="shared" si="22"/>
        <v>52</v>
      </c>
      <c r="Y716" s="55" t="e">
        <f t="shared" si="23"/>
        <v>#N/A</v>
      </c>
    </row>
    <row r="717" spans="1:25" x14ac:dyDescent="0.3">
      <c r="A717" s="55" t="s">
        <v>811</v>
      </c>
      <c r="V717" s="56" t="s">
        <v>811</v>
      </c>
      <c r="W717" s="56" t="str">
        <f t="shared" si="22"/>
        <v>52</v>
      </c>
      <c r="Y717" s="55" t="e">
        <f t="shared" si="23"/>
        <v>#N/A</v>
      </c>
    </row>
    <row r="718" spans="1:25" x14ac:dyDescent="0.3">
      <c r="A718" s="55" t="s">
        <v>811</v>
      </c>
      <c r="V718" s="56" t="s">
        <v>811</v>
      </c>
      <c r="W718" s="56" t="str">
        <f t="shared" si="22"/>
        <v>52</v>
      </c>
      <c r="Y718" s="55" t="e">
        <f t="shared" si="23"/>
        <v>#N/A</v>
      </c>
    </row>
    <row r="719" spans="1:25" x14ac:dyDescent="0.3">
      <c r="A719" s="55" t="s">
        <v>811</v>
      </c>
      <c r="V719" s="56" t="s">
        <v>811</v>
      </c>
      <c r="W719" s="56" t="str">
        <f t="shared" si="22"/>
        <v>52</v>
      </c>
      <c r="Y719" s="55" t="e">
        <f t="shared" si="23"/>
        <v>#N/A</v>
      </c>
    </row>
    <row r="720" spans="1:25" x14ac:dyDescent="0.3">
      <c r="A720" s="55" t="s">
        <v>812</v>
      </c>
      <c r="V720" s="56" t="s">
        <v>812</v>
      </c>
      <c r="W720" s="56" t="str">
        <f t="shared" si="22"/>
        <v>52</v>
      </c>
      <c r="Y720" s="55" t="e">
        <f t="shared" si="23"/>
        <v>#N/A</v>
      </c>
    </row>
    <row r="721" spans="1:25" x14ac:dyDescent="0.3">
      <c r="A721" s="55" t="s">
        <v>813</v>
      </c>
      <c r="V721" s="56" t="s">
        <v>813</v>
      </c>
      <c r="W721" s="56" t="str">
        <f t="shared" si="22"/>
        <v>52</v>
      </c>
      <c r="Y721" s="55" t="e">
        <f t="shared" si="23"/>
        <v>#N/A</v>
      </c>
    </row>
    <row r="722" spans="1:25" x14ac:dyDescent="0.3">
      <c r="A722" s="55" t="s">
        <v>813</v>
      </c>
      <c r="V722" s="56" t="s">
        <v>813</v>
      </c>
      <c r="W722" s="56" t="str">
        <f t="shared" si="22"/>
        <v>52</v>
      </c>
      <c r="Y722" s="55" t="e">
        <f t="shared" si="23"/>
        <v>#N/A</v>
      </c>
    </row>
    <row r="723" spans="1:25" x14ac:dyDescent="0.3">
      <c r="A723" s="55" t="s">
        <v>813</v>
      </c>
      <c r="V723" s="56" t="s">
        <v>813</v>
      </c>
      <c r="W723" s="56" t="str">
        <f t="shared" si="22"/>
        <v>52</v>
      </c>
      <c r="Y723" s="55" t="e">
        <f t="shared" si="23"/>
        <v>#N/A</v>
      </c>
    </row>
    <row r="724" spans="1:25" x14ac:dyDescent="0.3">
      <c r="A724" s="55" t="s">
        <v>814</v>
      </c>
      <c r="V724" s="56" t="s">
        <v>814</v>
      </c>
      <c r="W724" s="56" t="str">
        <f t="shared" si="22"/>
        <v>52</v>
      </c>
      <c r="Y724" s="55" t="e">
        <f t="shared" si="23"/>
        <v>#N/A</v>
      </c>
    </row>
    <row r="725" spans="1:25" x14ac:dyDescent="0.3">
      <c r="A725" s="55" t="s">
        <v>815</v>
      </c>
      <c r="V725" s="56" t="s">
        <v>815</v>
      </c>
      <c r="W725" s="56" t="str">
        <f t="shared" si="22"/>
        <v>52</v>
      </c>
      <c r="Y725" s="55" t="e">
        <f t="shared" si="23"/>
        <v>#N/A</v>
      </c>
    </row>
    <row r="726" spans="1:25" x14ac:dyDescent="0.3">
      <c r="A726" s="55" t="s">
        <v>816</v>
      </c>
      <c r="V726" s="56" t="s">
        <v>816</v>
      </c>
      <c r="W726" s="56" t="str">
        <f t="shared" si="22"/>
        <v>52</v>
      </c>
      <c r="Y726" s="55" t="e">
        <f t="shared" si="23"/>
        <v>#N/A</v>
      </c>
    </row>
    <row r="727" spans="1:25" x14ac:dyDescent="0.3">
      <c r="A727" s="55" t="s">
        <v>816</v>
      </c>
      <c r="V727" s="56" t="s">
        <v>816</v>
      </c>
      <c r="W727" s="56" t="str">
        <f t="shared" si="22"/>
        <v>52</v>
      </c>
      <c r="Y727" s="55" t="e">
        <f t="shared" si="23"/>
        <v>#N/A</v>
      </c>
    </row>
    <row r="728" spans="1:25" x14ac:dyDescent="0.3">
      <c r="A728" s="55" t="s">
        <v>816</v>
      </c>
      <c r="V728" s="56" t="s">
        <v>816</v>
      </c>
      <c r="W728" s="56" t="str">
        <f t="shared" si="22"/>
        <v>52</v>
      </c>
      <c r="Y728" s="55" t="e">
        <f t="shared" si="23"/>
        <v>#N/A</v>
      </c>
    </row>
    <row r="729" spans="1:25" x14ac:dyDescent="0.3">
      <c r="A729" s="55" t="s">
        <v>816</v>
      </c>
      <c r="V729" s="56" t="s">
        <v>816</v>
      </c>
      <c r="W729" s="56" t="str">
        <f t="shared" si="22"/>
        <v>52</v>
      </c>
      <c r="Y729" s="55" t="e">
        <f t="shared" si="23"/>
        <v>#N/A</v>
      </c>
    </row>
    <row r="730" spans="1:25" x14ac:dyDescent="0.3">
      <c r="A730" s="55" t="s">
        <v>816</v>
      </c>
      <c r="V730" s="56" t="s">
        <v>816</v>
      </c>
      <c r="W730" s="56" t="str">
        <f t="shared" si="22"/>
        <v>52</v>
      </c>
      <c r="Y730" s="55" t="e">
        <f t="shared" si="23"/>
        <v>#N/A</v>
      </c>
    </row>
    <row r="731" spans="1:25" x14ac:dyDescent="0.3">
      <c r="A731" s="55" t="s">
        <v>816</v>
      </c>
      <c r="V731" s="56" t="s">
        <v>816</v>
      </c>
      <c r="W731" s="56" t="str">
        <f t="shared" si="22"/>
        <v>52</v>
      </c>
      <c r="Y731" s="55" t="e">
        <f t="shared" si="23"/>
        <v>#N/A</v>
      </c>
    </row>
    <row r="732" spans="1:25" x14ac:dyDescent="0.3">
      <c r="A732" s="55" t="s">
        <v>816</v>
      </c>
      <c r="V732" s="56" t="s">
        <v>816</v>
      </c>
      <c r="W732" s="56" t="str">
        <f t="shared" si="22"/>
        <v>52</v>
      </c>
      <c r="Y732" s="55" t="e">
        <f t="shared" si="23"/>
        <v>#N/A</v>
      </c>
    </row>
    <row r="733" spans="1:25" x14ac:dyDescent="0.3">
      <c r="A733" s="55" t="s">
        <v>816</v>
      </c>
      <c r="V733" s="56" t="s">
        <v>816</v>
      </c>
      <c r="W733" s="56" t="str">
        <f t="shared" si="22"/>
        <v>52</v>
      </c>
      <c r="Y733" s="55" t="e">
        <f t="shared" si="23"/>
        <v>#N/A</v>
      </c>
    </row>
    <row r="734" spans="1:25" x14ac:dyDescent="0.3">
      <c r="A734" s="55" t="s">
        <v>816</v>
      </c>
      <c r="V734" s="56" t="s">
        <v>816</v>
      </c>
      <c r="W734" s="56" t="str">
        <f t="shared" si="22"/>
        <v>52</v>
      </c>
      <c r="Y734" s="55" t="e">
        <f t="shared" si="23"/>
        <v>#N/A</v>
      </c>
    </row>
    <row r="735" spans="1:25" x14ac:dyDescent="0.3">
      <c r="A735" s="55" t="s">
        <v>816</v>
      </c>
      <c r="V735" s="56" t="s">
        <v>816</v>
      </c>
      <c r="W735" s="56" t="str">
        <f t="shared" si="22"/>
        <v>52</v>
      </c>
      <c r="Y735" s="55" t="e">
        <f t="shared" si="23"/>
        <v>#N/A</v>
      </c>
    </row>
    <row r="736" spans="1:25" x14ac:dyDescent="0.3">
      <c r="A736" s="55" t="s">
        <v>816</v>
      </c>
      <c r="V736" s="56" t="s">
        <v>816</v>
      </c>
      <c r="W736" s="56" t="str">
        <f t="shared" si="22"/>
        <v>52</v>
      </c>
      <c r="Y736" s="55" t="e">
        <f t="shared" si="23"/>
        <v>#N/A</v>
      </c>
    </row>
    <row r="737" spans="1:25" x14ac:dyDescent="0.3">
      <c r="A737" s="55" t="s">
        <v>816</v>
      </c>
      <c r="V737" s="56" t="s">
        <v>816</v>
      </c>
      <c r="W737" s="56" t="str">
        <f t="shared" si="22"/>
        <v>52</v>
      </c>
      <c r="Y737" s="55" t="e">
        <f t="shared" si="23"/>
        <v>#N/A</v>
      </c>
    </row>
    <row r="738" spans="1:25" x14ac:dyDescent="0.3">
      <c r="A738" s="55" t="s">
        <v>816</v>
      </c>
      <c r="V738" s="56" t="s">
        <v>816</v>
      </c>
      <c r="W738" s="56" t="str">
        <f t="shared" si="22"/>
        <v>52</v>
      </c>
      <c r="Y738" s="55" t="e">
        <f t="shared" si="23"/>
        <v>#N/A</v>
      </c>
    </row>
    <row r="739" spans="1:25" x14ac:dyDescent="0.3">
      <c r="A739" s="55" t="s">
        <v>816</v>
      </c>
      <c r="V739" s="56" t="s">
        <v>816</v>
      </c>
      <c r="W739" s="56" t="str">
        <f t="shared" si="22"/>
        <v>52</v>
      </c>
      <c r="Y739" s="55" t="e">
        <f t="shared" si="23"/>
        <v>#N/A</v>
      </c>
    </row>
    <row r="740" spans="1:25" x14ac:dyDescent="0.3">
      <c r="A740" s="55" t="s">
        <v>817</v>
      </c>
      <c r="V740" s="56" t="s">
        <v>817</v>
      </c>
      <c r="W740" s="56" t="str">
        <f t="shared" si="22"/>
        <v>52</v>
      </c>
      <c r="Y740" s="55" t="e">
        <f t="shared" si="23"/>
        <v>#N/A</v>
      </c>
    </row>
    <row r="741" spans="1:25" x14ac:dyDescent="0.3">
      <c r="A741" s="55" t="s">
        <v>818</v>
      </c>
      <c r="V741" s="56" t="s">
        <v>818</v>
      </c>
      <c r="W741" s="56" t="str">
        <f t="shared" si="22"/>
        <v>52</v>
      </c>
      <c r="Y741" s="55" t="e">
        <f t="shared" si="23"/>
        <v>#N/A</v>
      </c>
    </row>
    <row r="742" spans="1:25" x14ac:dyDescent="0.3">
      <c r="A742" s="55" t="s">
        <v>818</v>
      </c>
      <c r="V742" s="56" t="s">
        <v>818</v>
      </c>
      <c r="W742" s="56" t="str">
        <f t="shared" si="22"/>
        <v>52</v>
      </c>
      <c r="Y742" s="55" t="e">
        <f t="shared" si="23"/>
        <v>#N/A</v>
      </c>
    </row>
    <row r="743" spans="1:25" x14ac:dyDescent="0.3">
      <c r="A743" s="55" t="s">
        <v>819</v>
      </c>
      <c r="V743" s="56" t="s">
        <v>819</v>
      </c>
      <c r="W743" s="56" t="str">
        <f t="shared" si="22"/>
        <v>52</v>
      </c>
      <c r="Y743" s="55" t="e">
        <f t="shared" si="23"/>
        <v>#N/A</v>
      </c>
    </row>
    <row r="744" spans="1:25" x14ac:dyDescent="0.3">
      <c r="A744" s="55" t="s">
        <v>820</v>
      </c>
      <c r="V744" s="56" t="s">
        <v>820</v>
      </c>
      <c r="W744" s="56" t="str">
        <f t="shared" si="22"/>
        <v>52</v>
      </c>
      <c r="Y744" s="55" t="e">
        <f t="shared" si="23"/>
        <v>#N/A</v>
      </c>
    </row>
    <row r="745" spans="1:25" x14ac:dyDescent="0.3">
      <c r="A745" s="55" t="s">
        <v>821</v>
      </c>
      <c r="V745" s="56" t="s">
        <v>821</v>
      </c>
      <c r="W745" s="56" t="str">
        <f t="shared" si="22"/>
        <v>52</v>
      </c>
      <c r="Y745" s="55" t="e">
        <f t="shared" si="23"/>
        <v>#N/A</v>
      </c>
    </row>
    <row r="746" spans="1:25" x14ac:dyDescent="0.3">
      <c r="A746" s="55" t="s">
        <v>822</v>
      </c>
      <c r="V746" s="56" t="s">
        <v>822</v>
      </c>
      <c r="W746" s="56" t="str">
        <f t="shared" si="22"/>
        <v>52</v>
      </c>
      <c r="Y746" s="55" t="e">
        <f t="shared" si="23"/>
        <v>#N/A</v>
      </c>
    </row>
    <row r="747" spans="1:25" x14ac:dyDescent="0.3">
      <c r="A747" s="55" t="s">
        <v>822</v>
      </c>
      <c r="V747" s="56" t="s">
        <v>822</v>
      </c>
      <c r="W747" s="56" t="str">
        <f t="shared" si="22"/>
        <v>52</v>
      </c>
      <c r="Y747" s="55" t="e">
        <f t="shared" si="23"/>
        <v>#N/A</v>
      </c>
    </row>
    <row r="748" spans="1:25" x14ac:dyDescent="0.3">
      <c r="A748" s="55" t="s">
        <v>822</v>
      </c>
      <c r="V748" s="56" t="s">
        <v>822</v>
      </c>
      <c r="W748" s="56" t="str">
        <f t="shared" si="22"/>
        <v>52</v>
      </c>
      <c r="Y748" s="55" t="e">
        <f t="shared" si="23"/>
        <v>#N/A</v>
      </c>
    </row>
    <row r="749" spans="1:25" x14ac:dyDescent="0.3">
      <c r="A749" s="55" t="s">
        <v>822</v>
      </c>
      <c r="V749" s="56" t="s">
        <v>822</v>
      </c>
      <c r="W749" s="56" t="str">
        <f t="shared" si="22"/>
        <v>52</v>
      </c>
      <c r="Y749" s="55" t="e">
        <f t="shared" si="23"/>
        <v>#N/A</v>
      </c>
    </row>
    <row r="750" spans="1:25" x14ac:dyDescent="0.3">
      <c r="A750" s="55" t="s">
        <v>822</v>
      </c>
      <c r="V750" s="56" t="s">
        <v>822</v>
      </c>
      <c r="W750" s="56" t="str">
        <f t="shared" si="22"/>
        <v>52</v>
      </c>
      <c r="Y750" s="55" t="e">
        <f t="shared" si="23"/>
        <v>#N/A</v>
      </c>
    </row>
    <row r="751" spans="1:25" x14ac:dyDescent="0.3">
      <c r="A751" s="55" t="s">
        <v>822</v>
      </c>
      <c r="V751" s="56" t="s">
        <v>822</v>
      </c>
      <c r="W751" s="56" t="str">
        <f t="shared" si="22"/>
        <v>52</v>
      </c>
      <c r="Y751" s="55" t="e">
        <f t="shared" si="23"/>
        <v>#N/A</v>
      </c>
    </row>
    <row r="752" spans="1:25" x14ac:dyDescent="0.3">
      <c r="A752" s="55" t="s">
        <v>822</v>
      </c>
      <c r="V752" s="56" t="s">
        <v>822</v>
      </c>
      <c r="W752" s="56" t="str">
        <f t="shared" si="22"/>
        <v>52</v>
      </c>
      <c r="Y752" s="55" t="e">
        <f t="shared" si="23"/>
        <v>#N/A</v>
      </c>
    </row>
    <row r="753" spans="1:25" x14ac:dyDescent="0.3">
      <c r="A753" s="55" t="s">
        <v>822</v>
      </c>
      <c r="V753" s="56" t="s">
        <v>822</v>
      </c>
      <c r="W753" s="56" t="str">
        <f t="shared" si="22"/>
        <v>52</v>
      </c>
      <c r="Y753" s="55" t="e">
        <f t="shared" si="23"/>
        <v>#N/A</v>
      </c>
    </row>
    <row r="754" spans="1:25" x14ac:dyDescent="0.3">
      <c r="A754" s="55" t="s">
        <v>822</v>
      </c>
      <c r="V754" s="56" t="s">
        <v>822</v>
      </c>
      <c r="W754" s="56" t="str">
        <f t="shared" si="22"/>
        <v>52</v>
      </c>
      <c r="Y754" s="55" t="e">
        <f t="shared" si="23"/>
        <v>#N/A</v>
      </c>
    </row>
    <row r="755" spans="1:25" x14ac:dyDescent="0.3">
      <c r="A755" s="55" t="s">
        <v>822</v>
      </c>
      <c r="V755" s="56" t="s">
        <v>822</v>
      </c>
      <c r="W755" s="56" t="str">
        <f t="shared" si="22"/>
        <v>52</v>
      </c>
      <c r="Y755" s="55" t="e">
        <f t="shared" si="23"/>
        <v>#N/A</v>
      </c>
    </row>
    <row r="756" spans="1:25" x14ac:dyDescent="0.3">
      <c r="A756" s="55" t="s">
        <v>822</v>
      </c>
      <c r="V756" s="56" t="s">
        <v>822</v>
      </c>
      <c r="W756" s="56" t="str">
        <f t="shared" si="22"/>
        <v>52</v>
      </c>
      <c r="Y756" s="55" t="e">
        <f t="shared" si="23"/>
        <v>#N/A</v>
      </c>
    </row>
    <row r="757" spans="1:25" x14ac:dyDescent="0.3">
      <c r="A757" s="55" t="s">
        <v>822</v>
      </c>
      <c r="V757" s="56" t="s">
        <v>822</v>
      </c>
      <c r="W757" s="56" t="str">
        <f t="shared" si="22"/>
        <v>52</v>
      </c>
      <c r="Y757" s="55" t="e">
        <f t="shared" si="23"/>
        <v>#N/A</v>
      </c>
    </row>
    <row r="758" spans="1:25" x14ac:dyDescent="0.3">
      <c r="A758" s="55" t="s">
        <v>823</v>
      </c>
      <c r="V758" s="56" t="s">
        <v>823</v>
      </c>
      <c r="W758" s="56" t="str">
        <f t="shared" si="22"/>
        <v>52</v>
      </c>
      <c r="Y758" s="55" t="e">
        <f t="shared" si="23"/>
        <v>#N/A</v>
      </c>
    </row>
    <row r="759" spans="1:25" x14ac:dyDescent="0.3">
      <c r="A759" s="55" t="s">
        <v>823</v>
      </c>
      <c r="V759" s="56" t="s">
        <v>823</v>
      </c>
      <c r="W759" s="56" t="str">
        <f t="shared" si="22"/>
        <v>52</v>
      </c>
      <c r="Y759" s="55" t="e">
        <f t="shared" si="23"/>
        <v>#N/A</v>
      </c>
    </row>
    <row r="760" spans="1:25" x14ac:dyDescent="0.3">
      <c r="A760" s="55" t="s">
        <v>823</v>
      </c>
      <c r="V760" s="56" t="s">
        <v>823</v>
      </c>
      <c r="W760" s="56" t="str">
        <f t="shared" si="22"/>
        <v>52</v>
      </c>
      <c r="Y760" s="55" t="e">
        <f t="shared" si="23"/>
        <v>#N/A</v>
      </c>
    </row>
    <row r="761" spans="1:25" x14ac:dyDescent="0.3">
      <c r="A761" s="55" t="s">
        <v>824</v>
      </c>
      <c r="V761" s="56" t="s">
        <v>824</v>
      </c>
      <c r="W761" s="56" t="str">
        <f t="shared" si="22"/>
        <v>52</v>
      </c>
      <c r="Y761" s="55" t="e">
        <f t="shared" si="23"/>
        <v>#N/A</v>
      </c>
    </row>
    <row r="762" spans="1:25" x14ac:dyDescent="0.3">
      <c r="A762" s="55" t="s">
        <v>825</v>
      </c>
      <c r="V762" s="56" t="s">
        <v>825</v>
      </c>
      <c r="W762" s="56" t="str">
        <f t="shared" si="22"/>
        <v>52</v>
      </c>
      <c r="Y762" s="55" t="e">
        <f t="shared" si="23"/>
        <v>#N/A</v>
      </c>
    </row>
    <row r="763" spans="1:25" x14ac:dyDescent="0.3">
      <c r="A763" s="55" t="s">
        <v>826</v>
      </c>
      <c r="V763" s="56" t="s">
        <v>826</v>
      </c>
      <c r="W763" s="56" t="str">
        <f t="shared" si="22"/>
        <v>52</v>
      </c>
      <c r="Y763" s="55" t="e">
        <f t="shared" si="23"/>
        <v>#N/A</v>
      </c>
    </row>
    <row r="764" spans="1:25" x14ac:dyDescent="0.3">
      <c r="A764" s="55" t="s">
        <v>826</v>
      </c>
      <c r="V764" s="56" t="s">
        <v>826</v>
      </c>
      <c r="W764" s="56" t="str">
        <f t="shared" si="22"/>
        <v>52</v>
      </c>
      <c r="Y764" s="55" t="e">
        <f t="shared" si="23"/>
        <v>#N/A</v>
      </c>
    </row>
    <row r="765" spans="1:25" x14ac:dyDescent="0.3">
      <c r="A765" s="55" t="s">
        <v>826</v>
      </c>
      <c r="V765" s="56" t="s">
        <v>826</v>
      </c>
      <c r="W765" s="56" t="str">
        <f t="shared" si="22"/>
        <v>52</v>
      </c>
      <c r="Y765" s="55" t="e">
        <f t="shared" si="23"/>
        <v>#N/A</v>
      </c>
    </row>
    <row r="766" spans="1:25" x14ac:dyDescent="0.3">
      <c r="A766" s="55" t="s">
        <v>826</v>
      </c>
      <c r="V766" s="56" t="s">
        <v>826</v>
      </c>
      <c r="W766" s="56" t="str">
        <f t="shared" si="22"/>
        <v>52</v>
      </c>
      <c r="Y766" s="55" t="e">
        <f t="shared" si="23"/>
        <v>#N/A</v>
      </c>
    </row>
    <row r="767" spans="1:25" x14ac:dyDescent="0.3">
      <c r="A767" s="55" t="s">
        <v>826</v>
      </c>
      <c r="V767" s="56" t="s">
        <v>826</v>
      </c>
      <c r="W767" s="56" t="str">
        <f t="shared" si="22"/>
        <v>52</v>
      </c>
      <c r="Y767" s="55" t="e">
        <f t="shared" si="23"/>
        <v>#N/A</v>
      </c>
    </row>
    <row r="768" spans="1:25" x14ac:dyDescent="0.3">
      <c r="A768" s="55" t="s">
        <v>826</v>
      </c>
      <c r="V768" s="56" t="s">
        <v>826</v>
      </c>
      <c r="W768" s="56" t="str">
        <f t="shared" si="22"/>
        <v>52</v>
      </c>
      <c r="Y768" s="55" t="e">
        <f t="shared" si="23"/>
        <v>#N/A</v>
      </c>
    </row>
    <row r="769" spans="1:25" x14ac:dyDescent="0.3">
      <c r="A769" s="55" t="s">
        <v>826</v>
      </c>
      <c r="V769" s="56" t="s">
        <v>826</v>
      </c>
      <c r="W769" s="56" t="str">
        <f t="shared" si="22"/>
        <v>52</v>
      </c>
      <c r="Y769" s="55" t="e">
        <f t="shared" si="23"/>
        <v>#N/A</v>
      </c>
    </row>
    <row r="770" spans="1:25" x14ac:dyDescent="0.3">
      <c r="A770" s="55" t="s">
        <v>827</v>
      </c>
      <c r="V770" s="56" t="s">
        <v>827</v>
      </c>
      <c r="W770" s="56" t="str">
        <f t="shared" si="22"/>
        <v>52</v>
      </c>
      <c r="Y770" s="55" t="e">
        <f t="shared" si="23"/>
        <v>#N/A</v>
      </c>
    </row>
    <row r="771" spans="1:25" x14ac:dyDescent="0.3">
      <c r="A771" s="55" t="s">
        <v>828</v>
      </c>
      <c r="V771" s="56" t="s">
        <v>828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1:25" x14ac:dyDescent="0.3">
      <c r="A772" s="55" t="s">
        <v>829</v>
      </c>
      <c r="V772" s="56" t="s">
        <v>829</v>
      </c>
      <c r="W772" s="56" t="str">
        <f t="shared" si="24"/>
        <v>52</v>
      </c>
      <c r="Y772" s="55" t="e">
        <f t="shared" si="25"/>
        <v>#N/A</v>
      </c>
    </row>
    <row r="773" spans="1:25" x14ac:dyDescent="0.3">
      <c r="A773" s="55" t="s">
        <v>830</v>
      </c>
      <c r="V773" s="56" t="s">
        <v>830</v>
      </c>
      <c r="W773" s="56" t="str">
        <f t="shared" si="24"/>
        <v>53</v>
      </c>
      <c r="Y773" s="55" t="e">
        <f t="shared" si="25"/>
        <v>#N/A</v>
      </c>
    </row>
    <row r="774" spans="1:25" x14ac:dyDescent="0.3">
      <c r="A774" s="55" t="s">
        <v>830</v>
      </c>
      <c r="V774" s="56" t="s">
        <v>830</v>
      </c>
      <c r="W774" s="56" t="str">
        <f t="shared" si="24"/>
        <v>53</v>
      </c>
      <c r="Y774" s="55" t="e">
        <f t="shared" si="25"/>
        <v>#N/A</v>
      </c>
    </row>
    <row r="775" spans="1:25" x14ac:dyDescent="0.3">
      <c r="A775" s="55" t="s">
        <v>831</v>
      </c>
      <c r="V775" s="56" t="s">
        <v>831</v>
      </c>
      <c r="W775" s="56" t="str">
        <f t="shared" si="24"/>
        <v>53</v>
      </c>
      <c r="Y775" s="55" t="e">
        <f t="shared" si="25"/>
        <v>#N/A</v>
      </c>
    </row>
    <row r="776" spans="1:25" x14ac:dyDescent="0.3">
      <c r="A776" s="55" t="s">
        <v>832</v>
      </c>
      <c r="V776" s="56" t="s">
        <v>832</v>
      </c>
      <c r="W776" s="56" t="str">
        <f t="shared" si="24"/>
        <v>53</v>
      </c>
      <c r="Y776" s="55" t="e">
        <f t="shared" si="25"/>
        <v>#N/A</v>
      </c>
    </row>
    <row r="777" spans="1:25" x14ac:dyDescent="0.3">
      <c r="A777" s="55" t="s">
        <v>833</v>
      </c>
      <c r="V777" s="56" t="s">
        <v>833</v>
      </c>
      <c r="W777" s="56" t="str">
        <f t="shared" si="24"/>
        <v>53</v>
      </c>
      <c r="Y777" s="55" t="e">
        <f t="shared" si="25"/>
        <v>#N/A</v>
      </c>
    </row>
    <row r="778" spans="1:25" x14ac:dyDescent="0.3">
      <c r="A778" s="55" t="s">
        <v>834</v>
      </c>
      <c r="V778" s="56" t="s">
        <v>834</v>
      </c>
      <c r="W778" s="56" t="str">
        <f t="shared" si="24"/>
        <v>53</v>
      </c>
      <c r="Y778" s="55" t="e">
        <f t="shared" si="25"/>
        <v>#N/A</v>
      </c>
    </row>
    <row r="779" spans="1:25" x14ac:dyDescent="0.3">
      <c r="A779" s="55" t="s">
        <v>835</v>
      </c>
      <c r="V779" s="56" t="s">
        <v>835</v>
      </c>
      <c r="W779" s="56" t="str">
        <f t="shared" si="24"/>
        <v>53</v>
      </c>
      <c r="Y779" s="55" t="e">
        <f t="shared" si="25"/>
        <v>#N/A</v>
      </c>
    </row>
    <row r="780" spans="1:25" x14ac:dyDescent="0.3">
      <c r="A780" s="55" t="s">
        <v>836</v>
      </c>
      <c r="V780" s="56" t="s">
        <v>836</v>
      </c>
      <c r="W780" s="56" t="str">
        <f t="shared" si="24"/>
        <v>53</v>
      </c>
      <c r="Y780" s="55" t="e">
        <f t="shared" si="25"/>
        <v>#N/A</v>
      </c>
    </row>
    <row r="781" spans="1:25" x14ac:dyDescent="0.3">
      <c r="A781" s="55" t="s">
        <v>837</v>
      </c>
      <c r="V781" s="56" t="s">
        <v>837</v>
      </c>
      <c r="W781" s="56" t="str">
        <f t="shared" si="24"/>
        <v>53</v>
      </c>
      <c r="Y781" s="55" t="e">
        <f t="shared" si="25"/>
        <v>#N/A</v>
      </c>
    </row>
    <row r="782" spans="1:25" x14ac:dyDescent="0.3">
      <c r="A782" s="55" t="s">
        <v>838</v>
      </c>
      <c r="V782" s="56" t="s">
        <v>838</v>
      </c>
      <c r="W782" s="56" t="str">
        <f t="shared" si="24"/>
        <v>53</v>
      </c>
      <c r="Y782" s="55" t="e">
        <f t="shared" si="25"/>
        <v>#N/A</v>
      </c>
    </row>
    <row r="783" spans="1:25" x14ac:dyDescent="0.3">
      <c r="A783" s="55" t="s">
        <v>838</v>
      </c>
      <c r="V783" s="56" t="s">
        <v>838</v>
      </c>
      <c r="W783" s="56" t="str">
        <f t="shared" si="24"/>
        <v>53</v>
      </c>
      <c r="Y783" s="55" t="e">
        <f t="shared" si="25"/>
        <v>#N/A</v>
      </c>
    </row>
    <row r="784" spans="1:25" x14ac:dyDescent="0.3">
      <c r="A784" s="55" t="s">
        <v>838</v>
      </c>
      <c r="V784" s="56" t="s">
        <v>838</v>
      </c>
      <c r="W784" s="56" t="str">
        <f t="shared" si="24"/>
        <v>53</v>
      </c>
      <c r="Y784" s="55" t="e">
        <f t="shared" si="25"/>
        <v>#N/A</v>
      </c>
    </row>
    <row r="785" spans="1:25" x14ac:dyDescent="0.3">
      <c r="A785" s="55" t="s">
        <v>838</v>
      </c>
      <c r="V785" s="56" t="s">
        <v>838</v>
      </c>
      <c r="W785" s="56" t="str">
        <f t="shared" si="24"/>
        <v>53</v>
      </c>
      <c r="Y785" s="55" t="e">
        <f t="shared" si="25"/>
        <v>#N/A</v>
      </c>
    </row>
    <row r="786" spans="1:25" x14ac:dyDescent="0.3">
      <c r="A786" s="55" t="s">
        <v>838</v>
      </c>
      <c r="V786" s="56" t="s">
        <v>838</v>
      </c>
      <c r="W786" s="56" t="str">
        <f t="shared" si="24"/>
        <v>53</v>
      </c>
      <c r="Y786" s="55" t="e">
        <f t="shared" si="25"/>
        <v>#N/A</v>
      </c>
    </row>
    <row r="787" spans="1:25" x14ac:dyDescent="0.3">
      <c r="A787" s="55" t="s">
        <v>838</v>
      </c>
      <c r="V787" s="56" t="s">
        <v>838</v>
      </c>
      <c r="W787" s="56" t="str">
        <f t="shared" si="24"/>
        <v>53</v>
      </c>
      <c r="Y787" s="55" t="e">
        <f t="shared" si="25"/>
        <v>#N/A</v>
      </c>
    </row>
    <row r="788" spans="1:25" x14ac:dyDescent="0.3">
      <c r="A788" s="55" t="s">
        <v>839</v>
      </c>
      <c r="V788" s="56" t="s">
        <v>839</v>
      </c>
      <c r="W788" s="56" t="str">
        <f t="shared" si="24"/>
        <v>53</v>
      </c>
      <c r="Y788" s="55" t="e">
        <f t="shared" si="25"/>
        <v>#N/A</v>
      </c>
    </row>
    <row r="789" spans="1:25" x14ac:dyDescent="0.3">
      <c r="A789" s="55" t="s">
        <v>840</v>
      </c>
      <c r="V789" s="56" t="s">
        <v>840</v>
      </c>
      <c r="W789" s="56" t="str">
        <f t="shared" si="24"/>
        <v>53</v>
      </c>
      <c r="Y789" s="55" t="e">
        <f t="shared" si="25"/>
        <v>#N/A</v>
      </c>
    </row>
    <row r="790" spans="1:25" x14ac:dyDescent="0.3">
      <c r="A790" s="55" t="s">
        <v>841</v>
      </c>
      <c r="V790" s="56" t="s">
        <v>841</v>
      </c>
      <c r="W790" s="56" t="str">
        <f t="shared" si="24"/>
        <v>53</v>
      </c>
      <c r="Y790" s="55" t="e">
        <f t="shared" si="25"/>
        <v>#N/A</v>
      </c>
    </row>
    <row r="791" spans="1:25" x14ac:dyDescent="0.3">
      <c r="A791" s="55" t="s">
        <v>842</v>
      </c>
      <c r="V791" s="56" t="s">
        <v>842</v>
      </c>
      <c r="W791" s="56" t="str">
        <f t="shared" si="24"/>
        <v>53</v>
      </c>
      <c r="Y791" s="55" t="e">
        <f t="shared" si="25"/>
        <v>#N/A</v>
      </c>
    </row>
    <row r="792" spans="1:25" x14ac:dyDescent="0.3">
      <c r="A792" s="55" t="s">
        <v>842</v>
      </c>
      <c r="V792" s="56" t="s">
        <v>842</v>
      </c>
      <c r="W792" s="56" t="str">
        <f t="shared" si="24"/>
        <v>53</v>
      </c>
      <c r="Y792" s="55" t="e">
        <f t="shared" si="25"/>
        <v>#N/A</v>
      </c>
    </row>
    <row r="793" spans="1:25" x14ac:dyDescent="0.3">
      <c r="A793" s="55" t="s">
        <v>842</v>
      </c>
      <c r="V793" s="56" t="s">
        <v>842</v>
      </c>
      <c r="W793" s="56" t="str">
        <f t="shared" si="24"/>
        <v>53</v>
      </c>
      <c r="Y793" s="55" t="e">
        <f t="shared" si="25"/>
        <v>#N/A</v>
      </c>
    </row>
    <row r="794" spans="1:25" x14ac:dyDescent="0.3">
      <c r="A794" s="55" t="s">
        <v>843</v>
      </c>
      <c r="V794" s="56" t="s">
        <v>843</v>
      </c>
      <c r="W794" s="56" t="str">
        <f t="shared" si="24"/>
        <v>53</v>
      </c>
      <c r="Y794" s="55" t="e">
        <f t="shared" si="25"/>
        <v>#N/A</v>
      </c>
    </row>
    <row r="795" spans="1:25" x14ac:dyDescent="0.3">
      <c r="A795" s="55" t="s">
        <v>844</v>
      </c>
      <c r="V795" s="56" t="s">
        <v>844</v>
      </c>
      <c r="W795" s="56" t="str">
        <f t="shared" si="24"/>
        <v>53</v>
      </c>
      <c r="Y795" s="55" t="e">
        <f t="shared" si="25"/>
        <v>#N/A</v>
      </c>
    </row>
    <row r="796" spans="1:25" x14ac:dyDescent="0.3">
      <c r="A796" s="55" t="s">
        <v>844</v>
      </c>
      <c r="V796" s="56" t="s">
        <v>844</v>
      </c>
      <c r="W796" s="56" t="str">
        <f t="shared" si="24"/>
        <v>53</v>
      </c>
      <c r="Y796" s="55" t="e">
        <f t="shared" si="25"/>
        <v>#N/A</v>
      </c>
    </row>
    <row r="797" spans="1:25" x14ac:dyDescent="0.3">
      <c r="A797" s="55" t="s">
        <v>844</v>
      </c>
      <c r="V797" s="56" t="s">
        <v>844</v>
      </c>
      <c r="W797" s="56" t="str">
        <f t="shared" si="24"/>
        <v>53</v>
      </c>
      <c r="Y797" s="55" t="e">
        <f t="shared" si="25"/>
        <v>#N/A</v>
      </c>
    </row>
    <row r="798" spans="1:25" x14ac:dyDescent="0.3">
      <c r="A798" s="55" t="s">
        <v>844</v>
      </c>
      <c r="V798" s="56" t="s">
        <v>844</v>
      </c>
      <c r="W798" s="56" t="str">
        <f t="shared" si="24"/>
        <v>53</v>
      </c>
      <c r="Y798" s="55" t="e">
        <f t="shared" si="25"/>
        <v>#N/A</v>
      </c>
    </row>
    <row r="799" spans="1:25" x14ac:dyDescent="0.3">
      <c r="A799" s="55" t="s">
        <v>844</v>
      </c>
      <c r="V799" s="56" t="s">
        <v>844</v>
      </c>
      <c r="W799" s="56" t="str">
        <f t="shared" si="24"/>
        <v>53</v>
      </c>
      <c r="Y799" s="55" t="e">
        <f t="shared" si="25"/>
        <v>#N/A</v>
      </c>
    </row>
    <row r="800" spans="1:25" x14ac:dyDescent="0.3">
      <c r="A800" s="55" t="s">
        <v>844</v>
      </c>
      <c r="V800" s="56" t="s">
        <v>844</v>
      </c>
      <c r="W800" s="56" t="str">
        <f t="shared" si="24"/>
        <v>53</v>
      </c>
      <c r="Y800" s="55" t="e">
        <f t="shared" si="25"/>
        <v>#N/A</v>
      </c>
    </row>
    <row r="801" spans="1:25" x14ac:dyDescent="0.3">
      <c r="A801" s="55" t="s">
        <v>845</v>
      </c>
      <c r="V801" s="56" t="s">
        <v>845</v>
      </c>
      <c r="W801" s="56" t="str">
        <f t="shared" si="24"/>
        <v>53</v>
      </c>
      <c r="Y801" s="55" t="e">
        <f t="shared" si="25"/>
        <v>#N/A</v>
      </c>
    </row>
    <row r="802" spans="1:25" x14ac:dyDescent="0.3">
      <c r="A802" s="55" t="s">
        <v>845</v>
      </c>
      <c r="V802" s="56" t="s">
        <v>845</v>
      </c>
      <c r="W802" s="56" t="str">
        <f t="shared" si="24"/>
        <v>53</v>
      </c>
      <c r="Y802" s="55" t="e">
        <f t="shared" si="25"/>
        <v>#N/A</v>
      </c>
    </row>
    <row r="803" spans="1:25" x14ac:dyDescent="0.3">
      <c r="A803" s="55" t="s">
        <v>845</v>
      </c>
      <c r="V803" s="56" t="s">
        <v>845</v>
      </c>
      <c r="W803" s="56" t="str">
        <f t="shared" si="24"/>
        <v>53</v>
      </c>
      <c r="Y803" s="55" t="e">
        <f t="shared" si="25"/>
        <v>#N/A</v>
      </c>
    </row>
    <row r="804" spans="1:25" x14ac:dyDescent="0.3">
      <c r="A804" s="55" t="s">
        <v>845</v>
      </c>
      <c r="V804" s="56" t="s">
        <v>845</v>
      </c>
      <c r="W804" s="56" t="str">
        <f t="shared" si="24"/>
        <v>53</v>
      </c>
      <c r="Y804" s="55" t="e">
        <f t="shared" si="25"/>
        <v>#N/A</v>
      </c>
    </row>
    <row r="805" spans="1:25" x14ac:dyDescent="0.3">
      <c r="A805" s="55" t="s">
        <v>845</v>
      </c>
      <c r="V805" s="56" t="s">
        <v>845</v>
      </c>
      <c r="W805" s="56" t="str">
        <f t="shared" si="24"/>
        <v>53</v>
      </c>
      <c r="Y805" s="55" t="e">
        <f t="shared" si="25"/>
        <v>#N/A</v>
      </c>
    </row>
    <row r="806" spans="1:25" x14ac:dyDescent="0.3">
      <c r="A806" s="55" t="s">
        <v>845</v>
      </c>
      <c r="V806" s="56" t="s">
        <v>845</v>
      </c>
      <c r="W806" s="56" t="str">
        <f t="shared" si="24"/>
        <v>53</v>
      </c>
      <c r="Y806" s="55" t="e">
        <f t="shared" si="25"/>
        <v>#N/A</v>
      </c>
    </row>
    <row r="807" spans="1:25" x14ac:dyDescent="0.3">
      <c r="A807" s="55" t="s">
        <v>846</v>
      </c>
      <c r="V807" s="56" t="s">
        <v>846</v>
      </c>
      <c r="W807" s="56" t="str">
        <f t="shared" si="24"/>
        <v>53</v>
      </c>
      <c r="Y807" s="55" t="e">
        <f t="shared" si="25"/>
        <v>#N/A</v>
      </c>
    </row>
    <row r="808" spans="1:25" x14ac:dyDescent="0.3">
      <c r="A808" s="55" t="s">
        <v>846</v>
      </c>
      <c r="V808" s="56" t="s">
        <v>846</v>
      </c>
      <c r="W808" s="56" t="str">
        <f t="shared" si="24"/>
        <v>53</v>
      </c>
      <c r="Y808" s="55" t="e">
        <f t="shared" si="25"/>
        <v>#N/A</v>
      </c>
    </row>
    <row r="809" spans="1:25" x14ac:dyDescent="0.3">
      <c r="A809" s="55" t="s">
        <v>846</v>
      </c>
      <c r="V809" s="56" t="s">
        <v>846</v>
      </c>
      <c r="W809" s="56" t="str">
        <f t="shared" si="24"/>
        <v>53</v>
      </c>
      <c r="Y809" s="55" t="e">
        <f t="shared" si="25"/>
        <v>#N/A</v>
      </c>
    </row>
    <row r="810" spans="1:25" x14ac:dyDescent="0.3">
      <c r="A810" s="55" t="s">
        <v>846</v>
      </c>
      <c r="V810" s="56" t="s">
        <v>846</v>
      </c>
      <c r="W810" s="56" t="str">
        <f t="shared" si="24"/>
        <v>53</v>
      </c>
      <c r="Y810" s="55" t="e">
        <f t="shared" si="25"/>
        <v>#N/A</v>
      </c>
    </row>
    <row r="811" spans="1:25" x14ac:dyDescent="0.3">
      <c r="A811" s="55" t="s">
        <v>846</v>
      </c>
      <c r="V811" s="56" t="s">
        <v>846</v>
      </c>
      <c r="W811" s="56" t="str">
        <f t="shared" si="24"/>
        <v>53</v>
      </c>
      <c r="Y811" s="55" t="e">
        <f t="shared" si="25"/>
        <v>#N/A</v>
      </c>
    </row>
    <row r="812" spans="1:25" x14ac:dyDescent="0.3">
      <c r="A812" s="55" t="s">
        <v>846</v>
      </c>
      <c r="V812" s="56" t="s">
        <v>846</v>
      </c>
      <c r="W812" s="56" t="str">
        <f t="shared" si="24"/>
        <v>53</v>
      </c>
      <c r="Y812" s="55" t="e">
        <f t="shared" si="25"/>
        <v>#N/A</v>
      </c>
    </row>
    <row r="813" spans="1:25" x14ac:dyDescent="0.3">
      <c r="A813" s="55" t="s">
        <v>847</v>
      </c>
      <c r="V813" s="56" t="s">
        <v>847</v>
      </c>
      <c r="W813" s="56" t="str">
        <f t="shared" si="24"/>
        <v>53</v>
      </c>
      <c r="Y813" s="55" t="e">
        <f t="shared" si="25"/>
        <v>#N/A</v>
      </c>
    </row>
    <row r="814" spans="1:25" x14ac:dyDescent="0.3">
      <c r="A814" s="55" t="s">
        <v>848</v>
      </c>
      <c r="V814" s="56" t="s">
        <v>848</v>
      </c>
      <c r="W814" s="56" t="str">
        <f t="shared" si="24"/>
        <v>53</v>
      </c>
      <c r="Y814" s="55" t="e">
        <f t="shared" si="25"/>
        <v>#N/A</v>
      </c>
    </row>
    <row r="815" spans="1:25" x14ac:dyDescent="0.3">
      <c r="A815" s="55" t="s">
        <v>849</v>
      </c>
      <c r="V815" s="56" t="s">
        <v>849</v>
      </c>
      <c r="W815" s="56" t="str">
        <f t="shared" si="24"/>
        <v>53</v>
      </c>
      <c r="Y815" s="55" t="e">
        <f t="shared" si="25"/>
        <v>#N/A</v>
      </c>
    </row>
    <row r="816" spans="1:25" x14ac:dyDescent="0.3">
      <c r="A816" s="55" t="s">
        <v>850</v>
      </c>
      <c r="V816" s="56" t="s">
        <v>850</v>
      </c>
      <c r="W816" s="56" t="str">
        <f t="shared" si="24"/>
        <v>53</v>
      </c>
      <c r="Y816" s="55" t="e">
        <f t="shared" si="25"/>
        <v>#N/A</v>
      </c>
    </row>
    <row r="817" spans="1:25" x14ac:dyDescent="0.3">
      <c r="A817" s="55" t="s">
        <v>850</v>
      </c>
      <c r="V817" s="56" t="s">
        <v>850</v>
      </c>
      <c r="W817" s="56" t="str">
        <f t="shared" si="24"/>
        <v>53</v>
      </c>
      <c r="Y817" s="55" t="e">
        <f t="shared" si="25"/>
        <v>#N/A</v>
      </c>
    </row>
    <row r="818" spans="1:25" x14ac:dyDescent="0.3">
      <c r="A818" s="55" t="s">
        <v>850</v>
      </c>
      <c r="V818" s="56" t="s">
        <v>850</v>
      </c>
      <c r="W818" s="56" t="str">
        <f t="shared" si="24"/>
        <v>53</v>
      </c>
      <c r="Y818" s="55" t="e">
        <f t="shared" si="25"/>
        <v>#N/A</v>
      </c>
    </row>
    <row r="819" spans="1:25" x14ac:dyDescent="0.3">
      <c r="A819" s="55" t="s">
        <v>850</v>
      </c>
      <c r="V819" s="56" t="s">
        <v>850</v>
      </c>
      <c r="W819" s="56" t="str">
        <f t="shared" si="24"/>
        <v>53</v>
      </c>
      <c r="Y819" s="55" t="e">
        <f t="shared" si="25"/>
        <v>#N/A</v>
      </c>
    </row>
    <row r="820" spans="1:25" x14ac:dyDescent="0.3">
      <c r="A820" s="55" t="s">
        <v>850</v>
      </c>
      <c r="V820" s="56" t="s">
        <v>850</v>
      </c>
      <c r="W820" s="56" t="str">
        <f t="shared" si="24"/>
        <v>53</v>
      </c>
      <c r="Y820" s="55" t="e">
        <f t="shared" si="25"/>
        <v>#N/A</v>
      </c>
    </row>
    <row r="821" spans="1:25" x14ac:dyDescent="0.3">
      <c r="A821" s="55" t="s">
        <v>851</v>
      </c>
      <c r="V821" s="56" t="s">
        <v>851</v>
      </c>
      <c r="W821" s="56" t="str">
        <f t="shared" si="24"/>
        <v>53</v>
      </c>
      <c r="Y821" s="55" t="e">
        <f t="shared" si="25"/>
        <v>#N/A</v>
      </c>
    </row>
    <row r="822" spans="1:25" x14ac:dyDescent="0.3">
      <c r="A822" s="55" t="s">
        <v>852</v>
      </c>
      <c r="V822" s="56" t="s">
        <v>852</v>
      </c>
      <c r="W822" s="56" t="str">
        <f t="shared" si="24"/>
        <v>53</v>
      </c>
      <c r="Y822" s="55" t="e">
        <f t="shared" si="25"/>
        <v>#N/A</v>
      </c>
    </row>
    <row r="823" spans="1:25" x14ac:dyDescent="0.3">
      <c r="A823" s="55" t="s">
        <v>853</v>
      </c>
      <c r="V823" s="56" t="s">
        <v>853</v>
      </c>
      <c r="W823" s="56" t="str">
        <f t="shared" si="24"/>
        <v>54</v>
      </c>
      <c r="Y823" s="55" t="e">
        <f t="shared" si="25"/>
        <v>#N/A</v>
      </c>
    </row>
    <row r="824" spans="1:25" x14ac:dyDescent="0.3">
      <c r="A824" s="55" t="s">
        <v>854</v>
      </c>
      <c r="V824" s="56" t="s">
        <v>854</v>
      </c>
      <c r="W824" s="56" t="str">
        <f t="shared" si="24"/>
        <v>54</v>
      </c>
      <c r="Y824" s="55" t="e">
        <f t="shared" si="25"/>
        <v>#N/A</v>
      </c>
    </row>
    <row r="825" spans="1:25" x14ac:dyDescent="0.3">
      <c r="A825" s="55" t="s">
        <v>855</v>
      </c>
      <c r="V825" s="56" t="s">
        <v>855</v>
      </c>
      <c r="W825" s="56" t="str">
        <f t="shared" si="24"/>
        <v>54</v>
      </c>
      <c r="Y825" s="55" t="e">
        <f t="shared" si="25"/>
        <v>#N/A</v>
      </c>
    </row>
    <row r="826" spans="1:25" x14ac:dyDescent="0.3">
      <c r="A826" s="55" t="s">
        <v>856</v>
      </c>
      <c r="V826" s="56" t="s">
        <v>856</v>
      </c>
      <c r="W826" s="56" t="str">
        <f t="shared" si="24"/>
        <v>54</v>
      </c>
      <c r="Y826" s="55" t="e">
        <f t="shared" si="25"/>
        <v>#N/A</v>
      </c>
    </row>
    <row r="827" spans="1:25" x14ac:dyDescent="0.3">
      <c r="A827" s="55" t="s">
        <v>856</v>
      </c>
      <c r="V827" s="56" t="s">
        <v>856</v>
      </c>
      <c r="W827" s="56" t="str">
        <f t="shared" si="24"/>
        <v>54</v>
      </c>
      <c r="Y827" s="55" t="e">
        <f t="shared" si="25"/>
        <v>#N/A</v>
      </c>
    </row>
    <row r="828" spans="1:25" x14ac:dyDescent="0.3">
      <c r="A828" s="55" t="s">
        <v>857</v>
      </c>
      <c r="V828" s="56" t="s">
        <v>857</v>
      </c>
      <c r="W828" s="56" t="str">
        <f t="shared" si="24"/>
        <v>55</v>
      </c>
      <c r="Y828" s="55" t="e">
        <f t="shared" si="25"/>
        <v>#N/A</v>
      </c>
    </row>
    <row r="829" spans="1:25" x14ac:dyDescent="0.3">
      <c r="A829" s="55" t="s">
        <v>858</v>
      </c>
      <c r="V829" s="56" t="s">
        <v>858</v>
      </c>
      <c r="W829" s="56" t="str">
        <f t="shared" si="24"/>
        <v>57</v>
      </c>
      <c r="Y829" s="55" t="e">
        <f t="shared" si="25"/>
        <v>#N/A</v>
      </c>
    </row>
    <row r="830" spans="1:25" x14ac:dyDescent="0.3">
      <c r="A830" s="55" t="s">
        <v>858</v>
      </c>
      <c r="V830" s="56" t="s">
        <v>858</v>
      </c>
      <c r="W830" s="56" t="str">
        <f t="shared" si="24"/>
        <v>57</v>
      </c>
      <c r="Y830" s="55" t="e">
        <f t="shared" si="25"/>
        <v>#N/A</v>
      </c>
    </row>
    <row r="831" spans="1:25" x14ac:dyDescent="0.3">
      <c r="A831" s="55" t="s">
        <v>858</v>
      </c>
      <c r="V831" s="56" t="s">
        <v>858</v>
      </c>
      <c r="W831" s="56" t="str">
        <f t="shared" si="24"/>
        <v>57</v>
      </c>
      <c r="Y831" s="55" t="e">
        <f t="shared" si="25"/>
        <v>#N/A</v>
      </c>
    </row>
    <row r="832" spans="1:25" x14ac:dyDescent="0.3">
      <c r="A832" s="55" t="s">
        <v>859</v>
      </c>
      <c r="V832" s="56" t="s">
        <v>859</v>
      </c>
      <c r="W832" s="56" t="str">
        <f t="shared" si="24"/>
        <v>57</v>
      </c>
      <c r="Y832" s="55" t="e">
        <f t="shared" si="25"/>
        <v>#N/A</v>
      </c>
    </row>
    <row r="833" spans="1:25" x14ac:dyDescent="0.3">
      <c r="A833" s="55" t="s">
        <v>860</v>
      </c>
      <c r="V833" s="56" t="s">
        <v>860</v>
      </c>
      <c r="W833" s="56" t="str">
        <f t="shared" si="24"/>
        <v>57</v>
      </c>
      <c r="Y833" s="55" t="e">
        <f t="shared" si="25"/>
        <v>#N/A</v>
      </c>
    </row>
    <row r="834" spans="1:25" x14ac:dyDescent="0.3">
      <c r="A834" s="55" t="s">
        <v>861</v>
      </c>
      <c r="V834" s="56" t="s">
        <v>861</v>
      </c>
      <c r="W834" s="56" t="str">
        <f t="shared" si="24"/>
        <v>57</v>
      </c>
      <c r="Y834" s="55" t="e">
        <f t="shared" si="25"/>
        <v>#N/A</v>
      </c>
    </row>
    <row r="835" spans="1:25" x14ac:dyDescent="0.3">
      <c r="A835" s="55" t="s">
        <v>862</v>
      </c>
      <c r="V835" s="56" t="s">
        <v>862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1:25" x14ac:dyDescent="0.3">
      <c r="A836" s="55" t="s">
        <v>863</v>
      </c>
      <c r="V836" s="56" t="s">
        <v>863</v>
      </c>
      <c r="W836" s="56" t="str">
        <f t="shared" si="26"/>
        <v>57</v>
      </c>
      <c r="Y836" s="55" t="e">
        <f t="shared" si="27"/>
        <v>#N/A</v>
      </c>
    </row>
    <row r="837" spans="1:25" x14ac:dyDescent="0.3">
      <c r="A837" s="55" t="s">
        <v>863</v>
      </c>
      <c r="V837" s="56" t="s">
        <v>863</v>
      </c>
      <c r="W837" s="56" t="str">
        <f t="shared" si="26"/>
        <v>57</v>
      </c>
      <c r="Y837" s="55" t="e">
        <f t="shared" si="27"/>
        <v>#N/A</v>
      </c>
    </row>
    <row r="838" spans="1:25" x14ac:dyDescent="0.3">
      <c r="A838" s="55" t="s">
        <v>863</v>
      </c>
      <c r="V838" s="56" t="s">
        <v>863</v>
      </c>
      <c r="W838" s="56" t="str">
        <f t="shared" si="26"/>
        <v>57</v>
      </c>
      <c r="Y838" s="55" t="e">
        <f t="shared" si="27"/>
        <v>#N/A</v>
      </c>
    </row>
    <row r="839" spans="1:25" x14ac:dyDescent="0.3">
      <c r="A839" s="55" t="s">
        <v>863</v>
      </c>
      <c r="V839" s="56" t="s">
        <v>863</v>
      </c>
      <c r="W839" s="56" t="str">
        <f t="shared" si="26"/>
        <v>57</v>
      </c>
      <c r="Y839" s="55" t="e">
        <f t="shared" si="27"/>
        <v>#N/A</v>
      </c>
    </row>
    <row r="840" spans="1:25" x14ac:dyDescent="0.3">
      <c r="A840" s="55" t="s">
        <v>864</v>
      </c>
      <c r="V840" s="56" t="s">
        <v>864</v>
      </c>
      <c r="W840" s="56" t="str">
        <f t="shared" si="26"/>
        <v>59</v>
      </c>
      <c r="Y840" s="55" t="e">
        <f t="shared" si="27"/>
        <v>#N/A</v>
      </c>
    </row>
    <row r="841" spans="1:25" x14ac:dyDescent="0.3">
      <c r="A841" s="55" t="s">
        <v>864</v>
      </c>
      <c r="V841" s="56" t="s">
        <v>864</v>
      </c>
      <c r="W841" s="56" t="str">
        <f t="shared" si="26"/>
        <v>59</v>
      </c>
      <c r="Y841" s="55" t="e">
        <f t="shared" si="27"/>
        <v>#N/A</v>
      </c>
    </row>
    <row r="842" spans="1:25" x14ac:dyDescent="0.3">
      <c r="A842" s="55" t="s">
        <v>864</v>
      </c>
      <c r="V842" s="56" t="s">
        <v>864</v>
      </c>
      <c r="W842" s="56" t="str">
        <f t="shared" si="26"/>
        <v>59</v>
      </c>
      <c r="Y842" s="55" t="e">
        <f t="shared" si="27"/>
        <v>#N/A</v>
      </c>
    </row>
    <row r="843" spans="1:25" x14ac:dyDescent="0.3">
      <c r="A843" s="55" t="s">
        <v>864</v>
      </c>
      <c r="V843" s="56" t="s">
        <v>864</v>
      </c>
      <c r="W843" s="56" t="str">
        <f t="shared" si="26"/>
        <v>59</v>
      </c>
      <c r="Y843" s="55" t="e">
        <f t="shared" si="27"/>
        <v>#N/A</v>
      </c>
    </row>
    <row r="844" spans="1:25" x14ac:dyDescent="0.3">
      <c r="A844" s="55" t="s">
        <v>865</v>
      </c>
      <c r="V844" s="56" t="s">
        <v>865</v>
      </c>
      <c r="W844" s="56" t="str">
        <f t="shared" si="26"/>
        <v>59</v>
      </c>
      <c r="Y844" s="55" t="e">
        <f t="shared" si="27"/>
        <v>#N/A</v>
      </c>
    </row>
    <row r="845" spans="1:25" x14ac:dyDescent="0.3">
      <c r="A845" s="55" t="s">
        <v>866</v>
      </c>
      <c r="V845" s="56" t="s">
        <v>866</v>
      </c>
      <c r="W845" s="56" t="str">
        <f t="shared" si="26"/>
        <v>59</v>
      </c>
      <c r="Y845" s="55" t="e">
        <f t="shared" si="27"/>
        <v>#N/A</v>
      </c>
    </row>
    <row r="846" spans="1:25" x14ac:dyDescent="0.3">
      <c r="A846" s="55" t="s">
        <v>866</v>
      </c>
      <c r="V846" s="56" t="s">
        <v>866</v>
      </c>
      <c r="W846" s="56" t="str">
        <f t="shared" si="26"/>
        <v>59</v>
      </c>
      <c r="Y846" s="55" t="e">
        <f t="shared" si="27"/>
        <v>#N/A</v>
      </c>
    </row>
    <row r="847" spans="1:25" x14ac:dyDescent="0.3">
      <c r="A847" s="55" t="s">
        <v>867</v>
      </c>
      <c r="V847" s="56" t="s">
        <v>867</v>
      </c>
      <c r="W847" s="56" t="str">
        <f t="shared" si="26"/>
        <v>59</v>
      </c>
      <c r="Y847" s="55" t="e">
        <f t="shared" si="27"/>
        <v>#N/A</v>
      </c>
    </row>
    <row r="848" spans="1:25" x14ac:dyDescent="0.3">
      <c r="A848" s="55" t="s">
        <v>867</v>
      </c>
      <c r="V848" s="56" t="s">
        <v>867</v>
      </c>
      <c r="W848" s="56" t="str">
        <f t="shared" si="26"/>
        <v>59</v>
      </c>
      <c r="Y848" s="55" t="e">
        <f t="shared" si="27"/>
        <v>#N/A</v>
      </c>
    </row>
    <row r="849" spans="1:25" x14ac:dyDescent="0.3">
      <c r="A849" s="55" t="s">
        <v>867</v>
      </c>
      <c r="V849" s="56" t="s">
        <v>867</v>
      </c>
      <c r="W849" s="56" t="str">
        <f t="shared" si="26"/>
        <v>59</v>
      </c>
      <c r="Y849" s="55" t="e">
        <f t="shared" si="27"/>
        <v>#N/A</v>
      </c>
    </row>
    <row r="850" spans="1:25" x14ac:dyDescent="0.3">
      <c r="A850" s="55" t="s">
        <v>867</v>
      </c>
      <c r="V850" s="56" t="s">
        <v>867</v>
      </c>
      <c r="W850" s="56" t="str">
        <f t="shared" si="26"/>
        <v>59</v>
      </c>
      <c r="Y850" s="55" t="e">
        <f t="shared" si="27"/>
        <v>#N/A</v>
      </c>
    </row>
    <row r="851" spans="1:25" x14ac:dyDescent="0.3">
      <c r="A851" s="55" t="s">
        <v>867</v>
      </c>
      <c r="V851" s="56" t="s">
        <v>867</v>
      </c>
      <c r="W851" s="56" t="str">
        <f t="shared" si="26"/>
        <v>59</v>
      </c>
      <c r="Y851" s="55" t="e">
        <f t="shared" si="27"/>
        <v>#N/A</v>
      </c>
    </row>
    <row r="852" spans="1:25" x14ac:dyDescent="0.3">
      <c r="A852" s="55" t="s">
        <v>867</v>
      </c>
      <c r="V852" s="56" t="s">
        <v>867</v>
      </c>
      <c r="W852" s="56" t="str">
        <f t="shared" si="26"/>
        <v>59</v>
      </c>
      <c r="Y852" s="55" t="e">
        <f t="shared" si="27"/>
        <v>#N/A</v>
      </c>
    </row>
    <row r="853" spans="1:25" x14ac:dyDescent="0.3">
      <c r="A853" s="55" t="s">
        <v>867</v>
      </c>
      <c r="V853" s="56" t="s">
        <v>867</v>
      </c>
      <c r="W853" s="56" t="str">
        <f t="shared" si="26"/>
        <v>59</v>
      </c>
      <c r="Y853" s="55" t="e">
        <f t="shared" si="27"/>
        <v>#N/A</v>
      </c>
    </row>
    <row r="854" spans="1:25" x14ac:dyDescent="0.3">
      <c r="A854" s="55" t="s">
        <v>867</v>
      </c>
      <c r="V854" s="56" t="s">
        <v>867</v>
      </c>
      <c r="W854" s="56" t="str">
        <f t="shared" si="26"/>
        <v>59</v>
      </c>
      <c r="Y854" s="55" t="e">
        <f t="shared" si="27"/>
        <v>#N/A</v>
      </c>
    </row>
    <row r="855" spans="1:25" x14ac:dyDescent="0.3">
      <c r="A855" s="55" t="s">
        <v>867</v>
      </c>
      <c r="V855" s="56" t="s">
        <v>867</v>
      </c>
      <c r="W855" s="56" t="str">
        <f t="shared" si="26"/>
        <v>59</v>
      </c>
      <c r="Y855" s="55" t="e">
        <f t="shared" si="27"/>
        <v>#N/A</v>
      </c>
    </row>
    <row r="856" spans="1:25" x14ac:dyDescent="0.3">
      <c r="A856" s="55" t="s">
        <v>868</v>
      </c>
      <c r="V856" s="56" t="s">
        <v>868</v>
      </c>
      <c r="W856" s="56" t="str">
        <f t="shared" si="26"/>
        <v>59</v>
      </c>
      <c r="Y856" s="55" t="e">
        <f t="shared" si="27"/>
        <v>#N/A</v>
      </c>
    </row>
    <row r="857" spans="1:25" x14ac:dyDescent="0.3">
      <c r="A857" s="55" t="s">
        <v>869</v>
      </c>
      <c r="V857" s="56" t="s">
        <v>869</v>
      </c>
      <c r="W857" s="56" t="str">
        <f t="shared" si="26"/>
        <v>59</v>
      </c>
      <c r="Y857" s="55" t="e">
        <f t="shared" si="27"/>
        <v>#N/A</v>
      </c>
    </row>
    <row r="858" spans="1:25" x14ac:dyDescent="0.3">
      <c r="A858" s="55" t="s">
        <v>869</v>
      </c>
      <c r="V858" s="56" t="s">
        <v>869</v>
      </c>
      <c r="W858" s="56" t="str">
        <f t="shared" si="26"/>
        <v>59</v>
      </c>
      <c r="Y858" s="55" t="e">
        <f t="shared" si="27"/>
        <v>#N/A</v>
      </c>
    </row>
    <row r="859" spans="1:25" x14ac:dyDescent="0.3">
      <c r="A859" s="55" t="s">
        <v>870</v>
      </c>
      <c r="V859" s="56" t="s">
        <v>870</v>
      </c>
      <c r="W859" s="56" t="str">
        <f t="shared" si="26"/>
        <v>59</v>
      </c>
      <c r="Y859" s="55" t="e">
        <f t="shared" si="27"/>
        <v>#N/A</v>
      </c>
    </row>
    <row r="860" spans="1:25" x14ac:dyDescent="0.3">
      <c r="A860" s="55" t="s">
        <v>871</v>
      </c>
      <c r="V860" s="56" t="s">
        <v>871</v>
      </c>
      <c r="W860" s="56" t="str">
        <f t="shared" si="26"/>
        <v>59</v>
      </c>
      <c r="Y860" s="55" t="e">
        <f t="shared" si="27"/>
        <v>#N/A</v>
      </c>
    </row>
    <row r="861" spans="1:25" x14ac:dyDescent="0.3">
      <c r="A861" s="55" t="s">
        <v>871</v>
      </c>
      <c r="V861" s="56" t="s">
        <v>871</v>
      </c>
      <c r="W861" s="56" t="str">
        <f t="shared" si="26"/>
        <v>59</v>
      </c>
      <c r="Y861" s="55" t="e">
        <f t="shared" si="27"/>
        <v>#N/A</v>
      </c>
    </row>
    <row r="862" spans="1:25" x14ac:dyDescent="0.3">
      <c r="A862" s="55" t="s">
        <v>871</v>
      </c>
      <c r="V862" s="56" t="s">
        <v>871</v>
      </c>
      <c r="W862" s="56" t="str">
        <f t="shared" si="26"/>
        <v>59</v>
      </c>
      <c r="Y862" s="55" t="e">
        <f t="shared" si="27"/>
        <v>#N/A</v>
      </c>
    </row>
    <row r="863" spans="1:25" x14ac:dyDescent="0.3">
      <c r="A863" s="55" t="s">
        <v>871</v>
      </c>
      <c r="V863" s="56" t="s">
        <v>871</v>
      </c>
      <c r="W863" s="56" t="str">
        <f t="shared" si="26"/>
        <v>59</v>
      </c>
      <c r="Y863" s="55" t="e">
        <f t="shared" si="27"/>
        <v>#N/A</v>
      </c>
    </row>
    <row r="864" spans="1:25" x14ac:dyDescent="0.3">
      <c r="A864" s="55" t="s">
        <v>871</v>
      </c>
      <c r="V864" s="56" t="s">
        <v>871</v>
      </c>
      <c r="W864" s="56" t="str">
        <f t="shared" si="26"/>
        <v>59</v>
      </c>
      <c r="Y864" s="55" t="e">
        <f t="shared" si="27"/>
        <v>#N/A</v>
      </c>
    </row>
    <row r="865" spans="1:25" x14ac:dyDescent="0.3">
      <c r="A865" s="55" t="s">
        <v>871</v>
      </c>
      <c r="V865" s="56" t="s">
        <v>871</v>
      </c>
      <c r="W865" s="56" t="str">
        <f t="shared" si="26"/>
        <v>59</v>
      </c>
      <c r="Y865" s="55" t="e">
        <f t="shared" si="27"/>
        <v>#N/A</v>
      </c>
    </row>
    <row r="866" spans="1:25" x14ac:dyDescent="0.3">
      <c r="A866" s="55" t="s">
        <v>871</v>
      </c>
      <c r="V866" s="56" t="s">
        <v>871</v>
      </c>
      <c r="W866" s="56" t="str">
        <f t="shared" si="26"/>
        <v>59</v>
      </c>
      <c r="Y866" s="55" t="e">
        <f t="shared" si="27"/>
        <v>#N/A</v>
      </c>
    </row>
    <row r="867" spans="1:25" x14ac:dyDescent="0.3">
      <c r="A867" s="55" t="s">
        <v>871</v>
      </c>
      <c r="V867" s="56" t="s">
        <v>871</v>
      </c>
      <c r="W867" s="56" t="str">
        <f t="shared" si="26"/>
        <v>59</v>
      </c>
      <c r="Y867" s="55" t="e">
        <f t="shared" si="27"/>
        <v>#N/A</v>
      </c>
    </row>
    <row r="868" spans="1:25" x14ac:dyDescent="0.3">
      <c r="A868" s="55" t="s">
        <v>872</v>
      </c>
      <c r="V868" s="56" t="s">
        <v>872</v>
      </c>
      <c r="W868" s="56" t="str">
        <f t="shared" si="26"/>
        <v>59</v>
      </c>
      <c r="Y868" s="55" t="e">
        <f t="shared" si="27"/>
        <v>#N/A</v>
      </c>
    </row>
    <row r="869" spans="1:25" x14ac:dyDescent="0.3">
      <c r="A869" s="55" t="s">
        <v>873</v>
      </c>
      <c r="V869" s="56" t="s">
        <v>873</v>
      </c>
      <c r="W869" s="56" t="str">
        <f t="shared" si="26"/>
        <v>59</v>
      </c>
      <c r="Y869" s="55" t="e">
        <f t="shared" si="27"/>
        <v>#N/A</v>
      </c>
    </row>
    <row r="870" spans="1:25" x14ac:dyDescent="0.3">
      <c r="A870" s="55" t="s">
        <v>873</v>
      </c>
      <c r="V870" s="56" t="s">
        <v>873</v>
      </c>
      <c r="W870" s="56" t="str">
        <f t="shared" si="26"/>
        <v>59</v>
      </c>
      <c r="Y870" s="55" t="e">
        <f t="shared" si="27"/>
        <v>#N/A</v>
      </c>
    </row>
    <row r="871" spans="1:25" x14ac:dyDescent="0.3">
      <c r="A871" s="55" t="s">
        <v>873</v>
      </c>
      <c r="V871" s="56" t="s">
        <v>873</v>
      </c>
      <c r="W871" s="56" t="str">
        <f t="shared" si="26"/>
        <v>59</v>
      </c>
      <c r="Y871" s="55" t="e">
        <f t="shared" si="27"/>
        <v>#N/A</v>
      </c>
    </row>
    <row r="872" spans="1:25" x14ac:dyDescent="0.3">
      <c r="A872" s="55" t="s">
        <v>873</v>
      </c>
      <c r="V872" s="56" t="s">
        <v>873</v>
      </c>
      <c r="W872" s="56" t="str">
        <f t="shared" si="26"/>
        <v>59</v>
      </c>
      <c r="Y872" s="55" t="e">
        <f t="shared" si="27"/>
        <v>#N/A</v>
      </c>
    </row>
    <row r="873" spans="1:25" x14ac:dyDescent="0.3">
      <c r="A873" s="55" t="s">
        <v>873</v>
      </c>
      <c r="V873" s="56" t="s">
        <v>873</v>
      </c>
      <c r="W873" s="56" t="str">
        <f t="shared" si="26"/>
        <v>59</v>
      </c>
      <c r="Y873" s="55" t="e">
        <f t="shared" si="27"/>
        <v>#N/A</v>
      </c>
    </row>
    <row r="874" spans="1:25" x14ac:dyDescent="0.3">
      <c r="A874" s="55" t="s">
        <v>873</v>
      </c>
      <c r="V874" s="56" t="s">
        <v>873</v>
      </c>
      <c r="W874" s="56" t="str">
        <f t="shared" si="26"/>
        <v>59</v>
      </c>
      <c r="Y874" s="55" t="e">
        <f t="shared" si="27"/>
        <v>#N/A</v>
      </c>
    </row>
    <row r="875" spans="1:25" x14ac:dyDescent="0.3">
      <c r="A875" s="55" t="s">
        <v>873</v>
      </c>
      <c r="V875" s="56" t="s">
        <v>873</v>
      </c>
      <c r="W875" s="56" t="str">
        <f t="shared" si="26"/>
        <v>59</v>
      </c>
      <c r="Y875" s="55" t="e">
        <f t="shared" si="27"/>
        <v>#N/A</v>
      </c>
    </row>
    <row r="876" spans="1:25" x14ac:dyDescent="0.3">
      <c r="A876" s="55" t="s">
        <v>873</v>
      </c>
      <c r="V876" s="56" t="s">
        <v>873</v>
      </c>
      <c r="W876" s="56" t="str">
        <f t="shared" si="26"/>
        <v>59</v>
      </c>
      <c r="Y876" s="55" t="e">
        <f t="shared" si="27"/>
        <v>#N/A</v>
      </c>
    </row>
    <row r="877" spans="1:25" x14ac:dyDescent="0.3">
      <c r="A877" s="55" t="s">
        <v>873</v>
      </c>
      <c r="V877" s="56" t="s">
        <v>873</v>
      </c>
      <c r="W877" s="56" t="str">
        <f t="shared" si="26"/>
        <v>59</v>
      </c>
      <c r="Y877" s="55" t="e">
        <f t="shared" si="27"/>
        <v>#N/A</v>
      </c>
    </row>
    <row r="878" spans="1:25" x14ac:dyDescent="0.3">
      <c r="A878" s="55" t="s">
        <v>874</v>
      </c>
      <c r="V878" s="56" t="s">
        <v>874</v>
      </c>
      <c r="W878" s="56" t="str">
        <f t="shared" si="26"/>
        <v>59</v>
      </c>
      <c r="Y878" s="55" t="e">
        <f t="shared" si="27"/>
        <v>#N/A</v>
      </c>
    </row>
    <row r="879" spans="1:25" x14ac:dyDescent="0.3">
      <c r="A879" s="55" t="s">
        <v>874</v>
      </c>
      <c r="V879" s="56" t="s">
        <v>874</v>
      </c>
      <c r="W879" s="56" t="str">
        <f t="shared" si="26"/>
        <v>59</v>
      </c>
      <c r="Y879" s="55" t="e">
        <f t="shared" si="27"/>
        <v>#N/A</v>
      </c>
    </row>
    <row r="880" spans="1:25" x14ac:dyDescent="0.3">
      <c r="A880" s="55" t="s">
        <v>875</v>
      </c>
      <c r="V880" s="56" t="s">
        <v>875</v>
      </c>
      <c r="W880" s="56" t="str">
        <f t="shared" si="26"/>
        <v>59</v>
      </c>
      <c r="Y880" s="55" t="e">
        <f t="shared" si="27"/>
        <v>#N/A</v>
      </c>
    </row>
    <row r="881" spans="1:25" x14ac:dyDescent="0.3">
      <c r="A881" s="55" t="s">
        <v>876</v>
      </c>
      <c r="V881" s="56" t="s">
        <v>876</v>
      </c>
      <c r="W881" s="56" t="str">
        <f t="shared" si="26"/>
        <v>59</v>
      </c>
      <c r="Y881" s="55" t="e">
        <f t="shared" si="27"/>
        <v>#N/A</v>
      </c>
    </row>
    <row r="882" spans="1:25" x14ac:dyDescent="0.3">
      <c r="A882" s="55" t="s">
        <v>876</v>
      </c>
      <c r="V882" s="56" t="s">
        <v>876</v>
      </c>
      <c r="W882" s="56" t="str">
        <f t="shared" si="26"/>
        <v>59</v>
      </c>
      <c r="Y882" s="55" t="e">
        <f t="shared" si="27"/>
        <v>#N/A</v>
      </c>
    </row>
    <row r="883" spans="1:25" x14ac:dyDescent="0.3">
      <c r="A883" s="55" t="s">
        <v>876</v>
      </c>
      <c r="V883" s="56" t="s">
        <v>876</v>
      </c>
      <c r="W883" s="56" t="str">
        <f t="shared" si="26"/>
        <v>59</v>
      </c>
      <c r="Y883" s="55" t="e">
        <f t="shared" si="27"/>
        <v>#N/A</v>
      </c>
    </row>
    <row r="884" spans="1:25" x14ac:dyDescent="0.3">
      <c r="A884" s="55" t="s">
        <v>876</v>
      </c>
      <c r="V884" s="56" t="s">
        <v>876</v>
      </c>
      <c r="W884" s="56" t="str">
        <f t="shared" si="26"/>
        <v>59</v>
      </c>
      <c r="Y884" s="55" t="e">
        <f t="shared" si="27"/>
        <v>#N/A</v>
      </c>
    </row>
    <row r="885" spans="1:25" x14ac:dyDescent="0.3">
      <c r="A885" s="55" t="s">
        <v>876</v>
      </c>
      <c r="V885" s="56" t="s">
        <v>876</v>
      </c>
      <c r="W885" s="56" t="str">
        <f t="shared" si="26"/>
        <v>59</v>
      </c>
      <c r="Y885" s="55" t="e">
        <f t="shared" si="27"/>
        <v>#N/A</v>
      </c>
    </row>
    <row r="886" spans="1:25" x14ac:dyDescent="0.3">
      <c r="A886" s="55" t="s">
        <v>877</v>
      </c>
      <c r="V886" s="56" t="s">
        <v>877</v>
      </c>
      <c r="W886" s="56" t="str">
        <f t="shared" si="26"/>
        <v>59</v>
      </c>
      <c r="Y886" s="55" t="e">
        <f t="shared" si="27"/>
        <v>#N/A</v>
      </c>
    </row>
    <row r="887" spans="1:25" x14ac:dyDescent="0.3">
      <c r="A887" s="55" t="s">
        <v>878</v>
      </c>
      <c r="V887" s="56" t="s">
        <v>878</v>
      </c>
      <c r="W887" s="56" t="str">
        <f t="shared" si="26"/>
        <v>59</v>
      </c>
      <c r="Y887" s="55" t="e">
        <f t="shared" si="27"/>
        <v>#N/A</v>
      </c>
    </row>
    <row r="888" spans="1:25" x14ac:dyDescent="0.3">
      <c r="A888" s="55" t="s">
        <v>878</v>
      </c>
      <c r="V888" s="56" t="s">
        <v>878</v>
      </c>
      <c r="W888" s="56" t="str">
        <f t="shared" si="26"/>
        <v>59</v>
      </c>
      <c r="Y888" s="55" t="e">
        <f t="shared" si="27"/>
        <v>#N/A</v>
      </c>
    </row>
    <row r="889" spans="1:25" x14ac:dyDescent="0.3">
      <c r="A889" s="55" t="s">
        <v>878</v>
      </c>
      <c r="V889" s="56" t="s">
        <v>878</v>
      </c>
      <c r="W889" s="56" t="str">
        <f t="shared" si="26"/>
        <v>59</v>
      </c>
      <c r="Y889" s="55" t="e">
        <f t="shared" si="27"/>
        <v>#N/A</v>
      </c>
    </row>
    <row r="890" spans="1:25" x14ac:dyDescent="0.3">
      <c r="A890" s="55" t="s">
        <v>878</v>
      </c>
      <c r="V890" s="56" t="s">
        <v>878</v>
      </c>
      <c r="W890" s="56" t="str">
        <f t="shared" si="26"/>
        <v>59</v>
      </c>
      <c r="Y890" s="55" t="e">
        <f t="shared" si="27"/>
        <v>#N/A</v>
      </c>
    </row>
    <row r="891" spans="1:25" x14ac:dyDescent="0.3">
      <c r="A891" s="55" t="s">
        <v>878</v>
      </c>
      <c r="V891" s="56" t="s">
        <v>878</v>
      </c>
      <c r="W891" s="56" t="str">
        <f t="shared" si="26"/>
        <v>59</v>
      </c>
      <c r="Y891" s="55" t="e">
        <f t="shared" si="27"/>
        <v>#N/A</v>
      </c>
    </row>
    <row r="892" spans="1:25" x14ac:dyDescent="0.3">
      <c r="A892" s="55" t="s">
        <v>878</v>
      </c>
      <c r="V892" s="56" t="s">
        <v>878</v>
      </c>
      <c r="W892" s="56" t="str">
        <f t="shared" si="26"/>
        <v>59</v>
      </c>
      <c r="Y892" s="55" t="e">
        <f t="shared" si="27"/>
        <v>#N/A</v>
      </c>
    </row>
    <row r="893" spans="1:25" x14ac:dyDescent="0.3">
      <c r="A893" s="55" t="s">
        <v>878</v>
      </c>
      <c r="V893" s="56" t="s">
        <v>878</v>
      </c>
      <c r="W893" s="56" t="str">
        <f t="shared" si="26"/>
        <v>59</v>
      </c>
      <c r="Y893" s="55" t="e">
        <f t="shared" si="27"/>
        <v>#N/A</v>
      </c>
    </row>
    <row r="894" spans="1:25" x14ac:dyDescent="0.3">
      <c r="A894" s="55" t="s">
        <v>879</v>
      </c>
      <c r="V894" s="56" t="s">
        <v>879</v>
      </c>
      <c r="W894" s="56" t="str">
        <f t="shared" si="26"/>
        <v>59</v>
      </c>
      <c r="Y894" s="55" t="e">
        <f t="shared" si="27"/>
        <v>#N/A</v>
      </c>
    </row>
    <row r="895" spans="1:25" x14ac:dyDescent="0.3">
      <c r="A895" s="55" t="s">
        <v>879</v>
      </c>
      <c r="V895" s="56" t="s">
        <v>879</v>
      </c>
      <c r="W895" s="56" t="str">
        <f t="shared" si="26"/>
        <v>59</v>
      </c>
      <c r="Y895" s="55" t="e">
        <f t="shared" si="27"/>
        <v>#N/A</v>
      </c>
    </row>
    <row r="896" spans="1:25" x14ac:dyDescent="0.3">
      <c r="A896" s="55" t="s">
        <v>879</v>
      </c>
      <c r="V896" s="56" t="s">
        <v>879</v>
      </c>
      <c r="W896" s="56" t="str">
        <f t="shared" si="26"/>
        <v>59</v>
      </c>
      <c r="Y896" s="55" t="e">
        <f t="shared" si="27"/>
        <v>#N/A</v>
      </c>
    </row>
    <row r="897" spans="1:25" x14ac:dyDescent="0.3">
      <c r="A897" s="55" t="s">
        <v>879</v>
      </c>
      <c r="V897" s="56" t="s">
        <v>879</v>
      </c>
      <c r="W897" s="56" t="str">
        <f t="shared" si="26"/>
        <v>59</v>
      </c>
      <c r="Y897" s="55" t="e">
        <f t="shared" si="27"/>
        <v>#N/A</v>
      </c>
    </row>
    <row r="898" spans="1:25" x14ac:dyDescent="0.3">
      <c r="A898" s="55" t="s">
        <v>879</v>
      </c>
      <c r="V898" s="56" t="s">
        <v>879</v>
      </c>
      <c r="W898" s="56" t="str">
        <f t="shared" si="26"/>
        <v>59</v>
      </c>
      <c r="Y898" s="55" t="e">
        <f t="shared" si="27"/>
        <v>#N/A</v>
      </c>
    </row>
    <row r="899" spans="1:25" x14ac:dyDescent="0.3">
      <c r="A899" s="55" t="s">
        <v>879</v>
      </c>
      <c r="V899" s="56" t="s">
        <v>879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1:25" x14ac:dyDescent="0.3">
      <c r="A900" s="55" t="s">
        <v>880</v>
      </c>
      <c r="V900" s="56" t="s">
        <v>880</v>
      </c>
      <c r="W900" s="56" t="str">
        <f t="shared" si="28"/>
        <v>59</v>
      </c>
      <c r="Y900" s="55" t="e">
        <f t="shared" si="29"/>
        <v>#N/A</v>
      </c>
    </row>
    <row r="901" spans="1:25" x14ac:dyDescent="0.3">
      <c r="A901" s="55" t="s">
        <v>881</v>
      </c>
      <c r="V901" s="56" t="s">
        <v>881</v>
      </c>
      <c r="W901" s="56" t="str">
        <f t="shared" si="28"/>
        <v>61</v>
      </c>
      <c r="Y901" s="55" t="e">
        <f t="shared" si="29"/>
        <v>#N/A</v>
      </c>
    </row>
    <row r="902" spans="1:25" x14ac:dyDescent="0.3">
      <c r="A902" s="55" t="s">
        <v>881</v>
      </c>
      <c r="V902" s="56" t="s">
        <v>881</v>
      </c>
      <c r="W902" s="56" t="str">
        <f t="shared" si="28"/>
        <v>61</v>
      </c>
      <c r="Y902" s="55" t="e">
        <f t="shared" si="29"/>
        <v>#N/A</v>
      </c>
    </row>
    <row r="903" spans="1:25" x14ac:dyDescent="0.3">
      <c r="A903" s="55" t="s">
        <v>882</v>
      </c>
      <c r="V903" s="56" t="s">
        <v>882</v>
      </c>
      <c r="W903" s="56" t="str">
        <f t="shared" si="28"/>
        <v>61</v>
      </c>
      <c r="Y903" s="55" t="e">
        <f t="shared" si="29"/>
        <v>#N/A</v>
      </c>
    </row>
    <row r="904" spans="1:25" x14ac:dyDescent="0.3">
      <c r="A904" s="55" t="s">
        <v>882</v>
      </c>
      <c r="V904" s="56" t="s">
        <v>882</v>
      </c>
      <c r="W904" s="56" t="str">
        <f t="shared" si="28"/>
        <v>61</v>
      </c>
      <c r="Y904" s="55" t="e">
        <f t="shared" si="29"/>
        <v>#N/A</v>
      </c>
    </row>
    <row r="905" spans="1:25" x14ac:dyDescent="0.3">
      <c r="A905" s="55" t="s">
        <v>883</v>
      </c>
      <c r="V905" s="56" t="s">
        <v>883</v>
      </c>
      <c r="W905" s="56" t="str">
        <f t="shared" si="28"/>
        <v>61</v>
      </c>
      <c r="Y905" s="55" t="e">
        <f t="shared" si="29"/>
        <v>#N/A</v>
      </c>
    </row>
    <row r="906" spans="1:25" x14ac:dyDescent="0.3">
      <c r="A906" s="55" t="s">
        <v>884</v>
      </c>
      <c r="V906" s="56" t="s">
        <v>884</v>
      </c>
      <c r="W906" s="56" t="str">
        <f t="shared" si="28"/>
        <v>61</v>
      </c>
      <c r="Y906" s="55" t="e">
        <f t="shared" si="29"/>
        <v>#N/A</v>
      </c>
    </row>
    <row r="907" spans="1:25" x14ac:dyDescent="0.3">
      <c r="A907" s="55" t="s">
        <v>885</v>
      </c>
      <c r="V907" s="56" t="s">
        <v>885</v>
      </c>
      <c r="W907" s="56" t="str">
        <f t="shared" si="28"/>
        <v>61</v>
      </c>
      <c r="Y907" s="55" t="e">
        <f t="shared" si="29"/>
        <v>#N/A</v>
      </c>
    </row>
    <row r="908" spans="1:25" x14ac:dyDescent="0.3">
      <c r="A908" s="55" t="s">
        <v>886</v>
      </c>
      <c r="V908" s="56" t="s">
        <v>886</v>
      </c>
      <c r="W908" s="56" t="str">
        <f t="shared" si="28"/>
        <v>61</v>
      </c>
      <c r="Y908" s="55" t="e">
        <f t="shared" si="29"/>
        <v>#N/A</v>
      </c>
    </row>
    <row r="909" spans="1:25" x14ac:dyDescent="0.3">
      <c r="A909" s="55" t="s">
        <v>887</v>
      </c>
      <c r="V909" s="56" t="s">
        <v>887</v>
      </c>
      <c r="W909" s="56" t="str">
        <f t="shared" si="28"/>
        <v>61</v>
      </c>
      <c r="Y909" s="55" t="e">
        <f t="shared" si="29"/>
        <v>#N/A</v>
      </c>
    </row>
    <row r="910" spans="1:25" x14ac:dyDescent="0.3">
      <c r="A910" s="55" t="s">
        <v>888</v>
      </c>
      <c r="V910" s="56" t="s">
        <v>888</v>
      </c>
      <c r="W910" s="56" t="str">
        <f t="shared" si="28"/>
        <v>61</v>
      </c>
      <c r="Y910" s="55" t="e">
        <f t="shared" si="29"/>
        <v>#N/A</v>
      </c>
    </row>
    <row r="911" spans="1:25" x14ac:dyDescent="0.3">
      <c r="A911" s="55" t="s">
        <v>889</v>
      </c>
      <c r="V911" s="56" t="s">
        <v>889</v>
      </c>
      <c r="W911" s="56" t="str">
        <f t="shared" si="28"/>
        <v>61</v>
      </c>
      <c r="Y911" s="55" t="e">
        <f t="shared" si="29"/>
        <v>#N/A</v>
      </c>
    </row>
    <row r="912" spans="1:25" x14ac:dyDescent="0.3">
      <c r="A912" s="55" t="s">
        <v>890</v>
      </c>
      <c r="V912" s="56" t="s">
        <v>890</v>
      </c>
      <c r="W912" s="56" t="str">
        <f t="shared" si="28"/>
        <v>61</v>
      </c>
      <c r="Y912" s="55" t="e">
        <f t="shared" si="29"/>
        <v>#N/A</v>
      </c>
    </row>
    <row r="913" spans="1:25" x14ac:dyDescent="0.3">
      <c r="A913" s="55" t="s">
        <v>891</v>
      </c>
      <c r="V913" s="56" t="s">
        <v>891</v>
      </c>
      <c r="W913" s="56" t="str">
        <f t="shared" si="28"/>
        <v>61</v>
      </c>
      <c r="Y913" s="55" t="e">
        <f t="shared" si="29"/>
        <v>#N/A</v>
      </c>
    </row>
    <row r="914" spans="1:25" x14ac:dyDescent="0.3">
      <c r="A914" s="55" t="s">
        <v>892</v>
      </c>
      <c r="V914" s="56" t="s">
        <v>892</v>
      </c>
      <c r="W914" s="56" t="str">
        <f t="shared" si="28"/>
        <v>66</v>
      </c>
      <c r="Y914" s="55" t="e">
        <f t="shared" si="29"/>
        <v>#N/A</v>
      </c>
    </row>
    <row r="915" spans="1:25" x14ac:dyDescent="0.3">
      <c r="A915" s="55" t="s">
        <v>892</v>
      </c>
      <c r="V915" s="56" t="s">
        <v>892</v>
      </c>
      <c r="W915" s="56" t="str">
        <f t="shared" si="28"/>
        <v>66</v>
      </c>
      <c r="Y915" s="55" t="e">
        <f t="shared" si="29"/>
        <v>#N/A</v>
      </c>
    </row>
    <row r="916" spans="1:25" x14ac:dyDescent="0.3">
      <c r="A916" s="55" t="s">
        <v>892</v>
      </c>
      <c r="V916" s="56" t="s">
        <v>892</v>
      </c>
      <c r="W916" s="56" t="str">
        <f t="shared" si="28"/>
        <v>66</v>
      </c>
      <c r="Y916" s="55" t="e">
        <f t="shared" si="29"/>
        <v>#N/A</v>
      </c>
    </row>
    <row r="917" spans="1:25" x14ac:dyDescent="0.3">
      <c r="A917" s="55" t="s">
        <v>892</v>
      </c>
      <c r="V917" s="56" t="s">
        <v>892</v>
      </c>
      <c r="W917" s="56" t="str">
        <f t="shared" si="28"/>
        <v>66</v>
      </c>
      <c r="Y917" s="55" t="e">
        <f t="shared" si="29"/>
        <v>#N/A</v>
      </c>
    </row>
    <row r="918" spans="1:25" x14ac:dyDescent="0.3">
      <c r="A918" s="55" t="s">
        <v>892</v>
      </c>
      <c r="V918" s="56" t="s">
        <v>892</v>
      </c>
      <c r="W918" s="56" t="str">
        <f t="shared" si="28"/>
        <v>66</v>
      </c>
      <c r="Y918" s="55" t="e">
        <f t="shared" si="29"/>
        <v>#N/A</v>
      </c>
    </row>
    <row r="919" spans="1:25" x14ac:dyDescent="0.3">
      <c r="A919" s="55" t="s">
        <v>893</v>
      </c>
      <c r="V919" s="56" t="s">
        <v>893</v>
      </c>
      <c r="W919" s="56" t="str">
        <f t="shared" si="28"/>
        <v>66</v>
      </c>
      <c r="Y919" s="55" t="e">
        <f t="shared" si="29"/>
        <v>#N/A</v>
      </c>
    </row>
    <row r="920" spans="1:25" x14ac:dyDescent="0.3">
      <c r="A920" s="55" t="s">
        <v>893</v>
      </c>
      <c r="V920" s="56" t="s">
        <v>893</v>
      </c>
      <c r="W920" s="56" t="str">
        <f t="shared" si="28"/>
        <v>66</v>
      </c>
      <c r="Y920" s="55" t="e">
        <f t="shared" si="29"/>
        <v>#N/A</v>
      </c>
    </row>
    <row r="921" spans="1:25" x14ac:dyDescent="0.3">
      <c r="A921" s="55" t="s">
        <v>894</v>
      </c>
      <c r="V921" s="56" t="s">
        <v>894</v>
      </c>
      <c r="W921" s="56" t="str">
        <f t="shared" si="28"/>
        <v>66</v>
      </c>
      <c r="Y921" s="55" t="e">
        <f t="shared" si="29"/>
        <v>#N/A</v>
      </c>
    </row>
    <row r="922" spans="1:25" x14ac:dyDescent="0.3">
      <c r="A922" s="55" t="s">
        <v>894</v>
      </c>
      <c r="V922" s="56" t="s">
        <v>894</v>
      </c>
      <c r="W922" s="56" t="str">
        <f t="shared" si="28"/>
        <v>66</v>
      </c>
      <c r="Y922" s="55" t="e">
        <f t="shared" si="29"/>
        <v>#N/A</v>
      </c>
    </row>
    <row r="923" spans="1:25" x14ac:dyDescent="0.3">
      <c r="A923" s="55" t="s">
        <v>895</v>
      </c>
      <c r="V923" s="56" t="s">
        <v>895</v>
      </c>
      <c r="W923" s="56" t="str">
        <f t="shared" si="28"/>
        <v>66</v>
      </c>
      <c r="Y923" s="55" t="e">
        <f t="shared" si="29"/>
        <v>#N/A</v>
      </c>
    </row>
    <row r="924" spans="1:25" x14ac:dyDescent="0.3">
      <c r="A924" s="55" t="s">
        <v>895</v>
      </c>
      <c r="V924" s="56" t="s">
        <v>895</v>
      </c>
      <c r="W924" s="56" t="str">
        <f t="shared" si="28"/>
        <v>66</v>
      </c>
      <c r="Y924" s="55" t="e">
        <f t="shared" si="29"/>
        <v>#N/A</v>
      </c>
    </row>
    <row r="925" spans="1:25" x14ac:dyDescent="0.3">
      <c r="A925" s="55" t="s">
        <v>896</v>
      </c>
      <c r="V925" s="56" t="s">
        <v>896</v>
      </c>
      <c r="W925" s="56" t="str">
        <f t="shared" si="28"/>
        <v>66</v>
      </c>
      <c r="Y925" s="55" t="e">
        <f t="shared" si="29"/>
        <v>#N/A</v>
      </c>
    </row>
    <row r="926" spans="1:25" x14ac:dyDescent="0.3">
      <c r="A926" s="55" t="s">
        <v>897</v>
      </c>
      <c r="V926" s="56" t="s">
        <v>897</v>
      </c>
      <c r="W926" s="56" t="str">
        <f t="shared" si="28"/>
        <v>66</v>
      </c>
      <c r="Y926" s="55" t="e">
        <f t="shared" si="29"/>
        <v>#N/A</v>
      </c>
    </row>
    <row r="927" spans="1:25" x14ac:dyDescent="0.3">
      <c r="A927" s="55" t="s">
        <v>897</v>
      </c>
      <c r="V927" s="56" t="s">
        <v>897</v>
      </c>
      <c r="W927" s="56" t="str">
        <f t="shared" si="28"/>
        <v>66</v>
      </c>
      <c r="Y927" s="55" t="e">
        <f t="shared" si="29"/>
        <v>#N/A</v>
      </c>
    </row>
    <row r="928" spans="1:25" x14ac:dyDescent="0.3">
      <c r="A928" s="55" t="s">
        <v>898</v>
      </c>
      <c r="V928" s="56" t="s">
        <v>898</v>
      </c>
      <c r="W928" s="56" t="str">
        <f t="shared" si="28"/>
        <v>66</v>
      </c>
      <c r="Y928" s="55" t="e">
        <f t="shared" si="29"/>
        <v>#N/A</v>
      </c>
    </row>
    <row r="929" spans="1:25" x14ac:dyDescent="0.3">
      <c r="A929" s="55" t="s">
        <v>899</v>
      </c>
      <c r="V929" s="56" t="s">
        <v>899</v>
      </c>
      <c r="W929" s="56" t="str">
        <f t="shared" si="28"/>
        <v>66</v>
      </c>
      <c r="Y929" s="55" t="e">
        <f t="shared" si="29"/>
        <v>#N/A</v>
      </c>
    </row>
    <row r="930" spans="1:25" x14ac:dyDescent="0.3">
      <c r="A930" s="55" t="s">
        <v>900</v>
      </c>
      <c r="V930" s="56" t="s">
        <v>900</v>
      </c>
      <c r="W930" s="56" t="str">
        <f t="shared" si="28"/>
        <v>66</v>
      </c>
      <c r="Y930" s="55" t="e">
        <f t="shared" si="29"/>
        <v>#N/A</v>
      </c>
    </row>
    <row r="931" spans="1:25" x14ac:dyDescent="0.3">
      <c r="A931" s="55" t="s">
        <v>900</v>
      </c>
      <c r="V931" s="56" t="s">
        <v>900</v>
      </c>
      <c r="W931" s="56" t="str">
        <f t="shared" si="28"/>
        <v>66</v>
      </c>
      <c r="Y931" s="55" t="e">
        <f t="shared" si="29"/>
        <v>#N/A</v>
      </c>
    </row>
    <row r="932" spans="1:25" x14ac:dyDescent="0.3">
      <c r="A932" s="55" t="s">
        <v>901</v>
      </c>
      <c r="V932" s="56" t="s">
        <v>901</v>
      </c>
      <c r="W932" s="56" t="str">
        <f t="shared" si="28"/>
        <v>66</v>
      </c>
      <c r="Y932" s="55" t="e">
        <f t="shared" si="29"/>
        <v>#N/A</v>
      </c>
    </row>
    <row r="933" spans="1:25" x14ac:dyDescent="0.3">
      <c r="A933" s="55" t="s">
        <v>902</v>
      </c>
      <c r="V933" s="56" t="s">
        <v>902</v>
      </c>
      <c r="W933" s="56" t="str">
        <f t="shared" si="28"/>
        <v>66</v>
      </c>
      <c r="Y933" s="55" t="e">
        <f t="shared" si="29"/>
        <v>#N/A</v>
      </c>
    </row>
    <row r="934" spans="1:25" x14ac:dyDescent="0.3">
      <c r="A934" s="55" t="s">
        <v>903</v>
      </c>
      <c r="V934" s="56" t="s">
        <v>903</v>
      </c>
      <c r="W934" s="56" t="str">
        <f t="shared" si="28"/>
        <v>66</v>
      </c>
      <c r="Y934" s="55" t="e">
        <f t="shared" si="29"/>
        <v>#N/A</v>
      </c>
    </row>
    <row r="935" spans="1:25" x14ac:dyDescent="0.3">
      <c r="A935" s="55" t="s">
        <v>904</v>
      </c>
      <c r="V935" s="56" t="s">
        <v>904</v>
      </c>
      <c r="W935" s="56" t="str">
        <f t="shared" si="28"/>
        <v>66</v>
      </c>
      <c r="Y935" s="55" t="e">
        <f t="shared" si="29"/>
        <v>#N/A</v>
      </c>
    </row>
    <row r="936" spans="1:25" x14ac:dyDescent="0.3">
      <c r="A936" s="55" t="s">
        <v>905</v>
      </c>
      <c r="V936" s="56" t="s">
        <v>905</v>
      </c>
      <c r="W936" s="56" t="str">
        <f t="shared" si="28"/>
        <v>66</v>
      </c>
      <c r="Y936" s="55" t="e">
        <f t="shared" si="29"/>
        <v>#N/A</v>
      </c>
    </row>
    <row r="937" spans="1:25" x14ac:dyDescent="0.3">
      <c r="A937" s="55" t="s">
        <v>906</v>
      </c>
      <c r="V937" s="56" t="s">
        <v>906</v>
      </c>
      <c r="W937" s="56" t="str">
        <f t="shared" si="28"/>
        <v>66</v>
      </c>
      <c r="Y937" s="55" t="e">
        <f t="shared" si="29"/>
        <v>#N/A</v>
      </c>
    </row>
    <row r="938" spans="1:25" x14ac:dyDescent="0.3">
      <c r="A938" s="55" t="s">
        <v>907</v>
      </c>
      <c r="V938" s="56" t="s">
        <v>907</v>
      </c>
      <c r="W938" s="56" t="str">
        <f t="shared" si="28"/>
        <v>66</v>
      </c>
      <c r="Y938" s="55" t="e">
        <f t="shared" si="29"/>
        <v>#N/A</v>
      </c>
    </row>
    <row r="939" spans="1:25" x14ac:dyDescent="0.3">
      <c r="A939" s="55" t="s">
        <v>908</v>
      </c>
      <c r="V939" s="56" t="s">
        <v>908</v>
      </c>
      <c r="W939" s="56" t="str">
        <f t="shared" si="28"/>
        <v>66</v>
      </c>
      <c r="Y939" s="55" t="e">
        <f t="shared" si="29"/>
        <v>#N/A</v>
      </c>
    </row>
    <row r="940" spans="1:25" x14ac:dyDescent="0.3">
      <c r="A940" s="55" t="s">
        <v>908</v>
      </c>
      <c r="V940" s="56" t="s">
        <v>908</v>
      </c>
      <c r="W940" s="56" t="str">
        <f t="shared" si="28"/>
        <v>66</v>
      </c>
      <c r="Y940" s="55" t="e">
        <f t="shared" si="29"/>
        <v>#N/A</v>
      </c>
    </row>
    <row r="941" spans="1:25" x14ac:dyDescent="0.3">
      <c r="A941" s="55" t="s">
        <v>909</v>
      </c>
      <c r="V941" s="56" t="s">
        <v>909</v>
      </c>
      <c r="W941" s="56" t="str">
        <f t="shared" si="28"/>
        <v>66</v>
      </c>
      <c r="Y941" s="55" t="e">
        <f t="shared" si="29"/>
        <v>#N/A</v>
      </c>
    </row>
    <row r="942" spans="1:25" x14ac:dyDescent="0.3">
      <c r="A942" s="55" t="s">
        <v>910</v>
      </c>
      <c r="V942" s="56" t="s">
        <v>910</v>
      </c>
      <c r="W942" s="56" t="str">
        <f t="shared" si="28"/>
        <v>66</v>
      </c>
      <c r="Y942" s="55" t="e">
        <f t="shared" si="29"/>
        <v>#N/A</v>
      </c>
    </row>
    <row r="943" spans="1:25" x14ac:dyDescent="0.3">
      <c r="A943" s="55" t="s">
        <v>910</v>
      </c>
      <c r="V943" s="56" t="s">
        <v>910</v>
      </c>
      <c r="W943" s="56" t="str">
        <f t="shared" si="28"/>
        <v>66</v>
      </c>
      <c r="Y943" s="55" t="e">
        <f t="shared" si="29"/>
        <v>#N/A</v>
      </c>
    </row>
    <row r="944" spans="1:25" x14ac:dyDescent="0.3">
      <c r="A944" s="55" t="s">
        <v>910</v>
      </c>
      <c r="V944" s="56" t="s">
        <v>910</v>
      </c>
      <c r="W944" s="56" t="str">
        <f t="shared" si="28"/>
        <v>66</v>
      </c>
      <c r="Y944" s="55" t="e">
        <f t="shared" si="29"/>
        <v>#N/A</v>
      </c>
    </row>
    <row r="945" spans="1:25" x14ac:dyDescent="0.3">
      <c r="A945" s="55" t="s">
        <v>910</v>
      </c>
      <c r="V945" s="56" t="s">
        <v>910</v>
      </c>
      <c r="W945" s="56" t="str">
        <f t="shared" si="28"/>
        <v>66</v>
      </c>
      <c r="Y945" s="55" t="e">
        <f t="shared" si="29"/>
        <v>#N/A</v>
      </c>
    </row>
    <row r="946" spans="1:25" x14ac:dyDescent="0.3">
      <c r="A946" s="55" t="s">
        <v>910</v>
      </c>
      <c r="V946" s="56" t="s">
        <v>910</v>
      </c>
      <c r="W946" s="56" t="str">
        <f t="shared" si="28"/>
        <v>66</v>
      </c>
      <c r="Y946" s="55" t="e">
        <f t="shared" si="29"/>
        <v>#N/A</v>
      </c>
    </row>
    <row r="947" spans="1:25" x14ac:dyDescent="0.3">
      <c r="A947" s="55" t="s">
        <v>910</v>
      </c>
      <c r="V947" s="56" t="s">
        <v>910</v>
      </c>
      <c r="W947" s="56" t="str">
        <f t="shared" si="28"/>
        <v>66</v>
      </c>
      <c r="Y947" s="55" t="e">
        <f t="shared" si="29"/>
        <v>#N/A</v>
      </c>
    </row>
    <row r="948" spans="1:25" x14ac:dyDescent="0.3">
      <c r="A948" s="55" t="s">
        <v>910</v>
      </c>
      <c r="V948" s="56" t="s">
        <v>910</v>
      </c>
      <c r="W948" s="56" t="str">
        <f t="shared" si="28"/>
        <v>66</v>
      </c>
      <c r="Y948" s="55" t="e">
        <f t="shared" si="29"/>
        <v>#N/A</v>
      </c>
    </row>
    <row r="949" spans="1:25" x14ac:dyDescent="0.3">
      <c r="A949" s="55" t="s">
        <v>910</v>
      </c>
      <c r="V949" s="56" t="s">
        <v>910</v>
      </c>
      <c r="W949" s="56" t="str">
        <f t="shared" si="28"/>
        <v>66</v>
      </c>
      <c r="Y949" s="55" t="e">
        <f t="shared" si="29"/>
        <v>#N/A</v>
      </c>
    </row>
    <row r="950" spans="1:25" x14ac:dyDescent="0.3">
      <c r="A950" s="55" t="s">
        <v>910</v>
      </c>
      <c r="V950" s="56" t="s">
        <v>910</v>
      </c>
      <c r="W950" s="56" t="str">
        <f t="shared" si="28"/>
        <v>66</v>
      </c>
      <c r="Y950" s="55" t="e">
        <f t="shared" si="29"/>
        <v>#N/A</v>
      </c>
    </row>
    <row r="951" spans="1:25" x14ac:dyDescent="0.3">
      <c r="A951" s="55" t="s">
        <v>910</v>
      </c>
      <c r="V951" s="56" t="s">
        <v>910</v>
      </c>
      <c r="W951" s="56" t="str">
        <f t="shared" si="28"/>
        <v>66</v>
      </c>
      <c r="Y951" s="55" t="e">
        <f t="shared" si="29"/>
        <v>#N/A</v>
      </c>
    </row>
    <row r="952" spans="1:25" x14ac:dyDescent="0.3">
      <c r="A952" s="55" t="s">
        <v>910</v>
      </c>
      <c r="V952" s="56" t="s">
        <v>910</v>
      </c>
      <c r="W952" s="56" t="str">
        <f t="shared" si="28"/>
        <v>66</v>
      </c>
      <c r="Y952" s="55" t="e">
        <f t="shared" si="29"/>
        <v>#N/A</v>
      </c>
    </row>
    <row r="953" spans="1:25" x14ac:dyDescent="0.3">
      <c r="A953" s="55" t="s">
        <v>911</v>
      </c>
      <c r="V953" s="56" t="s">
        <v>911</v>
      </c>
      <c r="W953" s="56" t="str">
        <f t="shared" si="28"/>
        <v>66</v>
      </c>
      <c r="Y953" s="55" t="e">
        <f t="shared" si="29"/>
        <v>#N/A</v>
      </c>
    </row>
    <row r="954" spans="1:25" x14ac:dyDescent="0.3">
      <c r="A954" s="55" t="s">
        <v>911</v>
      </c>
      <c r="V954" s="56" t="s">
        <v>911</v>
      </c>
      <c r="W954" s="56" t="str">
        <f t="shared" si="28"/>
        <v>66</v>
      </c>
      <c r="Y954" s="55" t="e">
        <f t="shared" si="29"/>
        <v>#N/A</v>
      </c>
    </row>
    <row r="955" spans="1:25" x14ac:dyDescent="0.3">
      <c r="A955" s="55" t="s">
        <v>911</v>
      </c>
      <c r="V955" s="56" t="s">
        <v>911</v>
      </c>
      <c r="W955" s="56" t="str">
        <f t="shared" si="28"/>
        <v>66</v>
      </c>
      <c r="Y955" s="55" t="e">
        <f t="shared" si="29"/>
        <v>#N/A</v>
      </c>
    </row>
    <row r="956" spans="1:25" x14ac:dyDescent="0.3">
      <c r="A956" s="55" t="s">
        <v>912</v>
      </c>
      <c r="V956" s="56" t="s">
        <v>912</v>
      </c>
      <c r="W956" s="56" t="str">
        <f t="shared" si="28"/>
        <v>66</v>
      </c>
      <c r="Y956" s="55" t="e">
        <f t="shared" si="29"/>
        <v>#N/A</v>
      </c>
    </row>
    <row r="957" spans="1:25" x14ac:dyDescent="0.3">
      <c r="A957" s="55" t="s">
        <v>913</v>
      </c>
      <c r="V957" s="56" t="s">
        <v>913</v>
      </c>
      <c r="W957" s="56" t="str">
        <f t="shared" si="28"/>
        <v>66</v>
      </c>
      <c r="Y957" s="55" t="e">
        <f t="shared" si="29"/>
        <v>#N/A</v>
      </c>
    </row>
    <row r="958" spans="1:25" x14ac:dyDescent="0.3">
      <c r="A958" s="55" t="s">
        <v>914</v>
      </c>
      <c r="V958" s="56" t="s">
        <v>914</v>
      </c>
      <c r="W958" s="56" t="str">
        <f t="shared" si="28"/>
        <v>66</v>
      </c>
      <c r="Y958" s="55" t="e">
        <f t="shared" si="29"/>
        <v>#N/A</v>
      </c>
    </row>
    <row r="959" spans="1:25" x14ac:dyDescent="0.3">
      <c r="A959" s="55" t="s">
        <v>914</v>
      </c>
      <c r="V959" s="56" t="s">
        <v>914</v>
      </c>
      <c r="W959" s="56" t="str">
        <f t="shared" si="28"/>
        <v>66</v>
      </c>
      <c r="Y959" s="55" t="e">
        <f t="shared" si="29"/>
        <v>#N/A</v>
      </c>
    </row>
    <row r="960" spans="1:25" x14ac:dyDescent="0.3">
      <c r="A960" s="55" t="s">
        <v>914</v>
      </c>
      <c r="V960" s="56" t="s">
        <v>914</v>
      </c>
      <c r="W960" s="56" t="str">
        <f t="shared" si="28"/>
        <v>66</v>
      </c>
      <c r="Y960" s="55" t="e">
        <f t="shared" si="29"/>
        <v>#N/A</v>
      </c>
    </row>
    <row r="961" spans="1:25" x14ac:dyDescent="0.3">
      <c r="A961" s="55" t="s">
        <v>914</v>
      </c>
      <c r="V961" s="56" t="s">
        <v>914</v>
      </c>
      <c r="W961" s="56" t="str">
        <f t="shared" si="28"/>
        <v>66</v>
      </c>
      <c r="Y961" s="55" t="e">
        <f t="shared" si="29"/>
        <v>#N/A</v>
      </c>
    </row>
    <row r="962" spans="1:25" x14ac:dyDescent="0.3">
      <c r="A962" s="55" t="s">
        <v>914</v>
      </c>
      <c r="V962" s="56" t="s">
        <v>914</v>
      </c>
      <c r="W962" s="56" t="str">
        <f t="shared" si="28"/>
        <v>66</v>
      </c>
      <c r="Y962" s="55" t="e">
        <f t="shared" si="29"/>
        <v>#N/A</v>
      </c>
    </row>
    <row r="963" spans="1:25" x14ac:dyDescent="0.3">
      <c r="A963" s="55" t="s">
        <v>914</v>
      </c>
      <c r="V963" s="56" t="s">
        <v>914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1:25" x14ac:dyDescent="0.3">
      <c r="A964" s="55" t="s">
        <v>914</v>
      </c>
      <c r="V964" s="56" t="s">
        <v>914</v>
      </c>
      <c r="W964" s="56" t="str">
        <f t="shared" si="30"/>
        <v>66</v>
      </c>
      <c r="Y964" s="55" t="e">
        <f t="shared" si="31"/>
        <v>#N/A</v>
      </c>
    </row>
    <row r="965" spans="1:25" x14ac:dyDescent="0.3">
      <c r="A965" s="55" t="s">
        <v>914</v>
      </c>
      <c r="V965" s="56" t="s">
        <v>914</v>
      </c>
      <c r="W965" s="56" t="str">
        <f t="shared" si="30"/>
        <v>66</v>
      </c>
      <c r="Y965" s="55" t="e">
        <f t="shared" si="31"/>
        <v>#N/A</v>
      </c>
    </row>
    <row r="966" spans="1:25" x14ac:dyDescent="0.3">
      <c r="A966" s="55" t="s">
        <v>914</v>
      </c>
      <c r="V966" s="56" t="s">
        <v>914</v>
      </c>
      <c r="W966" s="56" t="str">
        <f t="shared" si="30"/>
        <v>66</v>
      </c>
      <c r="Y966" s="55" t="e">
        <f t="shared" si="31"/>
        <v>#N/A</v>
      </c>
    </row>
    <row r="967" spans="1:25" x14ac:dyDescent="0.3">
      <c r="A967" s="55" t="s">
        <v>915</v>
      </c>
      <c r="V967" s="56" t="s">
        <v>915</v>
      </c>
      <c r="W967" s="56" t="str">
        <f t="shared" si="30"/>
        <v>66</v>
      </c>
      <c r="Y967" s="55" t="e">
        <f t="shared" si="31"/>
        <v>#N/A</v>
      </c>
    </row>
    <row r="968" spans="1:25" x14ac:dyDescent="0.3">
      <c r="A968" s="55" t="s">
        <v>916</v>
      </c>
      <c r="V968" s="56" t="s">
        <v>916</v>
      </c>
      <c r="W968" s="56" t="str">
        <f t="shared" si="30"/>
        <v>66</v>
      </c>
      <c r="Y968" s="55" t="e">
        <f t="shared" si="31"/>
        <v>#N/A</v>
      </c>
    </row>
    <row r="969" spans="1:25" x14ac:dyDescent="0.3">
      <c r="A969" s="55" t="s">
        <v>916</v>
      </c>
      <c r="V969" s="56" t="s">
        <v>916</v>
      </c>
      <c r="W969" s="56" t="str">
        <f t="shared" si="30"/>
        <v>66</v>
      </c>
      <c r="Y969" s="55" t="e">
        <f t="shared" si="31"/>
        <v>#N/A</v>
      </c>
    </row>
    <row r="970" spans="1:25" x14ac:dyDescent="0.3">
      <c r="A970" s="55" t="s">
        <v>917</v>
      </c>
      <c r="V970" s="56" t="s">
        <v>917</v>
      </c>
      <c r="W970" s="56" t="str">
        <f t="shared" si="30"/>
        <v>66</v>
      </c>
      <c r="Y970" s="55" t="e">
        <f t="shared" si="31"/>
        <v>#N/A</v>
      </c>
    </row>
    <row r="971" spans="1:25" x14ac:dyDescent="0.3">
      <c r="A971" s="55" t="s">
        <v>918</v>
      </c>
      <c r="V971" s="56" t="s">
        <v>918</v>
      </c>
      <c r="W971" s="56" t="str">
        <f t="shared" si="30"/>
        <v>66</v>
      </c>
      <c r="Y971" s="55" t="e">
        <f t="shared" si="31"/>
        <v>#N/A</v>
      </c>
    </row>
    <row r="972" spans="1:25" x14ac:dyDescent="0.3">
      <c r="A972" s="55" t="s">
        <v>918</v>
      </c>
      <c r="V972" s="56" t="s">
        <v>918</v>
      </c>
      <c r="W972" s="56" t="str">
        <f t="shared" si="30"/>
        <v>66</v>
      </c>
      <c r="Y972" s="55" t="e">
        <f t="shared" si="31"/>
        <v>#N/A</v>
      </c>
    </row>
    <row r="973" spans="1:25" x14ac:dyDescent="0.3">
      <c r="A973" s="55" t="s">
        <v>918</v>
      </c>
      <c r="V973" s="56" t="s">
        <v>918</v>
      </c>
      <c r="W973" s="56" t="str">
        <f t="shared" si="30"/>
        <v>66</v>
      </c>
      <c r="Y973" s="55" t="e">
        <f t="shared" si="31"/>
        <v>#N/A</v>
      </c>
    </row>
    <row r="974" spans="1:25" x14ac:dyDescent="0.3">
      <c r="A974" s="55" t="s">
        <v>918</v>
      </c>
      <c r="V974" s="56" t="s">
        <v>918</v>
      </c>
      <c r="W974" s="56" t="str">
        <f t="shared" si="30"/>
        <v>66</v>
      </c>
      <c r="Y974" s="55" t="e">
        <f t="shared" si="31"/>
        <v>#N/A</v>
      </c>
    </row>
    <row r="975" spans="1:25" x14ac:dyDescent="0.3">
      <c r="A975" s="55" t="s">
        <v>918</v>
      </c>
      <c r="V975" s="56" t="s">
        <v>918</v>
      </c>
      <c r="W975" s="56" t="str">
        <f t="shared" si="30"/>
        <v>66</v>
      </c>
      <c r="Y975" s="55" t="e">
        <f t="shared" si="31"/>
        <v>#N/A</v>
      </c>
    </row>
    <row r="976" spans="1:25" x14ac:dyDescent="0.3">
      <c r="A976" s="55" t="s">
        <v>918</v>
      </c>
      <c r="V976" s="56" t="s">
        <v>918</v>
      </c>
      <c r="W976" s="56" t="str">
        <f t="shared" si="30"/>
        <v>66</v>
      </c>
      <c r="Y976" s="55" t="e">
        <f t="shared" si="31"/>
        <v>#N/A</v>
      </c>
    </row>
    <row r="977" spans="1:25" x14ac:dyDescent="0.3">
      <c r="A977" s="55" t="s">
        <v>918</v>
      </c>
      <c r="V977" s="56" t="s">
        <v>918</v>
      </c>
      <c r="W977" s="56" t="str">
        <f t="shared" si="30"/>
        <v>66</v>
      </c>
      <c r="Y977" s="55" t="e">
        <f t="shared" si="31"/>
        <v>#N/A</v>
      </c>
    </row>
    <row r="978" spans="1:25" x14ac:dyDescent="0.3">
      <c r="A978" s="55" t="s">
        <v>918</v>
      </c>
      <c r="V978" s="56" t="s">
        <v>918</v>
      </c>
      <c r="W978" s="56" t="str">
        <f t="shared" si="30"/>
        <v>66</v>
      </c>
      <c r="Y978" s="55" t="e">
        <f t="shared" si="31"/>
        <v>#N/A</v>
      </c>
    </row>
    <row r="979" spans="1:25" x14ac:dyDescent="0.3">
      <c r="A979" s="55" t="s">
        <v>918</v>
      </c>
      <c r="V979" s="56" t="s">
        <v>918</v>
      </c>
      <c r="W979" s="56" t="str">
        <f t="shared" si="30"/>
        <v>66</v>
      </c>
      <c r="Y979" s="55" t="e">
        <f t="shared" si="31"/>
        <v>#N/A</v>
      </c>
    </row>
    <row r="980" spans="1:25" x14ac:dyDescent="0.3">
      <c r="A980" s="55" t="s">
        <v>919</v>
      </c>
      <c r="V980" s="56" t="s">
        <v>919</v>
      </c>
      <c r="W980" s="56" t="str">
        <f t="shared" si="30"/>
        <v>66</v>
      </c>
      <c r="Y980" s="55" t="e">
        <f t="shared" si="31"/>
        <v>#N/A</v>
      </c>
    </row>
    <row r="981" spans="1:25" x14ac:dyDescent="0.3">
      <c r="A981" s="55" t="s">
        <v>919</v>
      </c>
      <c r="V981" s="56" t="s">
        <v>919</v>
      </c>
      <c r="W981" s="56" t="str">
        <f t="shared" si="30"/>
        <v>66</v>
      </c>
      <c r="Y981" s="55" t="e">
        <f t="shared" si="31"/>
        <v>#N/A</v>
      </c>
    </row>
    <row r="982" spans="1:25" x14ac:dyDescent="0.3">
      <c r="A982" s="55" t="s">
        <v>920</v>
      </c>
      <c r="V982" s="56" t="s">
        <v>920</v>
      </c>
      <c r="W982" s="56" t="str">
        <f t="shared" si="30"/>
        <v>66</v>
      </c>
      <c r="Y982" s="55" t="e">
        <f t="shared" si="31"/>
        <v>#N/A</v>
      </c>
    </row>
    <row r="983" spans="1:25" x14ac:dyDescent="0.3">
      <c r="A983" s="55" t="s">
        <v>921</v>
      </c>
      <c r="V983" s="56" t="s">
        <v>921</v>
      </c>
      <c r="W983" s="56" t="str">
        <f t="shared" si="30"/>
        <v>66</v>
      </c>
      <c r="Y983" s="55" t="e">
        <f t="shared" si="31"/>
        <v>#N/A</v>
      </c>
    </row>
    <row r="984" spans="1:25" x14ac:dyDescent="0.3">
      <c r="A984" s="55" t="s">
        <v>922</v>
      </c>
      <c r="V984" s="56" t="s">
        <v>922</v>
      </c>
      <c r="W984" s="56" t="str">
        <f t="shared" si="30"/>
        <v>66</v>
      </c>
      <c r="Y984" s="55" t="e">
        <f t="shared" si="31"/>
        <v>#N/A</v>
      </c>
    </row>
    <row r="985" spans="1:25" x14ac:dyDescent="0.3">
      <c r="A985" s="55" t="s">
        <v>922</v>
      </c>
      <c r="V985" s="56" t="s">
        <v>922</v>
      </c>
      <c r="W985" s="56" t="str">
        <f t="shared" si="30"/>
        <v>66</v>
      </c>
      <c r="Y985" s="55" t="e">
        <f t="shared" si="31"/>
        <v>#N/A</v>
      </c>
    </row>
    <row r="986" spans="1:25" x14ac:dyDescent="0.3">
      <c r="A986" s="55" t="s">
        <v>922</v>
      </c>
      <c r="V986" s="56" t="s">
        <v>922</v>
      </c>
      <c r="W986" s="56" t="str">
        <f t="shared" si="30"/>
        <v>66</v>
      </c>
      <c r="Y986" s="55" t="e">
        <f t="shared" si="31"/>
        <v>#N/A</v>
      </c>
    </row>
    <row r="987" spans="1:25" x14ac:dyDescent="0.3">
      <c r="A987" s="55" t="s">
        <v>922</v>
      </c>
      <c r="V987" s="56" t="s">
        <v>922</v>
      </c>
      <c r="W987" s="56" t="str">
        <f t="shared" si="30"/>
        <v>66</v>
      </c>
      <c r="Y987" s="55" t="e">
        <f t="shared" si="31"/>
        <v>#N/A</v>
      </c>
    </row>
    <row r="988" spans="1:25" x14ac:dyDescent="0.3">
      <c r="A988" s="55" t="s">
        <v>922</v>
      </c>
      <c r="V988" s="56" t="s">
        <v>922</v>
      </c>
      <c r="W988" s="56" t="str">
        <f t="shared" si="30"/>
        <v>66</v>
      </c>
      <c r="Y988" s="55" t="e">
        <f t="shared" si="31"/>
        <v>#N/A</v>
      </c>
    </row>
    <row r="989" spans="1:25" x14ac:dyDescent="0.3">
      <c r="A989" s="55" t="s">
        <v>922</v>
      </c>
      <c r="V989" s="56" t="s">
        <v>922</v>
      </c>
      <c r="W989" s="56" t="str">
        <f t="shared" si="30"/>
        <v>66</v>
      </c>
      <c r="Y989" s="55" t="e">
        <f t="shared" si="31"/>
        <v>#N/A</v>
      </c>
    </row>
    <row r="990" spans="1:25" x14ac:dyDescent="0.3">
      <c r="A990" s="55" t="s">
        <v>922</v>
      </c>
      <c r="V990" s="56" t="s">
        <v>922</v>
      </c>
      <c r="W990" s="56" t="str">
        <f t="shared" si="30"/>
        <v>66</v>
      </c>
      <c r="Y990" s="55" t="e">
        <f t="shared" si="31"/>
        <v>#N/A</v>
      </c>
    </row>
    <row r="991" spans="1:25" x14ac:dyDescent="0.3">
      <c r="A991" s="55" t="s">
        <v>922</v>
      </c>
      <c r="V991" s="56" t="s">
        <v>922</v>
      </c>
      <c r="W991" s="56" t="str">
        <f t="shared" si="30"/>
        <v>66</v>
      </c>
      <c r="Y991" s="55" t="e">
        <f t="shared" si="31"/>
        <v>#N/A</v>
      </c>
    </row>
    <row r="992" spans="1:25" x14ac:dyDescent="0.3">
      <c r="A992" s="55" t="s">
        <v>922</v>
      </c>
      <c r="V992" s="56" t="s">
        <v>922</v>
      </c>
      <c r="W992" s="56" t="str">
        <f t="shared" si="30"/>
        <v>66</v>
      </c>
      <c r="Y992" s="55" t="e">
        <f t="shared" si="31"/>
        <v>#N/A</v>
      </c>
    </row>
    <row r="993" spans="1:25" x14ac:dyDescent="0.3">
      <c r="A993" s="55" t="s">
        <v>922</v>
      </c>
      <c r="V993" s="56" t="s">
        <v>922</v>
      </c>
      <c r="W993" s="56" t="str">
        <f t="shared" si="30"/>
        <v>66</v>
      </c>
      <c r="Y993" s="55" t="e">
        <f t="shared" si="31"/>
        <v>#N/A</v>
      </c>
    </row>
    <row r="994" spans="1:25" x14ac:dyDescent="0.3">
      <c r="A994" s="55" t="s">
        <v>922</v>
      </c>
      <c r="V994" s="56" t="s">
        <v>922</v>
      </c>
      <c r="W994" s="56" t="str">
        <f t="shared" si="30"/>
        <v>66</v>
      </c>
      <c r="Y994" s="55" t="e">
        <f t="shared" si="31"/>
        <v>#N/A</v>
      </c>
    </row>
    <row r="995" spans="1:25" x14ac:dyDescent="0.3">
      <c r="A995" s="55" t="s">
        <v>923</v>
      </c>
      <c r="V995" s="56" t="s">
        <v>923</v>
      </c>
      <c r="W995" s="56" t="str">
        <f t="shared" si="30"/>
        <v>66</v>
      </c>
      <c r="Y995" s="55" t="e">
        <f t="shared" si="31"/>
        <v>#N/A</v>
      </c>
    </row>
    <row r="996" spans="1:25" x14ac:dyDescent="0.3">
      <c r="A996" s="55" t="s">
        <v>923</v>
      </c>
      <c r="V996" s="56" t="s">
        <v>923</v>
      </c>
      <c r="W996" s="56" t="str">
        <f t="shared" si="30"/>
        <v>66</v>
      </c>
      <c r="Y996" s="55" t="e">
        <f t="shared" si="31"/>
        <v>#N/A</v>
      </c>
    </row>
    <row r="997" spans="1:25" x14ac:dyDescent="0.3">
      <c r="A997" s="55" t="s">
        <v>923</v>
      </c>
      <c r="V997" s="56" t="s">
        <v>923</v>
      </c>
      <c r="W997" s="56" t="str">
        <f t="shared" si="30"/>
        <v>66</v>
      </c>
      <c r="Y997" s="55" t="e">
        <f t="shared" si="31"/>
        <v>#N/A</v>
      </c>
    </row>
    <row r="998" spans="1:25" x14ac:dyDescent="0.3">
      <c r="A998" s="55" t="s">
        <v>924</v>
      </c>
      <c r="V998" s="56" t="s">
        <v>924</v>
      </c>
      <c r="W998" s="56" t="str">
        <f t="shared" si="30"/>
        <v>66</v>
      </c>
      <c r="Y998" s="55" t="e">
        <f t="shared" si="31"/>
        <v>#N/A</v>
      </c>
    </row>
    <row r="999" spans="1:25" x14ac:dyDescent="0.3">
      <c r="A999" s="55" t="s">
        <v>925</v>
      </c>
      <c r="V999" s="56" t="s">
        <v>925</v>
      </c>
      <c r="W999" s="56" t="str">
        <f t="shared" si="30"/>
        <v>66</v>
      </c>
      <c r="Y999" s="55" t="e">
        <f t="shared" si="31"/>
        <v>#N/A</v>
      </c>
    </row>
    <row r="1000" spans="1:25" x14ac:dyDescent="0.3">
      <c r="A1000" s="55" t="s">
        <v>925</v>
      </c>
      <c r="V1000" s="56" t="s">
        <v>925</v>
      </c>
      <c r="W1000" s="56" t="str">
        <f t="shared" si="30"/>
        <v>66</v>
      </c>
      <c r="Y1000" s="55" t="e">
        <f t="shared" si="31"/>
        <v>#N/A</v>
      </c>
    </row>
    <row r="1001" spans="1:25" x14ac:dyDescent="0.3">
      <c r="A1001" s="55" t="s">
        <v>925</v>
      </c>
      <c r="V1001" s="56" t="s">
        <v>925</v>
      </c>
      <c r="W1001" s="56" t="str">
        <f t="shared" si="30"/>
        <v>66</v>
      </c>
      <c r="Y1001" s="55" t="e">
        <f t="shared" si="31"/>
        <v>#N/A</v>
      </c>
    </row>
    <row r="1002" spans="1:25" x14ac:dyDescent="0.3">
      <c r="A1002" s="55" t="s">
        <v>925</v>
      </c>
      <c r="V1002" s="56" t="s">
        <v>925</v>
      </c>
      <c r="W1002" s="56" t="str">
        <f t="shared" si="30"/>
        <v>66</v>
      </c>
      <c r="Y1002" s="55" t="e">
        <f t="shared" si="31"/>
        <v>#N/A</v>
      </c>
    </row>
    <row r="1003" spans="1:25" x14ac:dyDescent="0.3">
      <c r="A1003" s="55" t="s">
        <v>925</v>
      </c>
      <c r="V1003" s="56" t="s">
        <v>925</v>
      </c>
      <c r="W1003" s="56" t="str">
        <f t="shared" si="30"/>
        <v>66</v>
      </c>
      <c r="Y1003" s="55" t="e">
        <f t="shared" si="31"/>
        <v>#N/A</v>
      </c>
    </row>
    <row r="1004" spans="1:25" x14ac:dyDescent="0.3">
      <c r="A1004" s="55" t="s">
        <v>925</v>
      </c>
      <c r="V1004" s="56" t="s">
        <v>925</v>
      </c>
      <c r="W1004" s="56" t="str">
        <f t="shared" si="30"/>
        <v>66</v>
      </c>
      <c r="Y1004" s="55" t="e">
        <f t="shared" si="31"/>
        <v>#N/A</v>
      </c>
    </row>
    <row r="1005" spans="1:25" x14ac:dyDescent="0.3">
      <c r="A1005" s="55" t="s">
        <v>925</v>
      </c>
      <c r="V1005" s="56" t="s">
        <v>925</v>
      </c>
      <c r="W1005" s="56" t="str">
        <f t="shared" si="30"/>
        <v>66</v>
      </c>
      <c r="Y1005" s="55" t="e">
        <f t="shared" si="31"/>
        <v>#N/A</v>
      </c>
    </row>
    <row r="1006" spans="1:25" x14ac:dyDescent="0.3">
      <c r="A1006" s="55" t="s">
        <v>925</v>
      </c>
      <c r="V1006" s="56" t="s">
        <v>925</v>
      </c>
      <c r="W1006" s="56" t="str">
        <f t="shared" si="30"/>
        <v>66</v>
      </c>
      <c r="Y1006" s="55" t="e">
        <f t="shared" si="31"/>
        <v>#N/A</v>
      </c>
    </row>
    <row r="1007" spans="1:25" x14ac:dyDescent="0.3">
      <c r="A1007" s="55" t="s">
        <v>925</v>
      </c>
      <c r="V1007" s="56" t="s">
        <v>925</v>
      </c>
      <c r="W1007" s="56" t="str">
        <f t="shared" si="30"/>
        <v>66</v>
      </c>
      <c r="Y1007" s="55" t="e">
        <f t="shared" si="31"/>
        <v>#N/A</v>
      </c>
    </row>
    <row r="1008" spans="1:25" x14ac:dyDescent="0.3">
      <c r="A1008" s="55" t="s">
        <v>925</v>
      </c>
      <c r="V1008" s="56" t="s">
        <v>925</v>
      </c>
      <c r="W1008" s="56" t="str">
        <f t="shared" si="30"/>
        <v>66</v>
      </c>
      <c r="Y1008" s="55" t="e">
        <f t="shared" si="31"/>
        <v>#N/A</v>
      </c>
    </row>
    <row r="1009" spans="1:25" x14ac:dyDescent="0.3">
      <c r="A1009" s="55" t="s">
        <v>925</v>
      </c>
      <c r="V1009" s="56" t="s">
        <v>925</v>
      </c>
      <c r="W1009" s="56" t="str">
        <f t="shared" si="30"/>
        <v>66</v>
      </c>
      <c r="Y1009" s="55" t="e">
        <f t="shared" si="31"/>
        <v>#N/A</v>
      </c>
    </row>
    <row r="1010" spans="1:25" x14ac:dyDescent="0.3">
      <c r="A1010" s="55" t="s">
        <v>925</v>
      </c>
      <c r="V1010" s="56" t="s">
        <v>925</v>
      </c>
      <c r="W1010" s="56" t="str">
        <f t="shared" si="30"/>
        <v>66</v>
      </c>
      <c r="Y1010" s="55" t="e">
        <f t="shared" si="31"/>
        <v>#N/A</v>
      </c>
    </row>
    <row r="1011" spans="1:25" x14ac:dyDescent="0.3">
      <c r="A1011" s="55" t="s">
        <v>925</v>
      </c>
      <c r="V1011" s="56" t="s">
        <v>925</v>
      </c>
      <c r="W1011" s="56" t="str">
        <f t="shared" si="30"/>
        <v>66</v>
      </c>
      <c r="Y1011" s="55" t="e">
        <f t="shared" si="31"/>
        <v>#N/A</v>
      </c>
    </row>
    <row r="1012" spans="1:25" x14ac:dyDescent="0.3">
      <c r="A1012" s="55" t="s">
        <v>926</v>
      </c>
      <c r="V1012" s="56" t="s">
        <v>926</v>
      </c>
      <c r="W1012" s="56" t="str">
        <f t="shared" si="30"/>
        <v>66</v>
      </c>
      <c r="Y1012" s="55" t="e">
        <f t="shared" si="31"/>
        <v>#N/A</v>
      </c>
    </row>
    <row r="1013" spans="1:25" x14ac:dyDescent="0.3">
      <c r="A1013" s="55" t="s">
        <v>927</v>
      </c>
      <c r="V1013" s="56" t="s">
        <v>927</v>
      </c>
      <c r="W1013" s="56" t="str">
        <f t="shared" si="30"/>
        <v>66</v>
      </c>
      <c r="Y1013" s="55" t="e">
        <f t="shared" si="31"/>
        <v>#N/A</v>
      </c>
    </row>
    <row r="1014" spans="1:25" x14ac:dyDescent="0.3">
      <c r="A1014" s="55" t="s">
        <v>927</v>
      </c>
      <c r="V1014" s="56" t="s">
        <v>927</v>
      </c>
      <c r="W1014" s="56" t="str">
        <f t="shared" si="30"/>
        <v>66</v>
      </c>
      <c r="Y1014" s="55" t="e">
        <f t="shared" si="31"/>
        <v>#N/A</v>
      </c>
    </row>
    <row r="1015" spans="1:25" x14ac:dyDescent="0.3">
      <c r="A1015" s="55" t="s">
        <v>928</v>
      </c>
      <c r="V1015" s="56" t="s">
        <v>928</v>
      </c>
      <c r="W1015" s="56" t="str">
        <f t="shared" si="30"/>
        <v>66</v>
      </c>
      <c r="Y1015" s="55" t="e">
        <f t="shared" si="31"/>
        <v>#N/A</v>
      </c>
    </row>
    <row r="1016" spans="1:25" x14ac:dyDescent="0.3">
      <c r="A1016" s="55" t="s">
        <v>929</v>
      </c>
      <c r="V1016" s="56" t="s">
        <v>929</v>
      </c>
      <c r="W1016" s="56" t="str">
        <f t="shared" si="30"/>
        <v>66</v>
      </c>
      <c r="Y1016" s="55" t="e">
        <f t="shared" si="31"/>
        <v>#N/A</v>
      </c>
    </row>
    <row r="1017" spans="1:25" x14ac:dyDescent="0.3">
      <c r="A1017" s="55" t="s">
        <v>930</v>
      </c>
      <c r="V1017" s="56" t="s">
        <v>930</v>
      </c>
      <c r="W1017" s="56" t="str">
        <f t="shared" si="30"/>
        <v>66</v>
      </c>
      <c r="Y1017" s="55" t="e">
        <f t="shared" si="31"/>
        <v>#N/A</v>
      </c>
    </row>
    <row r="1018" spans="1:25" x14ac:dyDescent="0.3">
      <c r="A1018" s="55" t="s">
        <v>931</v>
      </c>
      <c r="V1018" s="56" t="s">
        <v>931</v>
      </c>
      <c r="W1018" s="56" t="str">
        <f t="shared" si="30"/>
        <v>66</v>
      </c>
      <c r="Y1018" s="55" t="e">
        <f t="shared" si="31"/>
        <v>#N/A</v>
      </c>
    </row>
    <row r="1019" spans="1:25" x14ac:dyDescent="0.3">
      <c r="A1019" s="55" t="s">
        <v>931</v>
      </c>
      <c r="V1019" s="56" t="s">
        <v>931</v>
      </c>
      <c r="W1019" s="56" t="str">
        <f t="shared" si="30"/>
        <v>66</v>
      </c>
      <c r="Y1019" s="55" t="e">
        <f t="shared" si="31"/>
        <v>#N/A</v>
      </c>
    </row>
    <row r="1020" spans="1:25" x14ac:dyDescent="0.3">
      <c r="A1020" s="55" t="s">
        <v>931</v>
      </c>
      <c r="V1020" s="56" t="s">
        <v>931</v>
      </c>
      <c r="W1020" s="56" t="str">
        <f t="shared" si="30"/>
        <v>66</v>
      </c>
      <c r="Y1020" s="55" t="e">
        <f t="shared" si="31"/>
        <v>#N/A</v>
      </c>
    </row>
    <row r="1021" spans="1:25" x14ac:dyDescent="0.3">
      <c r="A1021" s="55" t="s">
        <v>931</v>
      </c>
      <c r="V1021" s="56" t="s">
        <v>931</v>
      </c>
      <c r="W1021" s="56" t="str">
        <f t="shared" si="30"/>
        <v>66</v>
      </c>
      <c r="Y1021" s="55" t="e">
        <f t="shared" si="31"/>
        <v>#N/A</v>
      </c>
    </row>
    <row r="1022" spans="1:25" x14ac:dyDescent="0.3">
      <c r="A1022" s="55" t="s">
        <v>931</v>
      </c>
      <c r="V1022" s="56" t="s">
        <v>931</v>
      </c>
      <c r="W1022" s="56" t="str">
        <f t="shared" si="30"/>
        <v>66</v>
      </c>
      <c r="Y1022" s="55" t="e">
        <f t="shared" si="31"/>
        <v>#N/A</v>
      </c>
    </row>
    <row r="1023" spans="1:25" x14ac:dyDescent="0.3">
      <c r="A1023" s="55" t="s">
        <v>931</v>
      </c>
      <c r="V1023" s="56" t="s">
        <v>931</v>
      </c>
      <c r="W1023" s="56" t="str">
        <f t="shared" si="30"/>
        <v>66</v>
      </c>
      <c r="Y1023" s="55" t="e">
        <f t="shared" si="31"/>
        <v>#N/A</v>
      </c>
    </row>
    <row r="1024" spans="1:25" x14ac:dyDescent="0.3">
      <c r="A1024" s="55" t="s">
        <v>931</v>
      </c>
      <c r="V1024" s="56" t="s">
        <v>931</v>
      </c>
      <c r="W1024" s="56" t="str">
        <f t="shared" si="30"/>
        <v>66</v>
      </c>
      <c r="Y1024" s="55" t="e">
        <f t="shared" si="31"/>
        <v>#N/A</v>
      </c>
    </row>
    <row r="1025" spans="1:25" x14ac:dyDescent="0.3">
      <c r="A1025" s="55" t="s">
        <v>931</v>
      </c>
      <c r="V1025" s="56" t="s">
        <v>931</v>
      </c>
      <c r="W1025" s="56" t="str">
        <f t="shared" si="30"/>
        <v>66</v>
      </c>
      <c r="Y1025" s="55" t="e">
        <f t="shared" si="31"/>
        <v>#N/A</v>
      </c>
    </row>
    <row r="1026" spans="1:25" x14ac:dyDescent="0.3">
      <c r="A1026" s="55" t="s">
        <v>931</v>
      </c>
      <c r="V1026" s="56" t="s">
        <v>931</v>
      </c>
      <c r="W1026" s="56" t="str">
        <f t="shared" si="30"/>
        <v>66</v>
      </c>
      <c r="Y1026" s="55" t="e">
        <f t="shared" si="31"/>
        <v>#N/A</v>
      </c>
    </row>
    <row r="1027" spans="1:25" x14ac:dyDescent="0.3">
      <c r="A1027" s="55" t="s">
        <v>931</v>
      </c>
      <c r="V1027" s="56" t="s">
        <v>931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1:25" x14ac:dyDescent="0.3">
      <c r="A1028" s="55" t="s">
        <v>931</v>
      </c>
      <c r="V1028" s="56" t="s">
        <v>931</v>
      </c>
      <c r="W1028" s="56" t="str">
        <f t="shared" si="32"/>
        <v>66</v>
      </c>
      <c r="Y1028" s="55" t="e">
        <f t="shared" si="33"/>
        <v>#N/A</v>
      </c>
    </row>
    <row r="1029" spans="1:25" x14ac:dyDescent="0.3">
      <c r="A1029" s="55" t="s">
        <v>932</v>
      </c>
      <c r="V1029" s="56" t="s">
        <v>932</v>
      </c>
      <c r="W1029" s="56" t="str">
        <f t="shared" si="32"/>
        <v>66</v>
      </c>
      <c r="Y1029" s="55" t="e">
        <f t="shared" si="33"/>
        <v>#N/A</v>
      </c>
    </row>
    <row r="1030" spans="1:25" x14ac:dyDescent="0.3">
      <c r="A1030" s="55" t="s">
        <v>933</v>
      </c>
      <c r="V1030" s="56" t="s">
        <v>933</v>
      </c>
      <c r="W1030" s="56" t="str">
        <f t="shared" si="32"/>
        <v>66</v>
      </c>
      <c r="Y1030" s="55" t="e">
        <f t="shared" si="33"/>
        <v>#N/A</v>
      </c>
    </row>
    <row r="1031" spans="1:25" x14ac:dyDescent="0.3">
      <c r="A1031" s="55" t="s">
        <v>934</v>
      </c>
      <c r="V1031" s="56" t="s">
        <v>934</v>
      </c>
      <c r="W1031" s="56" t="str">
        <f t="shared" si="32"/>
        <v>66</v>
      </c>
      <c r="Y1031" s="55" t="e">
        <f t="shared" si="33"/>
        <v>#N/A</v>
      </c>
    </row>
    <row r="1032" spans="1:25" x14ac:dyDescent="0.3">
      <c r="A1032" s="55" t="s">
        <v>935</v>
      </c>
      <c r="V1032" s="56" t="s">
        <v>935</v>
      </c>
      <c r="W1032" s="56" t="str">
        <f t="shared" si="32"/>
        <v>66</v>
      </c>
      <c r="Y1032" s="55" t="e">
        <f t="shared" si="33"/>
        <v>#N/A</v>
      </c>
    </row>
    <row r="1033" spans="1:25" x14ac:dyDescent="0.3">
      <c r="A1033" s="55" t="s">
        <v>936</v>
      </c>
      <c r="V1033" s="56" t="s">
        <v>936</v>
      </c>
      <c r="W1033" s="56" t="str">
        <f t="shared" si="32"/>
        <v>66</v>
      </c>
      <c r="Y1033" s="55" t="e">
        <f t="shared" si="33"/>
        <v>#N/A</v>
      </c>
    </row>
    <row r="1034" spans="1:25" x14ac:dyDescent="0.3">
      <c r="A1034" s="55" t="s">
        <v>937</v>
      </c>
      <c r="V1034" s="56" t="s">
        <v>937</v>
      </c>
      <c r="W1034" s="56" t="str">
        <f t="shared" si="32"/>
        <v>66</v>
      </c>
      <c r="Y1034" s="55" t="e">
        <f t="shared" si="33"/>
        <v>#N/A</v>
      </c>
    </row>
    <row r="1035" spans="1:25" x14ac:dyDescent="0.3">
      <c r="A1035" s="55" t="s">
        <v>938</v>
      </c>
      <c r="V1035" s="56" t="s">
        <v>938</v>
      </c>
      <c r="W1035" s="56" t="str">
        <f t="shared" si="32"/>
        <v>66</v>
      </c>
      <c r="Y1035" s="55" t="e">
        <f t="shared" si="33"/>
        <v>#N/A</v>
      </c>
    </row>
    <row r="1036" spans="1:25" x14ac:dyDescent="0.3">
      <c r="A1036" s="55" t="s">
        <v>939</v>
      </c>
      <c r="V1036" s="56" t="s">
        <v>939</v>
      </c>
      <c r="W1036" s="56" t="str">
        <f t="shared" si="32"/>
        <v>66</v>
      </c>
      <c r="Y1036" s="55" t="e">
        <f t="shared" si="33"/>
        <v>#N/A</v>
      </c>
    </row>
    <row r="1037" spans="1:25" x14ac:dyDescent="0.3">
      <c r="A1037" s="55" t="s">
        <v>939</v>
      </c>
      <c r="V1037" s="56" t="s">
        <v>939</v>
      </c>
      <c r="W1037" s="56" t="str">
        <f t="shared" si="32"/>
        <v>66</v>
      </c>
      <c r="Y1037" s="55" t="e">
        <f t="shared" si="33"/>
        <v>#N/A</v>
      </c>
    </row>
    <row r="1038" spans="1:25" x14ac:dyDescent="0.3">
      <c r="A1038" s="55" t="s">
        <v>939</v>
      </c>
      <c r="V1038" s="56" t="s">
        <v>939</v>
      </c>
      <c r="W1038" s="56" t="str">
        <f t="shared" si="32"/>
        <v>66</v>
      </c>
      <c r="Y1038" s="55" t="e">
        <f t="shared" si="33"/>
        <v>#N/A</v>
      </c>
    </row>
    <row r="1039" spans="1:25" x14ac:dyDescent="0.3">
      <c r="A1039" s="55" t="s">
        <v>939</v>
      </c>
      <c r="V1039" s="56" t="s">
        <v>939</v>
      </c>
      <c r="W1039" s="56" t="str">
        <f t="shared" si="32"/>
        <v>66</v>
      </c>
      <c r="Y1039" s="55" t="e">
        <f t="shared" si="33"/>
        <v>#N/A</v>
      </c>
    </row>
    <row r="1040" spans="1:25" x14ac:dyDescent="0.3">
      <c r="A1040" s="55" t="s">
        <v>939</v>
      </c>
      <c r="V1040" s="56" t="s">
        <v>939</v>
      </c>
      <c r="W1040" s="56" t="str">
        <f t="shared" si="32"/>
        <v>66</v>
      </c>
      <c r="Y1040" s="55" t="e">
        <f t="shared" si="33"/>
        <v>#N/A</v>
      </c>
    </row>
    <row r="1041" spans="1:25" x14ac:dyDescent="0.3">
      <c r="A1041" s="55" t="s">
        <v>939</v>
      </c>
      <c r="V1041" s="56" t="s">
        <v>939</v>
      </c>
      <c r="W1041" s="56" t="str">
        <f t="shared" si="32"/>
        <v>66</v>
      </c>
      <c r="Y1041" s="55" t="e">
        <f t="shared" si="33"/>
        <v>#N/A</v>
      </c>
    </row>
    <row r="1042" spans="1:25" x14ac:dyDescent="0.3">
      <c r="A1042" s="55" t="s">
        <v>939</v>
      </c>
      <c r="V1042" s="56" t="s">
        <v>939</v>
      </c>
      <c r="W1042" s="56" t="str">
        <f t="shared" si="32"/>
        <v>66</v>
      </c>
      <c r="Y1042" s="55" t="e">
        <f t="shared" si="33"/>
        <v>#N/A</v>
      </c>
    </row>
    <row r="1043" spans="1:25" x14ac:dyDescent="0.3">
      <c r="A1043" s="55" t="s">
        <v>939</v>
      </c>
      <c r="V1043" s="56" t="s">
        <v>939</v>
      </c>
      <c r="W1043" s="56" t="str">
        <f t="shared" si="32"/>
        <v>66</v>
      </c>
      <c r="Y1043" s="55" t="e">
        <f t="shared" si="33"/>
        <v>#N/A</v>
      </c>
    </row>
    <row r="1044" spans="1:25" x14ac:dyDescent="0.3">
      <c r="A1044" s="55" t="s">
        <v>939</v>
      </c>
      <c r="V1044" s="56" t="s">
        <v>939</v>
      </c>
      <c r="W1044" s="56" t="str">
        <f t="shared" si="32"/>
        <v>66</v>
      </c>
      <c r="Y1044" s="55" t="e">
        <f t="shared" si="33"/>
        <v>#N/A</v>
      </c>
    </row>
    <row r="1045" spans="1:25" x14ac:dyDescent="0.3">
      <c r="A1045" s="55" t="s">
        <v>939</v>
      </c>
      <c r="V1045" s="56" t="s">
        <v>939</v>
      </c>
      <c r="W1045" s="56" t="str">
        <f t="shared" si="32"/>
        <v>66</v>
      </c>
      <c r="Y1045" s="55" t="e">
        <f t="shared" si="33"/>
        <v>#N/A</v>
      </c>
    </row>
    <row r="1046" spans="1:25" x14ac:dyDescent="0.3">
      <c r="A1046" s="55" t="s">
        <v>939</v>
      </c>
      <c r="V1046" s="56" t="s">
        <v>939</v>
      </c>
      <c r="W1046" s="56" t="str">
        <f t="shared" si="32"/>
        <v>66</v>
      </c>
      <c r="Y1046" s="55" t="e">
        <f t="shared" si="33"/>
        <v>#N/A</v>
      </c>
    </row>
    <row r="1047" spans="1:25" x14ac:dyDescent="0.3">
      <c r="A1047" s="55" t="s">
        <v>940</v>
      </c>
      <c r="V1047" s="56" t="s">
        <v>940</v>
      </c>
      <c r="W1047" s="56" t="str">
        <f t="shared" si="32"/>
        <v>66</v>
      </c>
      <c r="Y1047" s="55" t="e">
        <f t="shared" si="33"/>
        <v>#N/A</v>
      </c>
    </row>
    <row r="1048" spans="1:25" x14ac:dyDescent="0.3">
      <c r="A1048" s="55" t="s">
        <v>941</v>
      </c>
      <c r="V1048" s="56" t="s">
        <v>941</v>
      </c>
      <c r="W1048" s="56" t="str">
        <f t="shared" si="32"/>
        <v>66</v>
      </c>
      <c r="Y1048" s="55" t="e">
        <f t="shared" si="33"/>
        <v>#N/A</v>
      </c>
    </row>
    <row r="1049" spans="1:25" x14ac:dyDescent="0.3">
      <c r="A1049" s="55" t="s">
        <v>942</v>
      </c>
      <c r="V1049" s="56" t="s">
        <v>942</v>
      </c>
      <c r="W1049" s="56" t="str">
        <f t="shared" si="32"/>
        <v>66</v>
      </c>
      <c r="Y1049" s="55" t="e">
        <f t="shared" si="33"/>
        <v>#N/A</v>
      </c>
    </row>
    <row r="1050" spans="1:25" x14ac:dyDescent="0.3">
      <c r="A1050" s="55" t="s">
        <v>943</v>
      </c>
      <c r="V1050" s="56" t="s">
        <v>943</v>
      </c>
      <c r="W1050" s="56" t="str">
        <f t="shared" si="32"/>
        <v>66</v>
      </c>
      <c r="Y1050" s="55" t="e">
        <f t="shared" si="33"/>
        <v>#N/A</v>
      </c>
    </row>
    <row r="1051" spans="1:25" x14ac:dyDescent="0.3">
      <c r="A1051" s="55" t="s">
        <v>944</v>
      </c>
      <c r="V1051" s="56" t="s">
        <v>944</v>
      </c>
      <c r="W1051" s="56" t="str">
        <f t="shared" si="32"/>
        <v>66</v>
      </c>
      <c r="Y1051" s="55" t="e">
        <f t="shared" si="33"/>
        <v>#N/A</v>
      </c>
    </row>
    <row r="1052" spans="1:25" x14ac:dyDescent="0.3">
      <c r="A1052" s="55" t="s">
        <v>945</v>
      </c>
      <c r="V1052" s="56" t="s">
        <v>945</v>
      </c>
      <c r="W1052" s="56" t="str">
        <f t="shared" si="32"/>
        <v>67</v>
      </c>
      <c r="Y1052" s="55" t="e">
        <f t="shared" si="33"/>
        <v>#N/A</v>
      </c>
    </row>
    <row r="1053" spans="1:25" x14ac:dyDescent="0.3">
      <c r="A1053" s="55" t="s">
        <v>946</v>
      </c>
      <c r="V1053" s="56" t="s">
        <v>946</v>
      </c>
      <c r="W1053" s="56" t="str">
        <f t="shared" si="32"/>
        <v>67</v>
      </c>
      <c r="Y1053" s="55" t="e">
        <f t="shared" si="33"/>
        <v>#N/A</v>
      </c>
    </row>
    <row r="1054" spans="1:25" x14ac:dyDescent="0.3">
      <c r="A1054" s="55" t="s">
        <v>947</v>
      </c>
      <c r="V1054" s="56" t="s">
        <v>947</v>
      </c>
      <c r="W1054" s="56" t="str">
        <f t="shared" si="32"/>
        <v>67</v>
      </c>
      <c r="Y1054" s="55" t="e">
        <f t="shared" si="33"/>
        <v>#N/A</v>
      </c>
    </row>
    <row r="1055" spans="1:25" x14ac:dyDescent="0.3">
      <c r="A1055" s="55" t="s">
        <v>948</v>
      </c>
      <c r="V1055" s="56" t="s">
        <v>948</v>
      </c>
      <c r="W1055" s="56" t="str">
        <f t="shared" si="32"/>
        <v>67</v>
      </c>
      <c r="Y1055" s="55" t="e">
        <f t="shared" si="33"/>
        <v>#N/A</v>
      </c>
    </row>
    <row r="1056" spans="1:25" x14ac:dyDescent="0.3">
      <c r="A1056" s="55" t="s">
        <v>949</v>
      </c>
      <c r="V1056" s="56" t="s">
        <v>949</v>
      </c>
      <c r="W1056" s="56" t="str">
        <f t="shared" si="32"/>
        <v>80</v>
      </c>
      <c r="Y1056" s="55" t="e">
        <f t="shared" si="33"/>
        <v>#N/A</v>
      </c>
    </row>
    <row r="1057" spans="1:25" x14ac:dyDescent="0.3">
      <c r="A1057" s="55" t="s">
        <v>950</v>
      </c>
      <c r="V1057" s="56" t="s">
        <v>950</v>
      </c>
      <c r="W1057" s="56" t="str">
        <f t="shared" si="32"/>
        <v>80</v>
      </c>
      <c r="Y1057" s="55" t="e">
        <f t="shared" si="33"/>
        <v>#N/A</v>
      </c>
    </row>
    <row r="1058" spans="1:25" x14ac:dyDescent="0.3">
      <c r="A1058" s="55" t="s">
        <v>951</v>
      </c>
      <c r="V1058" s="56" t="s">
        <v>951</v>
      </c>
      <c r="W1058" s="56" t="str">
        <f t="shared" si="32"/>
        <v>80</v>
      </c>
      <c r="Y1058" s="55" t="e">
        <f t="shared" si="33"/>
        <v>#N/A</v>
      </c>
    </row>
    <row r="1059" spans="1:25" x14ac:dyDescent="0.3">
      <c r="A1059" s="55" t="s">
        <v>952</v>
      </c>
      <c r="V1059" s="56" t="s">
        <v>952</v>
      </c>
      <c r="W1059" s="56" t="str">
        <f t="shared" si="32"/>
        <v>80</v>
      </c>
      <c r="Y1059" s="55" t="e">
        <f t="shared" si="33"/>
        <v>#N/A</v>
      </c>
    </row>
    <row r="1060" spans="1:25" x14ac:dyDescent="0.3">
      <c r="A1060" s="55" t="s">
        <v>953</v>
      </c>
      <c r="V1060" s="56" t="s">
        <v>953</v>
      </c>
      <c r="W1060" s="56" t="str">
        <f t="shared" si="32"/>
        <v>80</v>
      </c>
      <c r="Y1060" s="55" t="e">
        <f t="shared" si="33"/>
        <v>#N/A</v>
      </c>
    </row>
    <row r="1061" spans="1:25" x14ac:dyDescent="0.3">
      <c r="A1061" s="55" t="s">
        <v>954</v>
      </c>
      <c r="V1061" s="56" t="s">
        <v>954</v>
      </c>
      <c r="W1061" s="56" t="str">
        <f t="shared" si="32"/>
        <v>80</v>
      </c>
      <c r="Y1061" s="55" t="e">
        <f t="shared" si="33"/>
        <v>#N/A</v>
      </c>
    </row>
    <row r="1062" spans="1:25" x14ac:dyDescent="0.3">
      <c r="A1062" s="55" t="s">
        <v>955</v>
      </c>
      <c r="V1062" s="56" t="s">
        <v>955</v>
      </c>
      <c r="W1062" s="56" t="str">
        <f t="shared" si="32"/>
        <v>80</v>
      </c>
      <c r="Y1062" s="55" t="e">
        <f t="shared" si="33"/>
        <v>#N/A</v>
      </c>
    </row>
    <row r="1063" spans="1:25" x14ac:dyDescent="0.3">
      <c r="A1063" s="55" t="s">
        <v>955</v>
      </c>
      <c r="V1063" s="56" t="s">
        <v>955</v>
      </c>
      <c r="W1063" s="56" t="str">
        <f t="shared" si="32"/>
        <v>80</v>
      </c>
      <c r="Y1063" s="55" t="e">
        <f t="shared" si="33"/>
        <v>#N/A</v>
      </c>
    </row>
    <row r="1064" spans="1:25" x14ac:dyDescent="0.3">
      <c r="A1064" s="55" t="s">
        <v>956</v>
      </c>
      <c r="V1064" s="56" t="s">
        <v>956</v>
      </c>
      <c r="W1064" s="56" t="str">
        <f t="shared" si="32"/>
        <v>80</v>
      </c>
      <c r="Y1064" s="55" t="e">
        <f t="shared" si="33"/>
        <v>#N/A</v>
      </c>
    </row>
    <row r="1065" spans="1:25" x14ac:dyDescent="0.3">
      <c r="A1065" s="55" t="s">
        <v>957</v>
      </c>
      <c r="V1065" s="56" t="s">
        <v>957</v>
      </c>
      <c r="W1065" s="56" t="str">
        <f t="shared" si="32"/>
        <v>80</v>
      </c>
      <c r="Y1065" s="55" t="e">
        <f t="shared" si="33"/>
        <v>#N/A</v>
      </c>
    </row>
    <row r="1066" spans="1:25" x14ac:dyDescent="0.3">
      <c r="A1066" s="55" t="s">
        <v>958</v>
      </c>
      <c r="V1066" s="56" t="s">
        <v>958</v>
      </c>
      <c r="W1066" s="56" t="str">
        <f t="shared" si="32"/>
        <v>80</v>
      </c>
      <c r="Y1066" s="55" t="e">
        <f t="shared" si="33"/>
        <v>#N/A</v>
      </c>
    </row>
    <row r="1067" spans="1:25" x14ac:dyDescent="0.3">
      <c r="A1067" s="55" t="s">
        <v>959</v>
      </c>
      <c r="V1067" s="56" t="s">
        <v>959</v>
      </c>
      <c r="W1067" s="56" t="str">
        <f t="shared" si="32"/>
        <v>80</v>
      </c>
      <c r="Y1067" s="55" t="e">
        <f t="shared" si="33"/>
        <v>#N/A</v>
      </c>
    </row>
    <row r="1068" spans="1:25" x14ac:dyDescent="0.3">
      <c r="A1068" s="55" t="s">
        <v>960</v>
      </c>
      <c r="V1068" s="56" t="s">
        <v>960</v>
      </c>
      <c r="W1068" s="56" t="str">
        <f t="shared" si="32"/>
        <v>83</v>
      </c>
      <c r="Y1068" s="55" t="e">
        <f t="shared" si="33"/>
        <v>#N/A</v>
      </c>
    </row>
    <row r="1069" spans="1:25" x14ac:dyDescent="0.3">
      <c r="A1069" s="55" t="s">
        <v>961</v>
      </c>
      <c r="V1069" s="56" t="s">
        <v>961</v>
      </c>
      <c r="W1069" s="56" t="str">
        <f t="shared" si="32"/>
        <v>83</v>
      </c>
      <c r="Y1069" s="55" t="e">
        <f t="shared" si="33"/>
        <v>#N/A</v>
      </c>
    </row>
    <row r="1070" spans="1:25" x14ac:dyDescent="0.3">
      <c r="A1070" s="55" t="s">
        <v>962</v>
      </c>
      <c r="V1070" s="56" t="s">
        <v>962</v>
      </c>
      <c r="W1070" s="56" t="str">
        <f t="shared" si="32"/>
        <v>83</v>
      </c>
      <c r="Y1070" s="55" t="e">
        <f t="shared" si="33"/>
        <v>#N/A</v>
      </c>
    </row>
    <row r="1071" spans="1:25" x14ac:dyDescent="0.3">
      <c r="A1071" s="55" t="s">
        <v>962</v>
      </c>
      <c r="V1071" s="56" t="s">
        <v>962</v>
      </c>
      <c r="W1071" s="56" t="str">
        <f t="shared" si="32"/>
        <v>83</v>
      </c>
      <c r="Y1071" s="55" t="e">
        <f t="shared" si="33"/>
        <v>#N/A</v>
      </c>
    </row>
    <row r="1072" spans="1:25" x14ac:dyDescent="0.3">
      <c r="A1072" s="55" t="s">
        <v>963</v>
      </c>
      <c r="V1072" s="56" t="s">
        <v>963</v>
      </c>
      <c r="W1072" s="56" t="str">
        <f t="shared" si="32"/>
        <v>83</v>
      </c>
      <c r="Y1072" s="55" t="e">
        <f t="shared" si="33"/>
        <v>#N/A</v>
      </c>
    </row>
    <row r="1073" spans="1:25" x14ac:dyDescent="0.3">
      <c r="A1073" s="55" t="s">
        <v>964</v>
      </c>
      <c r="V1073" s="56" t="s">
        <v>964</v>
      </c>
      <c r="W1073" s="56" t="str">
        <f t="shared" si="32"/>
        <v>83</v>
      </c>
      <c r="Y1073" s="55" t="e">
        <f t="shared" si="33"/>
        <v>#N/A</v>
      </c>
    </row>
    <row r="1074" spans="1:25" x14ac:dyDescent="0.3">
      <c r="A1074" s="55" t="s">
        <v>965</v>
      </c>
      <c r="V1074" s="56" t="s">
        <v>965</v>
      </c>
      <c r="W1074" s="56" t="str">
        <f t="shared" si="32"/>
        <v>83</v>
      </c>
      <c r="Y1074" s="55" t="e">
        <f t="shared" si="33"/>
        <v>#N/A</v>
      </c>
    </row>
    <row r="1075" spans="1:25" x14ac:dyDescent="0.3">
      <c r="A1075" s="55" t="s">
        <v>966</v>
      </c>
      <c r="V1075" s="56" t="s">
        <v>966</v>
      </c>
      <c r="W1075" s="56" t="str">
        <f t="shared" si="32"/>
        <v>83</v>
      </c>
      <c r="Y1075" s="55" t="e">
        <f t="shared" si="33"/>
        <v>#N/A</v>
      </c>
    </row>
    <row r="1076" spans="1:25" x14ac:dyDescent="0.3">
      <c r="A1076" s="55" t="s">
        <v>967</v>
      </c>
      <c r="V1076" s="56" t="s">
        <v>967</v>
      </c>
      <c r="W1076" s="56" t="str">
        <f t="shared" si="32"/>
        <v>83</v>
      </c>
      <c r="Y1076" s="55" t="e">
        <f t="shared" si="33"/>
        <v>#N/A</v>
      </c>
    </row>
    <row r="1077" spans="1:25" x14ac:dyDescent="0.3">
      <c r="A1077" s="55" t="s">
        <v>967</v>
      </c>
      <c r="V1077" s="56" t="s">
        <v>967</v>
      </c>
      <c r="W1077" s="56" t="str">
        <f t="shared" si="32"/>
        <v>83</v>
      </c>
      <c r="Y1077" s="55" t="e">
        <f t="shared" si="33"/>
        <v>#N/A</v>
      </c>
    </row>
    <row r="1078" spans="1:25" x14ac:dyDescent="0.3">
      <c r="A1078" s="55" t="s">
        <v>968</v>
      </c>
      <c r="V1078" s="56" t="s">
        <v>968</v>
      </c>
      <c r="W1078" s="56" t="str">
        <f t="shared" si="32"/>
        <v>83</v>
      </c>
      <c r="Y1078" s="55" t="e">
        <f t="shared" si="33"/>
        <v>#N/A</v>
      </c>
    </row>
    <row r="1079" spans="1:25" x14ac:dyDescent="0.3">
      <c r="A1079" s="55" t="s">
        <v>969</v>
      </c>
      <c r="V1079" s="56" t="s">
        <v>969</v>
      </c>
      <c r="W1079" s="56" t="str">
        <f t="shared" si="32"/>
        <v>83</v>
      </c>
      <c r="Y1079" s="55" t="e">
        <f t="shared" si="33"/>
        <v>#N/A</v>
      </c>
    </row>
    <row r="1080" spans="1:25" x14ac:dyDescent="0.3">
      <c r="A1080" s="55" t="s">
        <v>970</v>
      </c>
      <c r="V1080" s="56" t="s">
        <v>970</v>
      </c>
      <c r="W1080" s="56" t="str">
        <f t="shared" si="32"/>
        <v>83</v>
      </c>
      <c r="Y1080" s="55" t="e">
        <f t="shared" si="33"/>
        <v>#N/A</v>
      </c>
    </row>
    <row r="1081" spans="1:25" x14ac:dyDescent="0.3">
      <c r="A1081" s="55" t="s">
        <v>971</v>
      </c>
      <c r="V1081" s="56" t="s">
        <v>971</v>
      </c>
      <c r="W1081" s="56" t="str">
        <f t="shared" si="32"/>
        <v>83</v>
      </c>
      <c r="Y1081" s="55" t="e">
        <f t="shared" si="33"/>
        <v>#N/A</v>
      </c>
    </row>
    <row r="1082" spans="1:25" x14ac:dyDescent="0.3">
      <c r="A1082" s="55" t="s">
        <v>972</v>
      </c>
      <c r="V1082" s="56" t="s">
        <v>972</v>
      </c>
      <c r="W1082" s="56" t="str">
        <f t="shared" si="32"/>
        <v>83</v>
      </c>
      <c r="Y1082" s="55" t="e">
        <f t="shared" si="33"/>
        <v>#N/A</v>
      </c>
    </row>
    <row r="1083" spans="1:25" x14ac:dyDescent="0.3">
      <c r="A1083" s="55" t="s">
        <v>973</v>
      </c>
      <c r="V1083" s="56" t="s">
        <v>973</v>
      </c>
      <c r="W1083" s="56" t="str">
        <f t="shared" si="32"/>
        <v>83</v>
      </c>
      <c r="Y1083" s="55" t="e">
        <f t="shared" si="33"/>
        <v>#N/A</v>
      </c>
    </row>
    <row r="1084" spans="1:25" x14ac:dyDescent="0.3">
      <c r="A1084" s="55" t="s">
        <v>974</v>
      </c>
      <c r="V1084" s="56" t="s">
        <v>974</v>
      </c>
      <c r="W1084" s="56" t="str">
        <f t="shared" si="32"/>
        <v>83</v>
      </c>
      <c r="Y1084" s="55" t="e">
        <f t="shared" si="33"/>
        <v>#N/A</v>
      </c>
    </row>
    <row r="1085" spans="1:25" x14ac:dyDescent="0.3">
      <c r="A1085" s="55" t="s">
        <v>975</v>
      </c>
      <c r="V1085" s="56" t="s">
        <v>975</v>
      </c>
      <c r="W1085" s="56" t="str">
        <f t="shared" si="32"/>
        <v>83</v>
      </c>
      <c r="Y1085" s="55" t="e">
        <f t="shared" si="33"/>
        <v>#N/A</v>
      </c>
    </row>
    <row r="1086" spans="1:25" x14ac:dyDescent="0.3">
      <c r="A1086" s="55" t="s">
        <v>976</v>
      </c>
      <c r="V1086" s="56" t="s">
        <v>976</v>
      </c>
      <c r="W1086" s="56" t="str">
        <f t="shared" si="32"/>
        <v>85</v>
      </c>
      <c r="Y1086" s="55" t="e">
        <f t="shared" si="33"/>
        <v>#N/A</v>
      </c>
    </row>
    <row r="1087" spans="1:25" x14ac:dyDescent="0.3">
      <c r="A1087" s="55" t="s">
        <v>977</v>
      </c>
      <c r="V1087" s="56" t="s">
        <v>977</v>
      </c>
      <c r="W1087" s="56" t="str">
        <f t="shared" si="32"/>
        <v>85</v>
      </c>
      <c r="Y1087" s="55" t="e">
        <f t="shared" si="33"/>
        <v>#N/A</v>
      </c>
    </row>
    <row r="1088" spans="1:25" x14ac:dyDescent="0.3">
      <c r="A1088" s="55" t="s">
        <v>978</v>
      </c>
      <c r="V1088" s="56" t="s">
        <v>978</v>
      </c>
      <c r="W1088" s="56" t="str">
        <f t="shared" si="32"/>
        <v>85</v>
      </c>
      <c r="Y1088" s="55" t="e">
        <f t="shared" si="33"/>
        <v>#N/A</v>
      </c>
    </row>
    <row r="1089" spans="1:25" x14ac:dyDescent="0.3">
      <c r="A1089" s="55" t="s">
        <v>979</v>
      </c>
      <c r="V1089" s="56" t="s">
        <v>979</v>
      </c>
      <c r="W1089" s="56" t="str">
        <f t="shared" si="32"/>
        <v>85</v>
      </c>
      <c r="Y1089" s="55" t="e">
        <f t="shared" si="33"/>
        <v>#N/A</v>
      </c>
    </row>
    <row r="1090" spans="1:25" x14ac:dyDescent="0.3">
      <c r="A1090" s="55" t="s">
        <v>979</v>
      </c>
      <c r="V1090" s="56" t="s">
        <v>979</v>
      </c>
      <c r="W1090" s="56" t="str">
        <f t="shared" si="32"/>
        <v>85</v>
      </c>
      <c r="Y1090" s="55" t="e">
        <f t="shared" si="33"/>
        <v>#N/A</v>
      </c>
    </row>
    <row r="1091" spans="1:25" x14ac:dyDescent="0.3">
      <c r="A1091" s="55" t="s">
        <v>979</v>
      </c>
      <c r="V1091" s="56" t="s">
        <v>979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1:25" x14ac:dyDescent="0.3">
      <c r="A1092" s="55" t="s">
        <v>979</v>
      </c>
      <c r="V1092" s="56" t="s">
        <v>979</v>
      </c>
      <c r="W1092" s="56" t="str">
        <f t="shared" si="34"/>
        <v>85</v>
      </c>
      <c r="Y1092" s="55" t="e">
        <f t="shared" si="35"/>
        <v>#N/A</v>
      </c>
    </row>
    <row r="1093" spans="1:25" x14ac:dyDescent="0.3">
      <c r="A1093" s="55" t="s">
        <v>980</v>
      </c>
      <c r="V1093" s="56" t="s">
        <v>980</v>
      </c>
      <c r="W1093" s="56" t="str">
        <f t="shared" si="34"/>
        <v>85</v>
      </c>
      <c r="Y1093" s="55" t="e">
        <f t="shared" si="35"/>
        <v>#N/A</v>
      </c>
    </row>
    <row r="1094" spans="1:25" x14ac:dyDescent="0.3">
      <c r="A1094" s="55" t="s">
        <v>980</v>
      </c>
      <c r="V1094" s="56" t="s">
        <v>980</v>
      </c>
      <c r="W1094" s="56" t="str">
        <f t="shared" si="34"/>
        <v>85</v>
      </c>
      <c r="Y1094" s="55" t="e">
        <f t="shared" si="35"/>
        <v>#N/A</v>
      </c>
    </row>
    <row r="1095" spans="1:25" x14ac:dyDescent="0.3">
      <c r="A1095" s="55" t="s">
        <v>980</v>
      </c>
      <c r="V1095" s="56" t="s">
        <v>980</v>
      </c>
      <c r="W1095" s="56" t="str">
        <f t="shared" si="34"/>
        <v>85</v>
      </c>
      <c r="Y1095" s="55" t="e">
        <f t="shared" si="35"/>
        <v>#N/A</v>
      </c>
    </row>
    <row r="1096" spans="1:25" x14ac:dyDescent="0.3">
      <c r="A1096" s="55" t="s">
        <v>981</v>
      </c>
      <c r="V1096" s="56" t="s">
        <v>981</v>
      </c>
      <c r="W1096" s="56" t="str">
        <f t="shared" si="34"/>
        <v>85</v>
      </c>
      <c r="Y1096" s="55" t="e">
        <f t="shared" si="35"/>
        <v>#N/A</v>
      </c>
    </row>
    <row r="1097" spans="1:25" x14ac:dyDescent="0.3">
      <c r="A1097" s="55" t="s">
        <v>982</v>
      </c>
      <c r="V1097" s="56" t="s">
        <v>982</v>
      </c>
      <c r="W1097" s="56" t="str">
        <f t="shared" si="34"/>
        <v>85</v>
      </c>
      <c r="Y1097" s="55" t="e">
        <f t="shared" si="35"/>
        <v>#N/A</v>
      </c>
    </row>
    <row r="1098" spans="1:25" x14ac:dyDescent="0.3">
      <c r="A1098" s="55" t="s">
        <v>982</v>
      </c>
      <c r="V1098" s="56" t="s">
        <v>982</v>
      </c>
      <c r="W1098" s="56" t="str">
        <f t="shared" si="34"/>
        <v>85</v>
      </c>
      <c r="Y1098" s="55" t="e">
        <f t="shared" si="35"/>
        <v>#N/A</v>
      </c>
    </row>
    <row r="1099" spans="1:25" x14ac:dyDescent="0.3">
      <c r="A1099" s="55" t="s">
        <v>983</v>
      </c>
      <c r="V1099" s="56" t="s">
        <v>983</v>
      </c>
      <c r="W1099" s="56" t="str">
        <f t="shared" si="34"/>
        <v>85</v>
      </c>
      <c r="Y1099" s="55" t="e">
        <f t="shared" si="35"/>
        <v>#N/A</v>
      </c>
    </row>
    <row r="1100" spans="1:25" x14ac:dyDescent="0.3">
      <c r="A1100" s="55" t="s">
        <v>984</v>
      </c>
      <c r="V1100" s="56" t="s">
        <v>984</v>
      </c>
      <c r="W1100" s="56" t="str">
        <f t="shared" si="34"/>
        <v>85</v>
      </c>
      <c r="Y1100" s="55" t="e">
        <f t="shared" si="35"/>
        <v>#N/A</v>
      </c>
    </row>
    <row r="1101" spans="1:25" x14ac:dyDescent="0.3">
      <c r="A1101" s="55" t="s">
        <v>984</v>
      </c>
      <c r="V1101" s="56" t="s">
        <v>984</v>
      </c>
      <c r="W1101" s="56" t="str">
        <f t="shared" si="34"/>
        <v>85</v>
      </c>
      <c r="Y1101" s="55" t="e">
        <f t="shared" si="35"/>
        <v>#N/A</v>
      </c>
    </row>
    <row r="1102" spans="1:25" x14ac:dyDescent="0.3">
      <c r="A1102" s="55" t="s">
        <v>985</v>
      </c>
      <c r="V1102" s="56" t="s">
        <v>985</v>
      </c>
      <c r="W1102" s="56" t="str">
        <f t="shared" si="34"/>
        <v>85</v>
      </c>
      <c r="Y1102" s="55" t="e">
        <f t="shared" si="35"/>
        <v>#N/A</v>
      </c>
    </row>
    <row r="1103" spans="1:25" x14ac:dyDescent="0.3">
      <c r="A1103" s="55" t="s">
        <v>986</v>
      </c>
      <c r="V1103" s="56" t="s">
        <v>986</v>
      </c>
      <c r="W1103" s="56" t="str">
        <f t="shared" si="34"/>
        <v>85</v>
      </c>
      <c r="Y1103" s="55" t="e">
        <f t="shared" si="35"/>
        <v>#N/A</v>
      </c>
    </row>
    <row r="1104" spans="1:25" x14ac:dyDescent="0.3">
      <c r="A1104" s="55" t="s">
        <v>986</v>
      </c>
      <c r="V1104" s="56" t="s">
        <v>986</v>
      </c>
      <c r="W1104" s="56" t="str">
        <f t="shared" si="34"/>
        <v>85</v>
      </c>
      <c r="Y1104" s="55" t="e">
        <f t="shared" si="35"/>
        <v>#N/A</v>
      </c>
    </row>
    <row r="1105" spans="1:25" x14ac:dyDescent="0.3">
      <c r="A1105" s="55" t="s">
        <v>986</v>
      </c>
      <c r="V1105" s="56" t="s">
        <v>986</v>
      </c>
      <c r="W1105" s="56" t="str">
        <f t="shared" si="34"/>
        <v>85</v>
      </c>
      <c r="Y1105" s="55" t="e">
        <f t="shared" si="35"/>
        <v>#N/A</v>
      </c>
    </row>
    <row r="1106" spans="1:25" x14ac:dyDescent="0.3">
      <c r="A1106" s="55" t="s">
        <v>987</v>
      </c>
      <c r="V1106" s="56" t="s">
        <v>987</v>
      </c>
      <c r="W1106" s="56" t="str">
        <f t="shared" si="34"/>
        <v>85</v>
      </c>
      <c r="Y1106" s="55" t="e">
        <f t="shared" si="35"/>
        <v>#N/A</v>
      </c>
    </row>
    <row r="1107" spans="1:25" x14ac:dyDescent="0.3">
      <c r="A1107" s="55" t="s">
        <v>988</v>
      </c>
      <c r="V1107" s="56" t="s">
        <v>988</v>
      </c>
      <c r="W1107" s="56" t="str">
        <f t="shared" si="34"/>
        <v>85</v>
      </c>
      <c r="Y1107" s="55" t="e">
        <f t="shared" si="35"/>
        <v>#N/A</v>
      </c>
    </row>
    <row r="1108" spans="1:25" x14ac:dyDescent="0.3">
      <c r="A1108" s="55" t="s">
        <v>989</v>
      </c>
      <c r="V1108" s="56" t="s">
        <v>989</v>
      </c>
      <c r="W1108" s="56" t="str">
        <f t="shared" si="34"/>
        <v>86</v>
      </c>
      <c r="Y1108" s="55" t="e">
        <f t="shared" si="35"/>
        <v>#N/A</v>
      </c>
    </row>
    <row r="1109" spans="1:25" x14ac:dyDescent="0.3">
      <c r="A1109" s="55" t="s">
        <v>989</v>
      </c>
      <c r="V1109" s="56" t="s">
        <v>989</v>
      </c>
      <c r="W1109" s="56" t="str">
        <f t="shared" si="34"/>
        <v>86</v>
      </c>
      <c r="Y1109" s="55" t="e">
        <f t="shared" si="35"/>
        <v>#N/A</v>
      </c>
    </row>
    <row r="1110" spans="1:25" x14ac:dyDescent="0.3">
      <c r="A1110" s="55" t="s">
        <v>990</v>
      </c>
      <c r="V1110" s="56" t="s">
        <v>990</v>
      </c>
      <c r="W1110" s="56" t="str">
        <f t="shared" si="34"/>
        <v>87</v>
      </c>
      <c r="Y1110" s="55" t="e">
        <f t="shared" si="35"/>
        <v>#N/A</v>
      </c>
    </row>
    <row r="1111" spans="1:25" x14ac:dyDescent="0.3">
      <c r="A1111" s="55" t="s">
        <v>991</v>
      </c>
      <c r="V1111" s="56" t="s">
        <v>991</v>
      </c>
      <c r="W1111" s="56" t="str">
        <f t="shared" si="34"/>
        <v>87</v>
      </c>
      <c r="Y1111" s="55" t="e">
        <f t="shared" si="35"/>
        <v>#N/A</v>
      </c>
    </row>
    <row r="1112" spans="1:25" x14ac:dyDescent="0.3">
      <c r="A1112" s="55" t="s">
        <v>992</v>
      </c>
      <c r="V1112" s="56" t="s">
        <v>992</v>
      </c>
      <c r="W1112" s="56" t="str">
        <f t="shared" si="34"/>
        <v>87</v>
      </c>
      <c r="Y1112" s="55" t="e">
        <f t="shared" si="35"/>
        <v>#N/A</v>
      </c>
    </row>
    <row r="1113" spans="1:25" x14ac:dyDescent="0.3">
      <c r="A1113" s="55" t="s">
        <v>993</v>
      </c>
      <c r="V1113" s="56" t="s">
        <v>993</v>
      </c>
      <c r="W1113" s="56" t="str">
        <f t="shared" si="34"/>
        <v>87</v>
      </c>
      <c r="Y1113" s="55" t="e">
        <f t="shared" si="35"/>
        <v>#N/A</v>
      </c>
    </row>
    <row r="1114" spans="1:25" x14ac:dyDescent="0.3">
      <c r="A1114" s="55" t="s">
        <v>994</v>
      </c>
      <c r="V1114" s="56" t="s">
        <v>994</v>
      </c>
      <c r="W1114" s="56" t="str">
        <f t="shared" si="34"/>
        <v>87</v>
      </c>
      <c r="Y1114" s="55" t="e">
        <f t="shared" si="35"/>
        <v>#N/A</v>
      </c>
    </row>
    <row r="1115" spans="1:25" x14ac:dyDescent="0.3">
      <c r="A1115" s="55" t="s">
        <v>995</v>
      </c>
      <c r="V1115" s="56" t="s">
        <v>995</v>
      </c>
      <c r="W1115" s="56" t="str">
        <f t="shared" si="34"/>
        <v>87</v>
      </c>
      <c r="Y1115" s="55" t="e">
        <f t="shared" si="35"/>
        <v>#N/A</v>
      </c>
    </row>
    <row r="1116" spans="1:25" x14ac:dyDescent="0.3">
      <c r="A1116" s="55" t="s">
        <v>996</v>
      </c>
      <c r="V1116" s="56" t="s">
        <v>996</v>
      </c>
      <c r="W1116" s="56" t="str">
        <f t="shared" si="34"/>
        <v>SPS</v>
      </c>
      <c r="Y1116" s="55" t="e">
        <f t="shared" si="35"/>
        <v>#N/A</v>
      </c>
    </row>
    <row r="1117" spans="1:25" x14ac:dyDescent="0.3">
      <c r="A1117" s="55" t="s">
        <v>997</v>
      </c>
      <c r="V1117" s="56" t="s">
        <v>997</v>
      </c>
      <c r="W1117" s="56" t="str">
        <f t="shared" si="34"/>
        <v>35</v>
      </c>
      <c r="Y1117" s="55" t="e">
        <f t="shared" si="35"/>
        <v>#N/A</v>
      </c>
    </row>
    <row r="1118" spans="1:25" x14ac:dyDescent="0.3">
      <c r="A1118" s="55" t="s">
        <v>998</v>
      </c>
      <c r="V1118" s="56" t="s">
        <v>998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96</v>
      </c>
      <c r="B1" s="36" t="s">
        <v>97</v>
      </c>
      <c r="C1" s="44" t="str">
        <f>"A*A*t"</f>
        <v>A*A*t</v>
      </c>
      <c r="D1" s="36" t="s">
        <v>98</v>
      </c>
      <c r="E1" s="36" t="s">
        <v>99</v>
      </c>
      <c r="F1" s="36" t="s">
        <v>100</v>
      </c>
      <c r="G1" s="36" t="s">
        <v>101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R2239"/>
  <sheetViews>
    <sheetView topLeftCell="A118" zoomScaleNormal="100" workbookViewId="0">
      <pane xSplit="1" topLeftCell="B1" activePane="topRight" state="frozen"/>
      <selection pane="topRight" activeCell="C138" sqref="C138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8.77734375" style="29" bestFit="1" customWidth="1"/>
    <col min="5" max="6" width="7.5546875" style="29" customWidth="1"/>
    <col min="7" max="7" width="19.5546875" style="29" bestFit="1" customWidth="1"/>
    <col min="8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30.6640625" bestFit="1" customWidth="1"/>
  </cols>
  <sheetData>
    <row r="1" spans="1:18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244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  <c r="R1" t="s">
        <v>1055</v>
      </c>
    </row>
    <row r="2" spans="1:18" x14ac:dyDescent="0.3">
      <c r="A2" s="29" t="s">
        <v>289</v>
      </c>
      <c r="B2" s="29">
        <v>1</v>
      </c>
      <c r="C2" s="29" t="s">
        <v>1030</v>
      </c>
      <c r="D2" s="30" t="s">
        <v>1048</v>
      </c>
      <c r="E2" s="29">
        <v>453</v>
      </c>
      <c r="G2" s="29" t="s">
        <v>1031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1032</v>
      </c>
      <c r="M2" s="29">
        <v>1</v>
      </c>
      <c r="N2" s="29">
        <v>0.45300000000000001</v>
      </c>
      <c r="P2" s="29">
        <v>19.27515</v>
      </c>
      <c r="Q2" s="29" t="s">
        <v>1033</v>
      </c>
    </row>
    <row r="3" spans="1:18" x14ac:dyDescent="0.3">
      <c r="B3" s="29">
        <v>2</v>
      </c>
      <c r="C3" s="29" t="s">
        <v>1030</v>
      </c>
      <c r="D3" s="30" t="s">
        <v>1048</v>
      </c>
      <c r="E3" s="29">
        <v>700</v>
      </c>
      <c r="G3" s="29" t="s">
        <v>1034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1032</v>
      </c>
      <c r="M3" s="29">
        <v>1</v>
      </c>
      <c r="N3" s="29">
        <v>0.7</v>
      </c>
      <c r="P3" s="29">
        <v>29.784999999999997</v>
      </c>
      <c r="Q3" s="29" t="s">
        <v>1033</v>
      </c>
    </row>
    <row r="4" spans="1:18" x14ac:dyDescent="0.3">
      <c r="B4" s="29">
        <v>3</v>
      </c>
      <c r="C4" s="45" t="s">
        <v>1049</v>
      </c>
      <c r="D4" s="30">
        <v>16</v>
      </c>
      <c r="E4" s="29">
        <v>330</v>
      </c>
      <c r="F4" s="29">
        <v>330</v>
      </c>
      <c r="G4" s="29" t="s">
        <v>1035</v>
      </c>
      <c r="H4" s="29">
        <v>1</v>
      </c>
      <c r="J4" s="29">
        <v>13.67784</v>
      </c>
      <c r="K4" s="29">
        <v>13.67784</v>
      </c>
      <c r="L4" s="29" t="s">
        <v>1036</v>
      </c>
      <c r="M4" s="29">
        <v>1</v>
      </c>
      <c r="O4" s="29">
        <v>1</v>
      </c>
      <c r="P4" s="29">
        <v>13.67784</v>
      </c>
      <c r="Q4" s="29" t="s">
        <v>1037</v>
      </c>
    </row>
    <row r="5" spans="1:18" x14ac:dyDescent="0.3">
      <c r="B5" s="29">
        <v>4</v>
      </c>
      <c r="C5" s="29" t="s">
        <v>1050</v>
      </c>
      <c r="D5" s="30" t="s">
        <v>1051</v>
      </c>
      <c r="E5" s="29">
        <v>150</v>
      </c>
      <c r="G5" s="29" t="s">
        <v>1035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1032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1033</v>
      </c>
    </row>
    <row r="6" spans="1:18" x14ac:dyDescent="0.3">
      <c r="A6" s="29" t="s">
        <v>290</v>
      </c>
      <c r="B6" s="29">
        <v>1</v>
      </c>
      <c r="C6" s="29" t="s">
        <v>1030</v>
      </c>
      <c r="D6" s="30" t="s">
        <v>1048</v>
      </c>
      <c r="E6" s="29">
        <v>453</v>
      </c>
      <c r="G6" s="29" t="s">
        <v>1031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1032</v>
      </c>
      <c r="M6" s="29">
        <v>1</v>
      </c>
      <c r="N6" s="29">
        <v>0.45300000000000001</v>
      </c>
      <c r="P6" s="29">
        <v>19.27515</v>
      </c>
      <c r="Q6" s="29" t="s">
        <v>1033</v>
      </c>
    </row>
    <row r="7" spans="1:18" x14ac:dyDescent="0.3">
      <c r="B7" s="29">
        <v>2</v>
      </c>
      <c r="C7" s="29" t="s">
        <v>1030</v>
      </c>
      <c r="D7" s="30" t="s">
        <v>1048</v>
      </c>
      <c r="E7" s="29">
        <v>700</v>
      </c>
      <c r="G7" s="29" t="s">
        <v>1034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1032</v>
      </c>
      <c r="M7" s="29">
        <v>1</v>
      </c>
      <c r="N7" s="29">
        <v>0.7</v>
      </c>
      <c r="P7" s="29">
        <v>29.784999999999997</v>
      </c>
      <c r="Q7" s="29" t="s">
        <v>1033</v>
      </c>
    </row>
    <row r="8" spans="1:18" x14ac:dyDescent="0.3">
      <c r="B8" s="29">
        <v>3</v>
      </c>
      <c r="C8" s="29" t="s">
        <v>1049</v>
      </c>
      <c r="D8" s="30">
        <v>16</v>
      </c>
      <c r="E8" s="29">
        <v>330</v>
      </c>
      <c r="F8" s="29">
        <v>330</v>
      </c>
      <c r="G8" s="29" t="s">
        <v>1035</v>
      </c>
      <c r="H8" s="29">
        <v>1</v>
      </c>
      <c r="J8" s="29">
        <v>13.67784</v>
      </c>
      <c r="K8" s="29">
        <v>13.67784</v>
      </c>
      <c r="L8" s="29" t="s">
        <v>1036</v>
      </c>
      <c r="M8" s="29">
        <v>1</v>
      </c>
      <c r="O8" s="29">
        <v>1</v>
      </c>
      <c r="P8" s="29">
        <v>13.67784</v>
      </c>
      <c r="Q8" s="29" t="s">
        <v>1037</v>
      </c>
    </row>
    <row r="9" spans="1:18" x14ac:dyDescent="0.3">
      <c r="B9" s="29">
        <v>4</v>
      </c>
      <c r="C9" s="29" t="s">
        <v>1050</v>
      </c>
      <c r="D9" s="30" t="s">
        <v>1051</v>
      </c>
      <c r="E9" s="29">
        <v>150</v>
      </c>
      <c r="G9" s="29" t="s">
        <v>1035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1032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1033</v>
      </c>
    </row>
    <row r="10" spans="1:18" x14ac:dyDescent="0.3">
      <c r="A10" s="29" t="s">
        <v>290</v>
      </c>
      <c r="B10" s="29">
        <v>1</v>
      </c>
      <c r="C10" s="29" t="s">
        <v>1030</v>
      </c>
      <c r="D10" s="30" t="s">
        <v>1048</v>
      </c>
      <c r="E10" s="29">
        <v>453</v>
      </c>
      <c r="G10" s="29" t="s">
        <v>1031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1032</v>
      </c>
      <c r="M10" s="29">
        <v>1</v>
      </c>
      <c r="N10" s="29">
        <v>0.45300000000000001</v>
      </c>
      <c r="P10" s="29">
        <v>19.27515</v>
      </c>
      <c r="Q10" s="29" t="s">
        <v>1033</v>
      </c>
    </row>
    <row r="11" spans="1:18" x14ac:dyDescent="0.3">
      <c r="B11" s="29">
        <v>2</v>
      </c>
      <c r="C11" s="29" t="s">
        <v>1030</v>
      </c>
      <c r="D11" s="30" t="s">
        <v>1048</v>
      </c>
      <c r="E11" s="29">
        <v>700</v>
      </c>
      <c r="G11" s="29" t="s">
        <v>1034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1032</v>
      </c>
      <c r="M11" s="29">
        <v>1</v>
      </c>
      <c r="N11" s="29">
        <v>0.7</v>
      </c>
      <c r="P11" s="29">
        <v>29.784999999999997</v>
      </c>
      <c r="Q11" s="29" t="s">
        <v>1033</v>
      </c>
    </row>
    <row r="12" spans="1:18" x14ac:dyDescent="0.3">
      <c r="B12" s="29">
        <v>3</v>
      </c>
      <c r="C12" s="45" t="s">
        <v>1049</v>
      </c>
      <c r="D12" s="30">
        <v>16</v>
      </c>
      <c r="E12" s="29">
        <v>330</v>
      </c>
      <c r="F12" s="29">
        <v>330</v>
      </c>
      <c r="G12" s="29" t="s">
        <v>1035</v>
      </c>
      <c r="H12" s="29">
        <v>1</v>
      </c>
      <c r="J12" s="29">
        <v>13.67784</v>
      </c>
      <c r="K12" s="29">
        <v>13.67784</v>
      </c>
      <c r="L12" s="29" t="s">
        <v>1036</v>
      </c>
      <c r="M12" s="29">
        <v>1</v>
      </c>
      <c r="O12" s="29">
        <v>1</v>
      </c>
      <c r="P12" s="29">
        <v>13.67784</v>
      </c>
      <c r="Q12" s="29" t="s">
        <v>1037</v>
      </c>
    </row>
    <row r="13" spans="1:18" x14ac:dyDescent="0.3">
      <c r="B13" s="29">
        <v>4</v>
      </c>
      <c r="C13" s="29" t="s">
        <v>1050</v>
      </c>
      <c r="D13" s="30" t="s">
        <v>1051</v>
      </c>
      <c r="E13" s="29">
        <v>150</v>
      </c>
      <c r="G13" s="29" t="s">
        <v>1035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1032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1033</v>
      </c>
    </row>
    <row r="14" spans="1:18" x14ac:dyDescent="0.3">
      <c r="A14" s="29" t="s">
        <v>291</v>
      </c>
      <c r="B14" s="29">
        <v>1</v>
      </c>
      <c r="C14" s="29" t="s">
        <v>1030</v>
      </c>
      <c r="D14" s="30" t="s">
        <v>1048</v>
      </c>
      <c r="E14" s="29">
        <v>453</v>
      </c>
      <c r="G14" s="29" t="s">
        <v>1031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1032</v>
      </c>
      <c r="M14" s="29">
        <v>1</v>
      </c>
      <c r="N14" s="29">
        <v>0.45300000000000001</v>
      </c>
      <c r="P14" s="29">
        <v>19.27515</v>
      </c>
      <c r="Q14" s="29" t="s">
        <v>1033</v>
      </c>
    </row>
    <row r="15" spans="1:18" x14ac:dyDescent="0.3">
      <c r="B15" s="29">
        <v>2</v>
      </c>
      <c r="C15" s="29" t="s">
        <v>1030</v>
      </c>
      <c r="D15" s="30" t="s">
        <v>1048</v>
      </c>
      <c r="E15" s="29">
        <v>800</v>
      </c>
      <c r="G15" s="29" t="s">
        <v>1034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1032</v>
      </c>
      <c r="M15" s="29">
        <v>1</v>
      </c>
      <c r="N15" s="29">
        <v>0.8</v>
      </c>
      <c r="P15" s="29">
        <v>34.04</v>
      </c>
      <c r="Q15" s="29" t="s">
        <v>1033</v>
      </c>
    </row>
    <row r="16" spans="1:18" x14ac:dyDescent="0.3">
      <c r="B16" s="29">
        <v>3</v>
      </c>
      <c r="C16" s="29" t="s">
        <v>1049</v>
      </c>
      <c r="D16" s="30">
        <v>16</v>
      </c>
      <c r="E16" s="29">
        <v>330</v>
      </c>
      <c r="F16" s="29">
        <v>330</v>
      </c>
      <c r="G16" s="29" t="s">
        <v>1035</v>
      </c>
      <c r="H16" s="29">
        <v>1</v>
      </c>
      <c r="J16" s="29">
        <v>13.67784</v>
      </c>
      <c r="K16" s="29">
        <v>13.67784</v>
      </c>
      <c r="L16" s="29" t="s">
        <v>1036</v>
      </c>
      <c r="M16" s="29">
        <v>1</v>
      </c>
      <c r="O16" s="29">
        <v>1</v>
      </c>
      <c r="P16" s="29">
        <v>13.67784</v>
      </c>
      <c r="Q16" s="29" t="s">
        <v>1037</v>
      </c>
    </row>
    <row r="17" spans="1:17" x14ac:dyDescent="0.3">
      <c r="A17" s="29" t="s">
        <v>292</v>
      </c>
      <c r="B17" s="29">
        <v>1</v>
      </c>
      <c r="C17" s="29" t="s">
        <v>1030</v>
      </c>
      <c r="D17" s="30" t="s">
        <v>1048</v>
      </c>
      <c r="E17" s="29">
        <v>470</v>
      </c>
      <c r="G17" s="29" t="s">
        <v>1031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1032</v>
      </c>
      <c r="M17" s="29">
        <v>1</v>
      </c>
      <c r="N17" s="29">
        <v>0.47</v>
      </c>
      <c r="P17" s="29">
        <v>19.998499999999996</v>
      </c>
      <c r="Q17" s="29" t="s">
        <v>1033</v>
      </c>
    </row>
    <row r="18" spans="1:17" x14ac:dyDescent="0.3">
      <c r="B18" s="29">
        <v>2</v>
      </c>
      <c r="C18" s="45" t="s">
        <v>1030</v>
      </c>
      <c r="D18" s="30" t="s">
        <v>1048</v>
      </c>
      <c r="E18" s="29">
        <v>200</v>
      </c>
      <c r="G18" s="29" t="s">
        <v>1034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1032</v>
      </c>
      <c r="M18" s="29">
        <v>1</v>
      </c>
      <c r="N18" s="29">
        <v>0.2</v>
      </c>
      <c r="P18" s="29">
        <v>8.51</v>
      </c>
      <c r="Q18" s="29" t="s">
        <v>1033</v>
      </c>
    </row>
    <row r="19" spans="1:17" x14ac:dyDescent="0.3">
      <c r="B19" s="29">
        <v>3</v>
      </c>
      <c r="C19" s="29" t="s">
        <v>1049</v>
      </c>
      <c r="D19" s="30">
        <v>16</v>
      </c>
      <c r="E19" s="29">
        <v>330</v>
      </c>
      <c r="F19" s="29">
        <v>330</v>
      </c>
      <c r="G19" s="29" t="s">
        <v>1035</v>
      </c>
      <c r="H19" s="29">
        <v>1</v>
      </c>
      <c r="J19" s="29">
        <v>13.67784</v>
      </c>
      <c r="K19" s="29">
        <v>13.67784</v>
      </c>
      <c r="L19" s="29" t="s">
        <v>1036</v>
      </c>
      <c r="M19" s="29">
        <v>1</v>
      </c>
      <c r="O19" s="29">
        <v>1</v>
      </c>
      <c r="P19" s="29">
        <v>13.67784</v>
      </c>
      <c r="Q19" s="29" t="s">
        <v>1037</v>
      </c>
    </row>
    <row r="20" spans="1:17" x14ac:dyDescent="0.3">
      <c r="A20" s="29" t="s">
        <v>293</v>
      </c>
      <c r="B20" s="29">
        <v>1</v>
      </c>
      <c r="C20" s="29" t="s">
        <v>1030</v>
      </c>
      <c r="D20" s="30" t="s">
        <v>1048</v>
      </c>
      <c r="E20" s="29">
        <v>470</v>
      </c>
      <c r="G20" s="29" t="s">
        <v>1031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1032</v>
      </c>
      <c r="M20" s="29">
        <v>1</v>
      </c>
      <c r="N20" s="29">
        <v>0.47</v>
      </c>
      <c r="P20" s="29">
        <v>19.998499999999996</v>
      </c>
      <c r="Q20" s="29" t="s">
        <v>1033</v>
      </c>
    </row>
    <row r="21" spans="1:17" x14ac:dyDescent="0.3">
      <c r="B21" s="29">
        <v>2</v>
      </c>
      <c r="C21" s="29" t="s">
        <v>1030</v>
      </c>
      <c r="D21" s="30" t="s">
        <v>1048</v>
      </c>
      <c r="E21" s="29">
        <v>500</v>
      </c>
      <c r="G21" s="29" t="s">
        <v>1034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1032</v>
      </c>
      <c r="M21" s="29">
        <v>1</v>
      </c>
      <c r="N21" s="29">
        <v>0.5</v>
      </c>
      <c r="P21" s="29">
        <v>21.274999999999999</v>
      </c>
      <c r="Q21" s="29" t="s">
        <v>1033</v>
      </c>
    </row>
    <row r="22" spans="1:17" x14ac:dyDescent="0.3">
      <c r="B22" s="29">
        <v>3</v>
      </c>
      <c r="C22" s="29" t="s">
        <v>1049</v>
      </c>
      <c r="D22" s="30">
        <v>16</v>
      </c>
      <c r="E22" s="29">
        <v>330</v>
      </c>
      <c r="F22" s="29">
        <v>330</v>
      </c>
      <c r="G22" s="29" t="s">
        <v>1035</v>
      </c>
      <c r="H22" s="29">
        <v>1</v>
      </c>
      <c r="J22" s="29">
        <v>13.67784</v>
      </c>
      <c r="K22" s="29">
        <v>13.67784</v>
      </c>
      <c r="L22" s="29" t="s">
        <v>1036</v>
      </c>
      <c r="M22" s="29">
        <v>1</v>
      </c>
      <c r="O22" s="29">
        <v>1</v>
      </c>
      <c r="P22" s="29">
        <v>13.67784</v>
      </c>
      <c r="Q22" s="29" t="s">
        <v>1037</v>
      </c>
    </row>
    <row r="23" spans="1:17" x14ac:dyDescent="0.3">
      <c r="A23" s="29" t="s">
        <v>294</v>
      </c>
      <c r="B23" s="29">
        <v>1</v>
      </c>
      <c r="C23" s="29" t="s">
        <v>1030</v>
      </c>
      <c r="D23" s="30" t="s">
        <v>1052</v>
      </c>
      <c r="E23" s="29">
        <v>573</v>
      </c>
      <c r="G23" s="29" t="s">
        <v>1031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1032</v>
      </c>
      <c r="M23" s="29">
        <v>1</v>
      </c>
      <c r="N23" s="29">
        <v>0.57299999999999995</v>
      </c>
      <c r="P23" s="29">
        <v>34.546169999999996</v>
      </c>
      <c r="Q23" s="29" t="s">
        <v>1033</v>
      </c>
    </row>
    <row r="24" spans="1:17" x14ac:dyDescent="0.3">
      <c r="B24" s="29">
        <v>2</v>
      </c>
      <c r="C24" s="45" t="s">
        <v>1030</v>
      </c>
      <c r="D24" s="30" t="s">
        <v>1052</v>
      </c>
      <c r="E24" s="29">
        <v>100</v>
      </c>
      <c r="G24" s="29" t="s">
        <v>1034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1032</v>
      </c>
      <c r="M24" s="29">
        <v>1</v>
      </c>
      <c r="N24" s="29">
        <v>0.1</v>
      </c>
      <c r="P24" s="29">
        <v>6.0289999999999999</v>
      </c>
      <c r="Q24" s="29" t="s">
        <v>1033</v>
      </c>
    </row>
    <row r="25" spans="1:17" x14ac:dyDescent="0.3">
      <c r="B25" s="29">
        <v>3</v>
      </c>
      <c r="C25" s="29" t="s">
        <v>1049</v>
      </c>
      <c r="D25" s="30">
        <v>16</v>
      </c>
      <c r="E25" s="29">
        <v>330</v>
      </c>
      <c r="F25" s="29">
        <v>330</v>
      </c>
      <c r="G25" s="29" t="s">
        <v>1035</v>
      </c>
      <c r="H25" s="29">
        <v>1</v>
      </c>
      <c r="J25" s="29">
        <v>13.67784</v>
      </c>
      <c r="K25" s="29">
        <v>13.67784</v>
      </c>
      <c r="L25" s="29" t="s">
        <v>1036</v>
      </c>
      <c r="M25" s="29">
        <v>1</v>
      </c>
      <c r="O25" s="29">
        <v>1</v>
      </c>
      <c r="P25" s="29">
        <v>13.67784</v>
      </c>
      <c r="Q25" s="29" t="s">
        <v>1037</v>
      </c>
    </row>
    <row r="26" spans="1:17" x14ac:dyDescent="0.3">
      <c r="A26" s="29" t="s">
        <v>295</v>
      </c>
      <c r="B26" s="29">
        <v>1</v>
      </c>
      <c r="C26" s="29" t="s">
        <v>1030</v>
      </c>
      <c r="D26" s="30" t="s">
        <v>1053</v>
      </c>
      <c r="E26" s="29">
        <v>170</v>
      </c>
      <c r="G26" s="29" t="s">
        <v>1031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1032</v>
      </c>
      <c r="M26" s="29">
        <v>1</v>
      </c>
      <c r="N26" s="29">
        <v>0.17</v>
      </c>
      <c r="P26" s="29">
        <v>0.91970000000000007</v>
      </c>
      <c r="Q26" s="29" t="s">
        <v>1033</v>
      </c>
    </row>
    <row r="27" spans="1:17" x14ac:dyDescent="0.3">
      <c r="B27" s="29">
        <v>2</v>
      </c>
      <c r="C27" s="29" t="s">
        <v>1030</v>
      </c>
      <c r="D27" s="30" t="s">
        <v>1053</v>
      </c>
      <c r="E27" s="29">
        <v>100</v>
      </c>
      <c r="G27" s="29" t="s">
        <v>1034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1032</v>
      </c>
      <c r="M27" s="29">
        <v>1</v>
      </c>
      <c r="N27" s="29">
        <v>0.1</v>
      </c>
      <c r="P27" s="29">
        <v>0.54100000000000004</v>
      </c>
      <c r="Q27" s="29" t="s">
        <v>1033</v>
      </c>
    </row>
    <row r="28" spans="1:17" x14ac:dyDescent="0.3">
      <c r="B28" s="29">
        <v>3</v>
      </c>
      <c r="C28" s="29" t="s">
        <v>1049</v>
      </c>
      <c r="D28" s="30">
        <v>9</v>
      </c>
      <c r="E28" s="29">
        <v>150</v>
      </c>
      <c r="F28" s="29">
        <v>150</v>
      </c>
      <c r="G28" s="29" t="s">
        <v>1035</v>
      </c>
      <c r="H28" s="29">
        <v>1</v>
      </c>
      <c r="J28" s="29">
        <v>1.5896249999999998</v>
      </c>
      <c r="K28" s="29">
        <v>1.5896249999999998</v>
      </c>
      <c r="L28" s="29" t="s">
        <v>1036</v>
      </c>
      <c r="M28" s="29">
        <v>1</v>
      </c>
      <c r="O28" s="29">
        <v>1</v>
      </c>
      <c r="P28" s="29">
        <v>1.5896249999999998</v>
      </c>
      <c r="Q28" s="29" t="s">
        <v>1037</v>
      </c>
    </row>
    <row r="29" spans="1:17" x14ac:dyDescent="0.3">
      <c r="B29" s="29">
        <v>4</v>
      </c>
      <c r="C29" s="29" t="s">
        <v>1050</v>
      </c>
      <c r="D29" s="30" t="s">
        <v>1051</v>
      </c>
      <c r="E29" s="29">
        <v>150</v>
      </c>
      <c r="G29" s="29" t="s">
        <v>1035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1032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1033</v>
      </c>
    </row>
    <row r="30" spans="1:17" x14ac:dyDescent="0.3">
      <c r="A30" s="29" t="s">
        <v>296</v>
      </c>
      <c r="B30" s="29">
        <v>1</v>
      </c>
      <c r="C30" s="29" t="s">
        <v>1030</v>
      </c>
      <c r="D30" s="30" t="s">
        <v>1053</v>
      </c>
      <c r="E30" s="29">
        <v>170</v>
      </c>
      <c r="G30" s="29" t="s">
        <v>1031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1032</v>
      </c>
      <c r="M30" s="29">
        <v>1</v>
      </c>
      <c r="N30" s="29">
        <v>0.17</v>
      </c>
      <c r="P30" s="29">
        <v>0.91970000000000007</v>
      </c>
      <c r="Q30" s="29" t="s">
        <v>1033</v>
      </c>
    </row>
    <row r="31" spans="1:17" x14ac:dyDescent="0.3">
      <c r="B31" s="29">
        <v>2</v>
      </c>
      <c r="C31" s="29" t="s">
        <v>1030</v>
      </c>
      <c r="D31" s="30" t="s">
        <v>1053</v>
      </c>
      <c r="E31" s="29">
        <v>400</v>
      </c>
      <c r="G31" s="29" t="s">
        <v>1034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1032</v>
      </c>
      <c r="M31" s="29">
        <v>1</v>
      </c>
      <c r="N31" s="29">
        <v>0.4</v>
      </c>
      <c r="P31" s="29">
        <v>2.1640000000000001</v>
      </c>
      <c r="Q31" s="29" t="s">
        <v>1033</v>
      </c>
    </row>
    <row r="32" spans="1:17" x14ac:dyDescent="0.3">
      <c r="B32" s="29">
        <v>3</v>
      </c>
      <c r="C32" s="29" t="s">
        <v>1049</v>
      </c>
      <c r="D32" s="30">
        <v>9</v>
      </c>
      <c r="E32" s="29">
        <v>150</v>
      </c>
      <c r="F32" s="29">
        <v>150</v>
      </c>
      <c r="G32" s="29" t="s">
        <v>1035</v>
      </c>
      <c r="H32" s="29">
        <v>1</v>
      </c>
      <c r="J32" s="29">
        <v>1.5896249999999998</v>
      </c>
      <c r="K32" s="29">
        <v>1.5896249999999998</v>
      </c>
      <c r="L32" s="29" t="s">
        <v>1036</v>
      </c>
      <c r="M32" s="29">
        <v>1</v>
      </c>
      <c r="O32" s="29">
        <v>1</v>
      </c>
      <c r="P32" s="29">
        <v>1.5896249999999998</v>
      </c>
      <c r="Q32" s="29" t="s">
        <v>1037</v>
      </c>
    </row>
    <row r="33" spans="1:18" x14ac:dyDescent="0.3">
      <c r="B33" s="29">
        <v>4</v>
      </c>
      <c r="C33" s="45" t="s">
        <v>1054</v>
      </c>
      <c r="D33" s="30">
        <v>9</v>
      </c>
      <c r="E33" s="29">
        <v>290</v>
      </c>
      <c r="F33" s="29">
        <v>290</v>
      </c>
      <c r="G33" s="29" t="s">
        <v>1035</v>
      </c>
      <c r="H33" s="29">
        <v>1</v>
      </c>
      <c r="J33" s="29">
        <v>5.9416649999999995</v>
      </c>
      <c r="K33" s="29">
        <v>5.9416649999999995</v>
      </c>
      <c r="L33" s="29" t="s">
        <v>1036</v>
      </c>
      <c r="M33" s="29">
        <v>1</v>
      </c>
      <c r="O33" s="29">
        <v>1</v>
      </c>
      <c r="P33" s="29">
        <v>5.9416649999999995</v>
      </c>
      <c r="Q33" s="29" t="s">
        <v>1037</v>
      </c>
      <c r="R33" t="s">
        <v>1127</v>
      </c>
    </row>
    <row r="34" spans="1:18" x14ac:dyDescent="0.3">
      <c r="B34" s="29">
        <v>5</v>
      </c>
      <c r="C34" s="29" t="s">
        <v>1038</v>
      </c>
      <c r="D34" s="30" t="s">
        <v>287</v>
      </c>
      <c r="G34" s="29" t="s">
        <v>1031</v>
      </c>
      <c r="H34" s="29">
        <v>4</v>
      </c>
      <c r="J34" s="29">
        <v>1</v>
      </c>
      <c r="K34" s="29">
        <v>4</v>
      </c>
      <c r="L34" s="29" t="s">
        <v>1039</v>
      </c>
      <c r="M34" s="29">
        <v>1</v>
      </c>
      <c r="O34" s="29">
        <v>4</v>
      </c>
      <c r="P34" s="29">
        <v>4</v>
      </c>
      <c r="Q34" s="29" t="s">
        <v>1040</v>
      </c>
    </row>
    <row r="35" spans="1:18" x14ac:dyDescent="0.3">
      <c r="B35" s="29">
        <v>6</v>
      </c>
      <c r="C35" s="29" t="s">
        <v>1050</v>
      </c>
      <c r="D35" s="30" t="s">
        <v>1051</v>
      </c>
      <c r="E35" s="29">
        <v>150</v>
      </c>
      <c r="G35" s="29" t="s">
        <v>1035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1032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1033</v>
      </c>
    </row>
    <row r="36" spans="1:18" x14ac:dyDescent="0.3">
      <c r="A36" s="29" t="s">
        <v>286</v>
      </c>
      <c r="B36" s="29">
        <v>1</v>
      </c>
      <c r="C36" s="29" t="s">
        <v>1030</v>
      </c>
      <c r="D36" s="30" t="s">
        <v>1053</v>
      </c>
      <c r="E36" s="29">
        <v>170</v>
      </c>
      <c r="G36" s="29" t="s">
        <v>1031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1032</v>
      </c>
      <c r="M36" s="29">
        <v>1</v>
      </c>
      <c r="N36" s="29">
        <v>0.17</v>
      </c>
      <c r="P36" s="29">
        <v>0.91970000000000007</v>
      </c>
      <c r="Q36" s="29" t="s">
        <v>1033</v>
      </c>
    </row>
    <row r="37" spans="1:18" x14ac:dyDescent="0.3">
      <c r="B37" s="29">
        <v>2</v>
      </c>
      <c r="C37" s="29" t="s">
        <v>1030</v>
      </c>
      <c r="D37" s="30" t="s">
        <v>1053</v>
      </c>
      <c r="E37" s="29">
        <v>400</v>
      </c>
      <c r="G37" s="29" t="s">
        <v>1034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1032</v>
      </c>
      <c r="M37" s="29">
        <v>1</v>
      </c>
      <c r="N37" s="29">
        <v>0.4</v>
      </c>
      <c r="P37" s="29">
        <v>2.1640000000000001</v>
      </c>
      <c r="Q37" s="29" t="s">
        <v>1033</v>
      </c>
    </row>
    <row r="38" spans="1:18" x14ac:dyDescent="0.3">
      <c r="B38" s="29">
        <v>3</v>
      </c>
      <c r="C38" s="29" t="s">
        <v>1049</v>
      </c>
      <c r="D38" s="30">
        <v>9</v>
      </c>
      <c r="E38" s="29">
        <v>150</v>
      </c>
      <c r="F38" s="29">
        <v>150</v>
      </c>
      <c r="G38" s="29" t="s">
        <v>1035</v>
      </c>
      <c r="H38" s="29">
        <v>1</v>
      </c>
      <c r="J38" s="29">
        <v>1.5896249999999998</v>
      </c>
      <c r="K38" s="29">
        <v>1.5896249999999998</v>
      </c>
      <c r="L38" s="29" t="s">
        <v>1036</v>
      </c>
      <c r="M38" s="29">
        <v>1</v>
      </c>
      <c r="O38" s="29">
        <v>1</v>
      </c>
      <c r="P38" s="29">
        <v>1.5896249999999998</v>
      </c>
      <c r="Q38" s="29" t="s">
        <v>1037</v>
      </c>
    </row>
    <row r="39" spans="1:18" x14ac:dyDescent="0.3">
      <c r="B39" s="29">
        <v>4</v>
      </c>
      <c r="C39" s="29" t="s">
        <v>1054</v>
      </c>
      <c r="D39" s="30">
        <v>9</v>
      </c>
      <c r="E39" s="29">
        <v>290</v>
      </c>
      <c r="F39" s="29">
        <v>290</v>
      </c>
      <c r="G39" s="29" t="s">
        <v>1035</v>
      </c>
      <c r="H39" s="29">
        <v>1</v>
      </c>
      <c r="J39" s="29">
        <v>5.9416649999999995</v>
      </c>
      <c r="K39" s="29">
        <v>5.9416649999999995</v>
      </c>
      <c r="L39" s="29" t="s">
        <v>1036</v>
      </c>
      <c r="M39" s="29">
        <v>1</v>
      </c>
      <c r="O39" s="29">
        <v>1</v>
      </c>
      <c r="P39" s="29">
        <v>5.9416649999999995</v>
      </c>
      <c r="Q39" s="29" t="s">
        <v>1037</v>
      </c>
      <c r="R39" t="s">
        <v>1127</v>
      </c>
    </row>
    <row r="40" spans="1:18" x14ac:dyDescent="0.3">
      <c r="B40" s="29">
        <v>5</v>
      </c>
      <c r="C40" s="29" t="s">
        <v>1038</v>
      </c>
      <c r="D40" s="30" t="s">
        <v>287</v>
      </c>
      <c r="G40" s="29" t="s">
        <v>1031</v>
      </c>
      <c r="H40" s="29">
        <v>4</v>
      </c>
      <c r="J40" s="29">
        <v>1</v>
      </c>
      <c r="K40" s="29">
        <v>4</v>
      </c>
      <c r="L40" s="29" t="s">
        <v>1039</v>
      </c>
      <c r="M40" s="29">
        <v>1</v>
      </c>
      <c r="O40" s="29">
        <v>4</v>
      </c>
      <c r="P40" s="29">
        <v>4</v>
      </c>
      <c r="Q40" s="29" t="s">
        <v>1040</v>
      </c>
    </row>
    <row r="41" spans="1:18" x14ac:dyDescent="0.3">
      <c r="B41" s="29">
        <v>6</v>
      </c>
      <c r="C41" s="29" t="s">
        <v>1050</v>
      </c>
      <c r="D41" s="30" t="s">
        <v>1051</v>
      </c>
      <c r="E41" s="29">
        <v>150</v>
      </c>
      <c r="G41" s="29" t="s">
        <v>1035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1032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1033</v>
      </c>
    </row>
    <row r="42" spans="1:18" x14ac:dyDescent="0.3">
      <c r="A42" s="29" t="s">
        <v>297</v>
      </c>
      <c r="B42" s="29">
        <v>1</v>
      </c>
      <c r="C42" s="45" t="s">
        <v>1030</v>
      </c>
      <c r="D42" s="30" t="s">
        <v>1053</v>
      </c>
      <c r="E42" s="29">
        <v>170</v>
      </c>
      <c r="G42" s="29" t="s">
        <v>1031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1032</v>
      </c>
      <c r="M42" s="29">
        <v>1</v>
      </c>
      <c r="N42" s="29">
        <v>0.17</v>
      </c>
      <c r="P42" s="29">
        <v>0.91970000000000007</v>
      </c>
      <c r="Q42" s="29" t="s">
        <v>1033</v>
      </c>
    </row>
    <row r="43" spans="1:18" x14ac:dyDescent="0.3">
      <c r="B43" s="29">
        <v>2</v>
      </c>
      <c r="C43" s="29" t="s">
        <v>1030</v>
      </c>
      <c r="D43" s="30" t="s">
        <v>1053</v>
      </c>
      <c r="E43" s="29">
        <v>400</v>
      </c>
      <c r="G43" s="29" t="s">
        <v>1034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1032</v>
      </c>
      <c r="M43" s="29">
        <v>1</v>
      </c>
      <c r="N43" s="29">
        <v>0.4</v>
      </c>
      <c r="P43" s="29">
        <v>2.1640000000000001</v>
      </c>
      <c r="Q43" s="29" t="s">
        <v>1033</v>
      </c>
    </row>
    <row r="44" spans="1:18" x14ac:dyDescent="0.3">
      <c r="B44" s="29">
        <v>3</v>
      </c>
      <c r="C44" s="29" t="s">
        <v>1049</v>
      </c>
      <c r="D44" s="30">
        <v>9</v>
      </c>
      <c r="E44" s="29">
        <v>150</v>
      </c>
      <c r="F44" s="29">
        <v>150</v>
      </c>
      <c r="G44" s="29" t="s">
        <v>1035</v>
      </c>
      <c r="H44" s="29">
        <v>1</v>
      </c>
      <c r="J44" s="29">
        <v>1.5896249999999998</v>
      </c>
      <c r="K44" s="29">
        <v>1.5896249999999998</v>
      </c>
      <c r="L44" s="29" t="s">
        <v>1036</v>
      </c>
      <c r="M44" s="29">
        <v>1</v>
      </c>
      <c r="O44" s="29">
        <v>1</v>
      </c>
      <c r="P44" s="29">
        <v>1.5896249999999998</v>
      </c>
      <c r="Q44" s="29" t="s">
        <v>1037</v>
      </c>
    </row>
    <row r="45" spans="1:18" x14ac:dyDescent="0.3">
      <c r="B45" s="29">
        <v>4</v>
      </c>
      <c r="C45" s="29" t="s">
        <v>1050</v>
      </c>
      <c r="D45" s="30" t="s">
        <v>1051</v>
      </c>
      <c r="E45" s="29">
        <v>150</v>
      </c>
      <c r="G45" s="29" t="s">
        <v>1035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1032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1033</v>
      </c>
    </row>
    <row r="46" spans="1:18" x14ac:dyDescent="0.3">
      <c r="A46" s="29" t="s">
        <v>298</v>
      </c>
      <c r="B46" s="29">
        <v>1</v>
      </c>
      <c r="C46" s="29" t="s">
        <v>1030</v>
      </c>
      <c r="D46" s="30" t="s">
        <v>1053</v>
      </c>
      <c r="E46" s="29">
        <v>170</v>
      </c>
      <c r="G46" s="29" t="s">
        <v>1031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1032</v>
      </c>
      <c r="M46" s="29">
        <v>1</v>
      </c>
      <c r="N46" s="29">
        <v>0.17</v>
      </c>
      <c r="P46" s="29">
        <v>0.91970000000000007</v>
      </c>
      <c r="Q46" s="29" t="s">
        <v>1033</v>
      </c>
    </row>
    <row r="47" spans="1:18" x14ac:dyDescent="0.3">
      <c r="B47" s="29">
        <v>2</v>
      </c>
      <c r="C47" s="29" t="s">
        <v>1030</v>
      </c>
      <c r="D47" s="30" t="s">
        <v>1053</v>
      </c>
      <c r="E47" s="29">
        <v>600</v>
      </c>
      <c r="G47" s="29" t="s">
        <v>1034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1032</v>
      </c>
      <c r="M47" s="29">
        <v>1</v>
      </c>
      <c r="N47" s="29">
        <v>0.6</v>
      </c>
      <c r="P47" s="29">
        <v>3.246</v>
      </c>
      <c r="Q47" s="29" t="s">
        <v>1033</v>
      </c>
    </row>
    <row r="48" spans="1:18" x14ac:dyDescent="0.3">
      <c r="B48" s="29">
        <v>3</v>
      </c>
      <c r="C48" s="29" t="s">
        <v>1049</v>
      </c>
      <c r="D48" s="30">
        <v>9</v>
      </c>
      <c r="E48" s="29">
        <v>150</v>
      </c>
      <c r="F48" s="29">
        <v>150</v>
      </c>
      <c r="G48" s="29" t="s">
        <v>1035</v>
      </c>
      <c r="H48" s="29">
        <v>1</v>
      </c>
      <c r="J48" s="29">
        <v>1.5896249999999998</v>
      </c>
      <c r="K48" s="29">
        <v>1.5896249999999998</v>
      </c>
      <c r="L48" s="29" t="s">
        <v>1036</v>
      </c>
      <c r="M48" s="29">
        <v>1</v>
      </c>
      <c r="O48" s="29">
        <v>1</v>
      </c>
      <c r="P48" s="29">
        <v>1.5896249999999998</v>
      </c>
      <c r="Q48" s="29" t="s">
        <v>1037</v>
      </c>
    </row>
    <row r="49" spans="1:18" x14ac:dyDescent="0.3">
      <c r="B49" s="29">
        <v>4</v>
      </c>
      <c r="C49" s="29" t="s">
        <v>1054</v>
      </c>
      <c r="D49" s="30">
        <v>9</v>
      </c>
      <c r="E49" s="29">
        <v>290</v>
      </c>
      <c r="F49" s="29">
        <v>290</v>
      </c>
      <c r="G49" s="29" t="s">
        <v>1035</v>
      </c>
      <c r="H49" s="29">
        <v>1</v>
      </c>
      <c r="J49" s="29">
        <v>5.9416649999999995</v>
      </c>
      <c r="K49" s="29">
        <v>5.9416649999999995</v>
      </c>
      <c r="L49" s="29" t="s">
        <v>1036</v>
      </c>
      <c r="M49" s="29">
        <v>1</v>
      </c>
      <c r="O49" s="29">
        <v>1</v>
      </c>
      <c r="P49" s="29">
        <v>5.9416649999999995</v>
      </c>
      <c r="Q49" s="29" t="s">
        <v>1037</v>
      </c>
      <c r="R49" t="s">
        <v>1127</v>
      </c>
    </row>
    <row r="50" spans="1:18" x14ac:dyDescent="0.3">
      <c r="B50" s="29">
        <v>5</v>
      </c>
      <c r="C50" s="29" t="s">
        <v>1038</v>
      </c>
      <c r="D50" s="30" t="s">
        <v>287</v>
      </c>
      <c r="G50" s="29" t="s">
        <v>1031</v>
      </c>
      <c r="H50" s="29">
        <v>4</v>
      </c>
      <c r="J50" s="29">
        <v>1</v>
      </c>
      <c r="K50" s="29">
        <v>4</v>
      </c>
      <c r="L50" s="29" t="s">
        <v>1039</v>
      </c>
      <c r="M50" s="29">
        <v>1</v>
      </c>
      <c r="O50" s="29">
        <v>4</v>
      </c>
      <c r="P50" s="29">
        <v>4</v>
      </c>
      <c r="Q50" s="29" t="s">
        <v>1040</v>
      </c>
    </row>
    <row r="51" spans="1:18" x14ac:dyDescent="0.3">
      <c r="B51" s="29">
        <v>6</v>
      </c>
      <c r="C51" s="45" t="s">
        <v>1050</v>
      </c>
      <c r="D51" s="30" t="s">
        <v>1051</v>
      </c>
      <c r="E51" s="29">
        <v>150</v>
      </c>
      <c r="G51" s="29" t="s">
        <v>1035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1032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1033</v>
      </c>
    </row>
    <row r="52" spans="1:18" x14ac:dyDescent="0.3">
      <c r="A52" s="29" t="s">
        <v>299</v>
      </c>
      <c r="B52" s="29">
        <v>1</v>
      </c>
      <c r="C52" s="29" t="s">
        <v>1030</v>
      </c>
      <c r="D52" s="30" t="s">
        <v>1053</v>
      </c>
      <c r="E52" s="29">
        <v>170</v>
      </c>
      <c r="G52" s="29" t="s">
        <v>1031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1032</v>
      </c>
      <c r="M52" s="29">
        <v>1</v>
      </c>
      <c r="N52" s="29">
        <v>0.17</v>
      </c>
      <c r="P52" s="29">
        <v>0.91970000000000007</v>
      </c>
      <c r="Q52" s="29" t="s">
        <v>1033</v>
      </c>
    </row>
    <row r="53" spans="1:18" x14ac:dyDescent="0.3">
      <c r="B53" s="29">
        <v>2</v>
      </c>
      <c r="C53" s="29" t="s">
        <v>1030</v>
      </c>
      <c r="D53" s="30" t="s">
        <v>1053</v>
      </c>
      <c r="E53" s="29">
        <v>600</v>
      </c>
      <c r="G53" s="29" t="s">
        <v>1034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1032</v>
      </c>
      <c r="M53" s="29">
        <v>1</v>
      </c>
      <c r="N53" s="29">
        <v>0.6</v>
      </c>
      <c r="P53" s="29">
        <v>3.246</v>
      </c>
      <c r="Q53" s="29" t="s">
        <v>1033</v>
      </c>
    </row>
    <row r="54" spans="1:18" x14ac:dyDescent="0.3">
      <c r="B54" s="29">
        <v>3</v>
      </c>
      <c r="C54" s="29" t="s">
        <v>1049</v>
      </c>
      <c r="D54" s="30">
        <v>9</v>
      </c>
      <c r="E54" s="29">
        <v>150</v>
      </c>
      <c r="F54" s="29">
        <v>150</v>
      </c>
      <c r="G54" s="29" t="s">
        <v>1035</v>
      </c>
      <c r="H54" s="29">
        <v>1</v>
      </c>
      <c r="J54" s="29">
        <v>1.5896249999999998</v>
      </c>
      <c r="K54" s="29">
        <v>1.5896249999999998</v>
      </c>
      <c r="L54" s="29" t="s">
        <v>1036</v>
      </c>
      <c r="M54" s="29">
        <v>1</v>
      </c>
      <c r="O54" s="29">
        <v>1</v>
      </c>
      <c r="P54" s="29">
        <v>1.5896249999999998</v>
      </c>
      <c r="Q54" s="29" t="s">
        <v>1037</v>
      </c>
    </row>
    <row r="55" spans="1:18" x14ac:dyDescent="0.3">
      <c r="B55" s="29">
        <v>4</v>
      </c>
      <c r="C55" s="29" t="s">
        <v>1054</v>
      </c>
      <c r="D55" s="30">
        <v>9</v>
      </c>
      <c r="E55" s="29">
        <v>290</v>
      </c>
      <c r="F55" s="29">
        <v>290</v>
      </c>
      <c r="G55" s="29" t="s">
        <v>1035</v>
      </c>
      <c r="H55" s="29">
        <v>1</v>
      </c>
      <c r="J55" s="29">
        <v>5.9416649999999995</v>
      </c>
      <c r="K55" s="29">
        <v>5.9416649999999995</v>
      </c>
      <c r="L55" s="29" t="s">
        <v>1036</v>
      </c>
      <c r="M55" s="29">
        <v>1</v>
      </c>
      <c r="O55" s="29">
        <v>1</v>
      </c>
      <c r="P55" s="29">
        <v>5.9416649999999995</v>
      </c>
      <c r="Q55" s="29" t="s">
        <v>1037</v>
      </c>
      <c r="R55" t="s">
        <v>1127</v>
      </c>
    </row>
    <row r="56" spans="1:18" x14ac:dyDescent="0.3">
      <c r="B56" s="29">
        <v>5</v>
      </c>
      <c r="C56" s="29" t="s">
        <v>1038</v>
      </c>
      <c r="D56" s="30" t="s">
        <v>287</v>
      </c>
      <c r="G56" s="29" t="s">
        <v>1031</v>
      </c>
      <c r="H56" s="29">
        <v>4</v>
      </c>
      <c r="J56" s="29">
        <v>1</v>
      </c>
      <c r="K56" s="29">
        <v>4</v>
      </c>
      <c r="L56" s="29" t="s">
        <v>1039</v>
      </c>
      <c r="M56" s="29">
        <v>1</v>
      </c>
      <c r="O56" s="29">
        <v>4</v>
      </c>
      <c r="P56" s="29">
        <v>4</v>
      </c>
      <c r="Q56" s="29" t="s">
        <v>1040</v>
      </c>
    </row>
    <row r="57" spans="1:18" x14ac:dyDescent="0.3">
      <c r="B57" s="29">
        <v>6</v>
      </c>
      <c r="C57" s="29" t="s">
        <v>1050</v>
      </c>
      <c r="D57" s="30" t="s">
        <v>1051</v>
      </c>
      <c r="E57" s="29">
        <v>150</v>
      </c>
      <c r="G57" s="29" t="s">
        <v>1035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1032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1033</v>
      </c>
    </row>
    <row r="58" spans="1:18" x14ac:dyDescent="0.3">
      <c r="A58" s="29" t="s">
        <v>300</v>
      </c>
      <c r="B58" s="29">
        <v>1</v>
      </c>
      <c r="C58" s="29" t="s">
        <v>1030</v>
      </c>
      <c r="D58" s="30" t="s">
        <v>1053</v>
      </c>
      <c r="E58" s="29">
        <v>170</v>
      </c>
      <c r="G58" s="29" t="s">
        <v>1031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1032</v>
      </c>
      <c r="M58" s="29">
        <v>1</v>
      </c>
      <c r="N58" s="29">
        <v>0.17</v>
      </c>
      <c r="P58" s="29">
        <v>0.91970000000000007</v>
      </c>
      <c r="Q58" s="29" t="s">
        <v>1033</v>
      </c>
    </row>
    <row r="59" spans="1:18" x14ac:dyDescent="0.3">
      <c r="B59" s="29">
        <v>2</v>
      </c>
      <c r="C59" s="29" t="s">
        <v>1030</v>
      </c>
      <c r="D59" s="30" t="s">
        <v>1053</v>
      </c>
      <c r="E59" s="29">
        <v>700</v>
      </c>
      <c r="G59" s="29" t="s">
        <v>1034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1032</v>
      </c>
      <c r="M59" s="29">
        <v>1</v>
      </c>
      <c r="N59" s="29">
        <v>0.7</v>
      </c>
      <c r="P59" s="29">
        <v>3.7869999999999999</v>
      </c>
      <c r="Q59" s="29" t="s">
        <v>1033</v>
      </c>
    </row>
    <row r="60" spans="1:18" x14ac:dyDescent="0.3">
      <c r="B60" s="29">
        <v>3</v>
      </c>
      <c r="C60" s="45" t="s">
        <v>1049</v>
      </c>
      <c r="D60" s="30">
        <v>9</v>
      </c>
      <c r="E60" s="29">
        <v>150</v>
      </c>
      <c r="F60" s="29">
        <v>150</v>
      </c>
      <c r="G60" s="29" t="s">
        <v>1035</v>
      </c>
      <c r="H60" s="29">
        <v>1</v>
      </c>
      <c r="J60" s="29">
        <v>1.5896249999999998</v>
      </c>
      <c r="K60" s="29">
        <v>1.5896249999999998</v>
      </c>
      <c r="L60" s="29" t="s">
        <v>1036</v>
      </c>
      <c r="M60" s="29">
        <v>1</v>
      </c>
      <c r="O60" s="29">
        <v>1</v>
      </c>
      <c r="P60" s="29">
        <v>1.5896249999999998</v>
      </c>
      <c r="Q60" s="29" t="s">
        <v>1037</v>
      </c>
    </row>
    <row r="61" spans="1:18" x14ac:dyDescent="0.3">
      <c r="B61" s="29">
        <v>4</v>
      </c>
      <c r="C61" s="29" t="s">
        <v>1054</v>
      </c>
      <c r="D61" s="30">
        <v>9</v>
      </c>
      <c r="E61" s="29">
        <v>290</v>
      </c>
      <c r="F61" s="29">
        <v>290</v>
      </c>
      <c r="G61" s="29" t="s">
        <v>1035</v>
      </c>
      <c r="H61" s="29">
        <v>1</v>
      </c>
      <c r="J61" s="29">
        <v>5.9416649999999995</v>
      </c>
      <c r="K61" s="29">
        <v>5.9416649999999995</v>
      </c>
      <c r="L61" s="29" t="s">
        <v>1036</v>
      </c>
      <c r="M61" s="29">
        <v>1</v>
      </c>
      <c r="O61" s="29">
        <v>1</v>
      </c>
      <c r="P61" s="29">
        <v>5.9416649999999995</v>
      </c>
      <c r="Q61" s="29" t="s">
        <v>1037</v>
      </c>
      <c r="R61" t="s">
        <v>1127</v>
      </c>
    </row>
    <row r="62" spans="1:18" x14ac:dyDescent="0.3">
      <c r="B62" s="29">
        <v>5</v>
      </c>
      <c r="C62" s="29" t="s">
        <v>1038</v>
      </c>
      <c r="D62" s="30" t="s">
        <v>287</v>
      </c>
      <c r="G62" s="29" t="s">
        <v>1031</v>
      </c>
      <c r="H62" s="29">
        <v>4</v>
      </c>
      <c r="J62" s="29">
        <v>1</v>
      </c>
      <c r="K62" s="29">
        <v>4</v>
      </c>
      <c r="L62" s="29" t="s">
        <v>1039</v>
      </c>
      <c r="M62" s="29">
        <v>1</v>
      </c>
      <c r="O62" s="29">
        <v>4</v>
      </c>
      <c r="P62" s="29">
        <v>4</v>
      </c>
      <c r="Q62" s="29" t="s">
        <v>1040</v>
      </c>
    </row>
    <row r="63" spans="1:18" x14ac:dyDescent="0.3">
      <c r="A63" s="29" t="s">
        <v>372</v>
      </c>
      <c r="B63" s="29">
        <v>1</v>
      </c>
      <c r="C63" s="29" t="s">
        <v>1030</v>
      </c>
      <c r="D63" s="30" t="s">
        <v>1053</v>
      </c>
      <c r="E63" s="29">
        <v>170</v>
      </c>
      <c r="G63" s="29" t="s">
        <v>1031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1032</v>
      </c>
      <c r="M63" s="29">
        <v>1</v>
      </c>
      <c r="N63" s="29">
        <v>0.17</v>
      </c>
      <c r="P63" s="29">
        <v>0.91970000000000007</v>
      </c>
      <c r="Q63" s="29" t="s">
        <v>1033</v>
      </c>
    </row>
    <row r="64" spans="1:18" x14ac:dyDescent="0.3">
      <c r="B64" s="29">
        <v>2</v>
      </c>
      <c r="C64" s="29" t="s">
        <v>1030</v>
      </c>
      <c r="D64" s="30" t="s">
        <v>1053</v>
      </c>
      <c r="E64" s="29">
        <v>900</v>
      </c>
      <c r="G64" s="29" t="s">
        <v>1034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1032</v>
      </c>
      <c r="M64" s="29">
        <v>1</v>
      </c>
      <c r="N64" s="29">
        <v>0.9</v>
      </c>
      <c r="P64" s="29">
        <v>4.8690000000000007</v>
      </c>
      <c r="Q64" s="29" t="s">
        <v>1033</v>
      </c>
    </row>
    <row r="65" spans="1:18" x14ac:dyDescent="0.3">
      <c r="B65" s="29">
        <v>3</v>
      </c>
      <c r="C65" s="29" t="s">
        <v>1049</v>
      </c>
      <c r="D65" s="30">
        <v>9</v>
      </c>
      <c r="E65" s="29">
        <v>150</v>
      </c>
      <c r="F65" s="29">
        <v>150</v>
      </c>
      <c r="G65" s="29" t="s">
        <v>1035</v>
      </c>
      <c r="H65" s="29">
        <v>1</v>
      </c>
      <c r="J65" s="29">
        <v>1.5896249999999998</v>
      </c>
      <c r="K65" s="29">
        <v>1.5896249999999998</v>
      </c>
      <c r="L65" s="29" t="s">
        <v>1036</v>
      </c>
      <c r="M65" s="29">
        <v>1</v>
      </c>
      <c r="O65" s="29">
        <v>1</v>
      </c>
      <c r="P65" s="29">
        <v>1.5896249999999998</v>
      </c>
      <c r="Q65" s="29" t="s">
        <v>1037</v>
      </c>
    </row>
    <row r="66" spans="1:18" x14ac:dyDescent="0.3">
      <c r="B66" s="29">
        <v>4</v>
      </c>
      <c r="C66" s="29" t="s">
        <v>1054</v>
      </c>
      <c r="D66" s="30">
        <v>9</v>
      </c>
      <c r="E66" s="29">
        <v>290</v>
      </c>
      <c r="F66" s="29">
        <v>290</v>
      </c>
      <c r="G66" s="29" t="s">
        <v>1035</v>
      </c>
      <c r="H66" s="29">
        <v>1</v>
      </c>
      <c r="J66" s="29">
        <v>5.9416649999999995</v>
      </c>
      <c r="K66" s="29">
        <v>5.9416649999999995</v>
      </c>
      <c r="L66" s="29" t="s">
        <v>1036</v>
      </c>
      <c r="M66" s="29">
        <v>1</v>
      </c>
      <c r="O66" s="29">
        <v>1</v>
      </c>
      <c r="P66" s="29">
        <v>5.9416649999999995</v>
      </c>
      <c r="Q66" s="29" t="s">
        <v>1037</v>
      </c>
      <c r="R66" t="s">
        <v>1127</v>
      </c>
    </row>
    <row r="67" spans="1:18" x14ac:dyDescent="0.3">
      <c r="B67" s="29">
        <v>5</v>
      </c>
      <c r="C67" s="29" t="s">
        <v>1038</v>
      </c>
      <c r="D67" s="30" t="s">
        <v>287</v>
      </c>
      <c r="G67" s="29" t="s">
        <v>1031</v>
      </c>
      <c r="H67" s="29">
        <v>4</v>
      </c>
      <c r="J67" s="29">
        <v>1</v>
      </c>
      <c r="K67" s="29">
        <v>4</v>
      </c>
      <c r="L67" s="29" t="s">
        <v>1039</v>
      </c>
      <c r="M67" s="29">
        <v>1</v>
      </c>
      <c r="O67" s="29">
        <v>4</v>
      </c>
      <c r="P67" s="29">
        <v>4</v>
      </c>
      <c r="Q67" s="29" t="s">
        <v>1040</v>
      </c>
    </row>
    <row r="68" spans="1:18" x14ac:dyDescent="0.3">
      <c r="B68" s="29">
        <v>6</v>
      </c>
      <c r="C68" s="29" t="s">
        <v>1050</v>
      </c>
      <c r="D68" s="30" t="s">
        <v>1051</v>
      </c>
      <c r="E68" s="29">
        <v>150</v>
      </c>
      <c r="G68" s="29" t="s">
        <v>1035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1032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1033</v>
      </c>
    </row>
    <row r="69" spans="1:18" x14ac:dyDescent="0.3">
      <c r="A69" s="29" t="s">
        <v>373</v>
      </c>
      <c r="B69" s="29">
        <v>1</v>
      </c>
      <c r="C69" s="45" t="s">
        <v>1030</v>
      </c>
      <c r="D69" s="30" t="s">
        <v>1053</v>
      </c>
      <c r="E69" s="29">
        <v>170</v>
      </c>
      <c r="G69" s="29" t="s">
        <v>1031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1032</v>
      </c>
      <c r="M69" s="29">
        <v>1</v>
      </c>
      <c r="N69" s="29">
        <v>0.17</v>
      </c>
      <c r="P69" s="29">
        <v>0.91970000000000007</v>
      </c>
      <c r="Q69" s="29" t="s">
        <v>1033</v>
      </c>
    </row>
    <row r="70" spans="1:18" x14ac:dyDescent="0.3">
      <c r="B70" s="29">
        <v>2</v>
      </c>
      <c r="C70" s="29" t="s">
        <v>1030</v>
      </c>
      <c r="D70" s="30" t="s">
        <v>1053</v>
      </c>
      <c r="E70" s="29">
        <v>900</v>
      </c>
      <c r="G70" s="29" t="s">
        <v>1034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1032</v>
      </c>
      <c r="M70" s="29">
        <v>1</v>
      </c>
      <c r="N70" s="29">
        <v>0.9</v>
      </c>
      <c r="P70" s="29">
        <v>4.8690000000000007</v>
      </c>
      <c r="Q70" s="29" t="s">
        <v>1033</v>
      </c>
    </row>
    <row r="71" spans="1:18" x14ac:dyDescent="0.3">
      <c r="B71" s="29">
        <v>3</v>
      </c>
      <c r="C71" s="29" t="s">
        <v>1049</v>
      </c>
      <c r="D71" s="30">
        <v>9</v>
      </c>
      <c r="E71" s="29">
        <v>150</v>
      </c>
      <c r="F71" s="29">
        <v>150</v>
      </c>
      <c r="G71" s="29" t="s">
        <v>1035</v>
      </c>
      <c r="H71" s="29">
        <v>1</v>
      </c>
      <c r="J71" s="29">
        <v>1.5896249999999998</v>
      </c>
      <c r="K71" s="29">
        <v>1.5896249999999998</v>
      </c>
      <c r="L71" s="29" t="s">
        <v>1036</v>
      </c>
      <c r="M71" s="29">
        <v>1</v>
      </c>
      <c r="O71" s="29">
        <v>1</v>
      </c>
      <c r="P71" s="29">
        <v>1.5896249999999998</v>
      </c>
      <c r="Q71" s="29" t="s">
        <v>1037</v>
      </c>
    </row>
    <row r="72" spans="1:18" x14ac:dyDescent="0.3">
      <c r="B72" s="29">
        <v>4</v>
      </c>
      <c r="C72" s="29" t="s">
        <v>1054</v>
      </c>
      <c r="D72" s="30">
        <v>9</v>
      </c>
      <c r="E72" s="29">
        <v>290</v>
      </c>
      <c r="F72" s="29">
        <v>290</v>
      </c>
      <c r="G72" s="29" t="s">
        <v>1035</v>
      </c>
      <c r="H72" s="29">
        <v>1</v>
      </c>
      <c r="J72" s="29">
        <v>5.9416649999999995</v>
      </c>
      <c r="K72" s="29">
        <v>5.9416649999999995</v>
      </c>
      <c r="L72" s="29" t="s">
        <v>1036</v>
      </c>
      <c r="M72" s="29">
        <v>1</v>
      </c>
      <c r="O72" s="29">
        <v>1</v>
      </c>
      <c r="P72" s="29">
        <v>5.9416649999999995</v>
      </c>
      <c r="Q72" s="29" t="s">
        <v>1037</v>
      </c>
      <c r="R72" t="s">
        <v>1127</v>
      </c>
    </row>
    <row r="73" spans="1:18" x14ac:dyDescent="0.3">
      <c r="B73" s="29">
        <v>5</v>
      </c>
      <c r="C73" s="29" t="s">
        <v>1038</v>
      </c>
      <c r="D73" s="30" t="s">
        <v>287</v>
      </c>
      <c r="G73" s="29" t="s">
        <v>1031</v>
      </c>
      <c r="H73" s="29">
        <v>4</v>
      </c>
      <c r="J73" s="29">
        <v>1</v>
      </c>
      <c r="K73" s="29">
        <v>4</v>
      </c>
      <c r="L73" s="29" t="s">
        <v>1039</v>
      </c>
      <c r="M73" s="29">
        <v>1</v>
      </c>
      <c r="O73" s="29">
        <v>4</v>
      </c>
      <c r="P73" s="29">
        <v>4</v>
      </c>
      <c r="Q73" s="29" t="s">
        <v>1040</v>
      </c>
    </row>
    <row r="74" spans="1:18" x14ac:dyDescent="0.3">
      <c r="B74" s="29">
        <v>6</v>
      </c>
      <c r="C74" s="29" t="s">
        <v>1050</v>
      </c>
      <c r="D74" s="30" t="s">
        <v>1051</v>
      </c>
      <c r="E74" s="29">
        <v>150</v>
      </c>
      <c r="G74" s="29" t="s">
        <v>1035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1032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1033</v>
      </c>
    </row>
    <row r="75" spans="1:18" x14ac:dyDescent="0.3">
      <c r="A75" s="29" t="s">
        <v>374</v>
      </c>
      <c r="B75" s="29">
        <v>1</v>
      </c>
      <c r="C75" s="45" t="s">
        <v>1030</v>
      </c>
      <c r="D75" s="30" t="s">
        <v>1056</v>
      </c>
      <c r="E75" s="29">
        <v>193</v>
      </c>
      <c r="G75" s="29" t="s">
        <v>1031</v>
      </c>
      <c r="H75" s="29">
        <v>1</v>
      </c>
      <c r="I75" s="29">
        <v>5.44</v>
      </c>
      <c r="J75" s="29">
        <v>1.0499200000000002</v>
      </c>
      <c r="K75" s="29">
        <v>1.0499200000000002</v>
      </c>
      <c r="L75" s="29" t="s">
        <v>1032</v>
      </c>
      <c r="M75" s="29">
        <v>1</v>
      </c>
      <c r="N75" s="29">
        <v>0.193</v>
      </c>
      <c r="P75" s="29">
        <v>1.0499200000000002</v>
      </c>
      <c r="Q75" s="29" t="s">
        <v>1033</v>
      </c>
    </row>
    <row r="76" spans="1:18" x14ac:dyDescent="0.3">
      <c r="B76" s="29">
        <v>2</v>
      </c>
      <c r="C76" s="29" t="s">
        <v>1030</v>
      </c>
      <c r="D76" s="30" t="s">
        <v>1056</v>
      </c>
      <c r="E76" s="29">
        <v>100</v>
      </c>
      <c r="G76" s="29" t="s">
        <v>1034</v>
      </c>
      <c r="H76" s="29">
        <v>1</v>
      </c>
      <c r="I76" s="29">
        <v>5.44</v>
      </c>
      <c r="J76" s="29">
        <v>0.54400000000000004</v>
      </c>
      <c r="K76" s="29">
        <v>0.54400000000000004</v>
      </c>
      <c r="L76" s="29" t="s">
        <v>1032</v>
      </c>
      <c r="M76" s="29">
        <v>1</v>
      </c>
      <c r="N76" s="29">
        <v>0.1</v>
      </c>
      <c r="P76" s="29">
        <v>0.54400000000000004</v>
      </c>
      <c r="Q76" s="29" t="s">
        <v>1033</v>
      </c>
    </row>
    <row r="77" spans="1:18" x14ac:dyDescent="0.3">
      <c r="B77" s="29">
        <v>3</v>
      </c>
      <c r="C77" s="29" t="s">
        <v>1049</v>
      </c>
      <c r="D77" s="30">
        <v>9</v>
      </c>
      <c r="E77" s="29">
        <v>150</v>
      </c>
      <c r="F77" s="29">
        <v>150</v>
      </c>
      <c r="G77" s="29" t="s">
        <v>1035</v>
      </c>
      <c r="H77" s="29">
        <v>1</v>
      </c>
      <c r="J77" s="29">
        <v>1.5896249999999998</v>
      </c>
      <c r="K77" s="29">
        <v>1.5896249999999998</v>
      </c>
      <c r="L77" s="29" t="s">
        <v>1036</v>
      </c>
      <c r="M77" s="29">
        <v>1</v>
      </c>
      <c r="O77" s="29">
        <v>1</v>
      </c>
      <c r="P77" s="29">
        <v>1.5896249999999998</v>
      </c>
      <c r="Q77" s="29" t="s">
        <v>1037</v>
      </c>
    </row>
    <row r="78" spans="1:18" x14ac:dyDescent="0.3">
      <c r="B78" s="29">
        <v>4</v>
      </c>
      <c r="C78" s="29" t="s">
        <v>1050</v>
      </c>
      <c r="D78" s="30" t="s">
        <v>1051</v>
      </c>
      <c r="E78" s="29">
        <v>150</v>
      </c>
      <c r="G78" s="29" t="s">
        <v>1035</v>
      </c>
      <c r="H78" s="29">
        <v>2</v>
      </c>
      <c r="I78" s="29">
        <v>2.95</v>
      </c>
      <c r="J78" s="29">
        <v>0.4425</v>
      </c>
      <c r="K78" s="29">
        <v>0.88500000000000001</v>
      </c>
      <c r="L78" s="29" t="s">
        <v>1032</v>
      </c>
      <c r="M78" s="29">
        <v>1</v>
      </c>
      <c r="N78" s="29">
        <v>0.3</v>
      </c>
      <c r="O78" s="29">
        <v>2</v>
      </c>
      <c r="P78" s="29">
        <v>0.88500000000000001</v>
      </c>
      <c r="Q78" s="29" t="s">
        <v>1033</v>
      </c>
    </row>
    <row r="79" spans="1:18" x14ac:dyDescent="0.3">
      <c r="A79" s="29" t="s">
        <v>375</v>
      </c>
      <c r="B79" s="29">
        <v>1</v>
      </c>
      <c r="C79" s="45" t="s">
        <v>1030</v>
      </c>
      <c r="D79" s="30" t="s">
        <v>1056</v>
      </c>
      <c r="E79" s="29">
        <v>193</v>
      </c>
      <c r="G79" s="29" t="s">
        <v>1031</v>
      </c>
      <c r="H79" s="29">
        <v>1</v>
      </c>
      <c r="I79" s="29">
        <v>5.44</v>
      </c>
      <c r="J79" s="29">
        <v>1.0499200000000002</v>
      </c>
      <c r="K79" s="29">
        <v>1.0499200000000002</v>
      </c>
      <c r="L79" s="29" t="s">
        <v>1032</v>
      </c>
      <c r="M79" s="29">
        <v>1</v>
      </c>
      <c r="N79" s="29">
        <v>0.193</v>
      </c>
      <c r="P79" s="29">
        <v>1.0499200000000002</v>
      </c>
      <c r="Q79" s="29" t="s">
        <v>1033</v>
      </c>
    </row>
    <row r="80" spans="1:18" x14ac:dyDescent="0.3">
      <c r="B80" s="29">
        <v>2</v>
      </c>
      <c r="C80" s="29" t="s">
        <v>1030</v>
      </c>
      <c r="D80" s="30" t="s">
        <v>1056</v>
      </c>
      <c r="E80" s="29">
        <v>100</v>
      </c>
      <c r="G80" s="29" t="s">
        <v>1034</v>
      </c>
      <c r="H80" s="29">
        <v>1</v>
      </c>
      <c r="I80" s="29">
        <v>5.44</v>
      </c>
      <c r="J80" s="29">
        <v>0.54400000000000004</v>
      </c>
      <c r="K80" s="29">
        <v>0.54400000000000004</v>
      </c>
      <c r="L80" s="29" t="s">
        <v>1032</v>
      </c>
      <c r="M80" s="29">
        <v>1</v>
      </c>
      <c r="N80" s="29">
        <v>0.1</v>
      </c>
      <c r="P80" s="29">
        <v>0.54400000000000004</v>
      </c>
      <c r="Q80" s="29" t="s">
        <v>1033</v>
      </c>
    </row>
    <row r="81" spans="1:18" x14ac:dyDescent="0.3">
      <c r="B81" s="29">
        <v>3</v>
      </c>
      <c r="C81" s="29" t="s">
        <v>1049</v>
      </c>
      <c r="D81" s="30">
        <v>9</v>
      </c>
      <c r="E81" s="29">
        <v>150</v>
      </c>
      <c r="F81" s="29">
        <v>150</v>
      </c>
      <c r="G81" s="29" t="s">
        <v>1035</v>
      </c>
      <c r="H81" s="29">
        <v>1</v>
      </c>
      <c r="J81" s="29">
        <v>1.5896249999999998</v>
      </c>
      <c r="K81" s="29">
        <v>1.5896249999999998</v>
      </c>
      <c r="L81" s="29" t="s">
        <v>1036</v>
      </c>
      <c r="M81" s="29">
        <v>1</v>
      </c>
      <c r="O81" s="29">
        <v>1</v>
      </c>
      <c r="P81" s="29">
        <v>1.5896249999999998</v>
      </c>
      <c r="Q81" s="29" t="s">
        <v>1037</v>
      </c>
    </row>
    <row r="82" spans="1:18" x14ac:dyDescent="0.3">
      <c r="B82" s="29">
        <v>4</v>
      </c>
      <c r="C82" s="29" t="s">
        <v>1050</v>
      </c>
      <c r="D82" s="30" t="s">
        <v>1051</v>
      </c>
      <c r="E82" s="29">
        <v>150</v>
      </c>
      <c r="G82" s="29" t="s">
        <v>1035</v>
      </c>
      <c r="H82" s="29">
        <v>2</v>
      </c>
      <c r="I82" s="29">
        <v>2.95</v>
      </c>
      <c r="J82" s="29">
        <v>0.4425</v>
      </c>
      <c r="K82" s="29">
        <v>0.88500000000000001</v>
      </c>
      <c r="L82" s="29" t="s">
        <v>1032</v>
      </c>
      <c r="M82" s="29">
        <v>1</v>
      </c>
      <c r="N82" s="29">
        <v>0.3</v>
      </c>
      <c r="O82" s="29">
        <v>2</v>
      </c>
      <c r="P82" s="29">
        <v>0.88500000000000001</v>
      </c>
      <c r="Q82" s="29" t="s">
        <v>1033</v>
      </c>
    </row>
    <row r="83" spans="1:18" x14ac:dyDescent="0.3">
      <c r="A83" s="29" t="s">
        <v>376</v>
      </c>
      <c r="B83" s="29">
        <v>1</v>
      </c>
      <c r="C83" s="29" t="s">
        <v>1030</v>
      </c>
      <c r="D83" s="30" t="s">
        <v>1056</v>
      </c>
      <c r="E83" s="29">
        <v>193</v>
      </c>
      <c r="G83" s="29" t="s">
        <v>1031</v>
      </c>
      <c r="H83" s="29">
        <v>1</v>
      </c>
      <c r="I83" s="29">
        <v>5.44</v>
      </c>
      <c r="J83" s="29">
        <v>1.0499200000000002</v>
      </c>
      <c r="K83" s="29">
        <v>1.0499200000000002</v>
      </c>
      <c r="L83" s="29" t="s">
        <v>1032</v>
      </c>
      <c r="M83" s="29">
        <v>1</v>
      </c>
      <c r="N83" s="29">
        <v>0.193</v>
      </c>
      <c r="P83" s="29">
        <v>1.0499200000000002</v>
      </c>
      <c r="Q83" s="29" t="s">
        <v>1033</v>
      </c>
    </row>
    <row r="84" spans="1:18" x14ac:dyDescent="0.3">
      <c r="B84" s="29">
        <v>2</v>
      </c>
      <c r="C84" s="45" t="s">
        <v>1030</v>
      </c>
      <c r="D84" s="30" t="s">
        <v>1056</v>
      </c>
      <c r="E84" s="29">
        <v>200</v>
      </c>
      <c r="G84" s="29" t="s">
        <v>1034</v>
      </c>
      <c r="H84" s="29">
        <v>1</v>
      </c>
      <c r="I84" s="29">
        <v>5.44</v>
      </c>
      <c r="J84" s="29">
        <v>1.0880000000000001</v>
      </c>
      <c r="K84" s="29">
        <v>1.0880000000000001</v>
      </c>
      <c r="L84" s="29" t="s">
        <v>1032</v>
      </c>
      <c r="M84" s="29">
        <v>1</v>
      </c>
      <c r="N84" s="29">
        <v>0.2</v>
      </c>
      <c r="P84" s="29">
        <v>1.0880000000000001</v>
      </c>
      <c r="Q84" s="29" t="s">
        <v>1033</v>
      </c>
    </row>
    <row r="85" spans="1:18" x14ac:dyDescent="0.3">
      <c r="B85" s="29">
        <v>3</v>
      </c>
      <c r="C85" s="29" t="s">
        <v>1049</v>
      </c>
      <c r="D85" s="30">
        <v>9</v>
      </c>
      <c r="E85" s="29">
        <v>150</v>
      </c>
      <c r="F85" s="29">
        <v>150</v>
      </c>
      <c r="G85" s="29" t="s">
        <v>1035</v>
      </c>
      <c r="H85" s="29">
        <v>1</v>
      </c>
      <c r="J85" s="29">
        <v>1.5896249999999998</v>
      </c>
      <c r="K85" s="29">
        <v>1.5896249999999998</v>
      </c>
      <c r="L85" s="29" t="s">
        <v>1036</v>
      </c>
      <c r="M85" s="29">
        <v>1</v>
      </c>
      <c r="O85" s="29">
        <v>1</v>
      </c>
      <c r="P85" s="29">
        <v>1.5896249999999998</v>
      </c>
      <c r="Q85" s="29" t="s">
        <v>1037</v>
      </c>
    </row>
    <row r="86" spans="1:18" x14ac:dyDescent="0.3">
      <c r="B86" s="29">
        <v>4</v>
      </c>
      <c r="C86" s="29" t="s">
        <v>1050</v>
      </c>
      <c r="D86" s="30" t="s">
        <v>1051</v>
      </c>
      <c r="E86" s="29">
        <v>150</v>
      </c>
      <c r="G86" s="29" t="s">
        <v>1035</v>
      </c>
      <c r="H86" s="29">
        <v>2</v>
      </c>
      <c r="I86" s="29">
        <v>2.95</v>
      </c>
      <c r="J86" s="29">
        <v>0.4425</v>
      </c>
      <c r="K86" s="29">
        <v>0.88500000000000001</v>
      </c>
      <c r="L86" s="29" t="s">
        <v>1032</v>
      </c>
      <c r="M86" s="29">
        <v>1</v>
      </c>
      <c r="N86" s="29">
        <v>0.3</v>
      </c>
      <c r="O86" s="29">
        <v>2</v>
      </c>
      <c r="P86" s="29">
        <v>0.88500000000000001</v>
      </c>
      <c r="Q86" s="29" t="s">
        <v>1033</v>
      </c>
    </row>
    <row r="87" spans="1:18" x14ac:dyDescent="0.3">
      <c r="A87" s="29" t="s">
        <v>377</v>
      </c>
      <c r="B87" s="29">
        <v>1</v>
      </c>
      <c r="C87" s="29" t="s">
        <v>1030</v>
      </c>
      <c r="D87" s="30" t="s">
        <v>1056</v>
      </c>
      <c r="E87" s="29">
        <v>193</v>
      </c>
      <c r="G87" s="29" t="s">
        <v>1031</v>
      </c>
      <c r="H87" s="29">
        <v>1</v>
      </c>
      <c r="I87" s="29">
        <v>5.44</v>
      </c>
      <c r="J87" s="29">
        <v>1.0499200000000002</v>
      </c>
      <c r="K87" s="29">
        <v>1.0499200000000002</v>
      </c>
      <c r="L87" s="29" t="s">
        <v>1032</v>
      </c>
      <c r="M87" s="29">
        <v>1</v>
      </c>
      <c r="N87" s="29">
        <v>0.193</v>
      </c>
      <c r="P87" s="29">
        <v>1.0499200000000002</v>
      </c>
      <c r="Q87" s="29" t="s">
        <v>1033</v>
      </c>
    </row>
    <row r="88" spans="1:18" x14ac:dyDescent="0.3">
      <c r="B88" s="29">
        <v>2</v>
      </c>
      <c r="C88" s="29" t="s">
        <v>1030</v>
      </c>
      <c r="D88" s="30" t="s">
        <v>1056</v>
      </c>
      <c r="E88" s="29">
        <v>400</v>
      </c>
      <c r="G88" s="29" t="s">
        <v>1034</v>
      </c>
      <c r="H88" s="29">
        <v>1</v>
      </c>
      <c r="I88" s="29">
        <v>5.44</v>
      </c>
      <c r="J88" s="29">
        <v>2.1760000000000002</v>
      </c>
      <c r="K88" s="29">
        <v>2.1760000000000002</v>
      </c>
      <c r="L88" s="29" t="s">
        <v>1032</v>
      </c>
      <c r="M88" s="29">
        <v>1</v>
      </c>
      <c r="N88" s="29">
        <v>0.4</v>
      </c>
      <c r="P88" s="29">
        <v>2.1760000000000002</v>
      </c>
      <c r="Q88" s="29" t="s">
        <v>1033</v>
      </c>
    </row>
    <row r="89" spans="1:18" x14ac:dyDescent="0.3">
      <c r="B89" s="29">
        <v>3</v>
      </c>
      <c r="C89" s="45" t="s">
        <v>1049</v>
      </c>
      <c r="D89" s="30">
        <v>9</v>
      </c>
      <c r="E89" s="29">
        <v>150</v>
      </c>
      <c r="F89" s="29">
        <v>150</v>
      </c>
      <c r="G89" s="29" t="s">
        <v>1035</v>
      </c>
      <c r="H89" s="29">
        <v>1</v>
      </c>
      <c r="J89" s="29">
        <v>1.5896249999999998</v>
      </c>
      <c r="K89" s="29">
        <v>1.5896249999999998</v>
      </c>
      <c r="L89" s="29" t="s">
        <v>1036</v>
      </c>
      <c r="M89" s="29">
        <v>1</v>
      </c>
      <c r="O89" s="29">
        <v>1</v>
      </c>
      <c r="P89" s="29">
        <v>1.5896249999999998</v>
      </c>
      <c r="Q89" s="29" t="s">
        <v>1037</v>
      </c>
    </row>
    <row r="90" spans="1:18" x14ac:dyDescent="0.3">
      <c r="B90" s="29">
        <v>4</v>
      </c>
      <c r="C90" s="29" t="s">
        <v>1054</v>
      </c>
      <c r="D90" s="30">
        <v>9</v>
      </c>
      <c r="E90" s="29">
        <v>290</v>
      </c>
      <c r="F90" s="29">
        <v>290</v>
      </c>
      <c r="G90" s="29" t="s">
        <v>1035</v>
      </c>
      <c r="H90" s="29">
        <v>1</v>
      </c>
      <c r="J90" s="29">
        <v>5.9416649999999995</v>
      </c>
      <c r="K90" s="29">
        <v>5.9416649999999995</v>
      </c>
      <c r="L90" s="29" t="s">
        <v>1036</v>
      </c>
      <c r="M90" s="29">
        <v>1</v>
      </c>
      <c r="O90" s="29">
        <v>1</v>
      </c>
      <c r="P90" s="29">
        <v>5.9416649999999995</v>
      </c>
      <c r="Q90" s="29" t="s">
        <v>1037</v>
      </c>
      <c r="R90" t="s">
        <v>1127</v>
      </c>
    </row>
    <row r="91" spans="1:18" x14ac:dyDescent="0.3">
      <c r="B91" s="29">
        <v>5</v>
      </c>
      <c r="C91" s="29" t="s">
        <v>1038</v>
      </c>
      <c r="D91" s="30" t="s">
        <v>287</v>
      </c>
      <c r="G91" s="29" t="s">
        <v>1031</v>
      </c>
      <c r="H91" s="29">
        <v>4</v>
      </c>
      <c r="J91" s="29">
        <v>1</v>
      </c>
      <c r="K91" s="29">
        <v>4</v>
      </c>
      <c r="L91" s="29" t="s">
        <v>1039</v>
      </c>
      <c r="M91" s="29">
        <v>1</v>
      </c>
      <c r="O91" s="29">
        <v>4</v>
      </c>
      <c r="P91" s="29">
        <v>4</v>
      </c>
      <c r="Q91" s="29" t="s">
        <v>1040</v>
      </c>
    </row>
    <row r="92" spans="1:18" x14ac:dyDescent="0.3">
      <c r="B92" s="29">
        <v>6</v>
      </c>
      <c r="C92" s="29" t="s">
        <v>1050</v>
      </c>
      <c r="D92" s="30" t="s">
        <v>1051</v>
      </c>
      <c r="E92" s="29">
        <v>150</v>
      </c>
      <c r="G92" s="29" t="s">
        <v>1035</v>
      </c>
      <c r="H92" s="29">
        <v>2</v>
      </c>
      <c r="I92" s="29">
        <v>2.95</v>
      </c>
      <c r="J92" s="29">
        <v>0.4425</v>
      </c>
      <c r="K92" s="29">
        <v>0.88500000000000001</v>
      </c>
      <c r="L92" s="29" t="s">
        <v>1032</v>
      </c>
      <c r="M92" s="29">
        <v>1</v>
      </c>
      <c r="N92" s="29">
        <v>0.3</v>
      </c>
      <c r="O92" s="29">
        <v>2</v>
      </c>
      <c r="P92" s="29">
        <v>0.88500000000000001</v>
      </c>
      <c r="Q92" s="29" t="s">
        <v>1033</v>
      </c>
    </row>
    <row r="93" spans="1:18" x14ac:dyDescent="0.3">
      <c r="A93" s="29" t="s">
        <v>378</v>
      </c>
      <c r="B93" s="29">
        <v>1</v>
      </c>
      <c r="C93" s="29" t="s">
        <v>1030</v>
      </c>
      <c r="D93" s="30" t="s">
        <v>1056</v>
      </c>
      <c r="E93" s="29">
        <v>193</v>
      </c>
      <c r="G93" s="29" t="s">
        <v>1031</v>
      </c>
      <c r="H93" s="29">
        <v>1</v>
      </c>
      <c r="I93" s="29">
        <v>5.44</v>
      </c>
      <c r="J93" s="29">
        <v>1.0499200000000002</v>
      </c>
      <c r="K93" s="29">
        <v>1.0499200000000002</v>
      </c>
      <c r="L93" s="29" t="s">
        <v>1032</v>
      </c>
      <c r="M93" s="29">
        <v>1</v>
      </c>
      <c r="N93" s="29">
        <v>0.193</v>
      </c>
      <c r="P93" s="29">
        <v>1.0499200000000002</v>
      </c>
      <c r="Q93" s="29" t="s">
        <v>1033</v>
      </c>
    </row>
    <row r="94" spans="1:18" x14ac:dyDescent="0.3">
      <c r="B94" s="29">
        <v>2</v>
      </c>
      <c r="C94" s="29" t="s">
        <v>1030</v>
      </c>
      <c r="D94" s="30" t="s">
        <v>1056</v>
      </c>
      <c r="E94" s="29">
        <v>400</v>
      </c>
      <c r="G94" s="29" t="s">
        <v>1034</v>
      </c>
      <c r="H94" s="29">
        <v>1</v>
      </c>
      <c r="I94" s="29">
        <v>5.44</v>
      </c>
      <c r="J94" s="29">
        <v>2.1760000000000002</v>
      </c>
      <c r="K94" s="29">
        <v>2.1760000000000002</v>
      </c>
      <c r="L94" s="29" t="s">
        <v>1032</v>
      </c>
      <c r="M94" s="29">
        <v>1</v>
      </c>
      <c r="N94" s="29">
        <v>0.4</v>
      </c>
      <c r="P94" s="29">
        <v>2.1760000000000002</v>
      </c>
      <c r="Q94" s="29" t="s">
        <v>1033</v>
      </c>
    </row>
    <row r="95" spans="1:18" x14ac:dyDescent="0.3">
      <c r="B95" s="29">
        <v>3</v>
      </c>
      <c r="C95" s="29" t="s">
        <v>1049</v>
      </c>
      <c r="D95" s="30">
        <v>9</v>
      </c>
      <c r="E95" s="29">
        <v>150</v>
      </c>
      <c r="F95" s="29">
        <v>150</v>
      </c>
      <c r="G95" s="29" t="s">
        <v>1035</v>
      </c>
      <c r="H95" s="29">
        <v>1</v>
      </c>
      <c r="J95" s="29">
        <v>1.5896249999999998</v>
      </c>
      <c r="K95" s="29">
        <v>1.5896249999999998</v>
      </c>
      <c r="L95" s="29" t="s">
        <v>1036</v>
      </c>
      <c r="M95" s="29">
        <v>1</v>
      </c>
      <c r="O95" s="29">
        <v>1</v>
      </c>
      <c r="P95" s="29">
        <v>1.5896249999999998</v>
      </c>
      <c r="Q95" s="29" t="s">
        <v>1037</v>
      </c>
    </row>
    <row r="96" spans="1:18" x14ac:dyDescent="0.3">
      <c r="B96" s="29">
        <v>4</v>
      </c>
      <c r="C96" s="29" t="s">
        <v>1054</v>
      </c>
      <c r="D96" s="30">
        <v>9</v>
      </c>
      <c r="E96" s="29">
        <v>290</v>
      </c>
      <c r="F96" s="29">
        <v>290</v>
      </c>
      <c r="G96" s="29" t="s">
        <v>1035</v>
      </c>
      <c r="H96" s="29">
        <v>1</v>
      </c>
      <c r="J96" s="29">
        <v>5.9416649999999995</v>
      </c>
      <c r="K96" s="29">
        <v>5.9416649999999995</v>
      </c>
      <c r="L96" s="29" t="s">
        <v>1036</v>
      </c>
      <c r="M96" s="29">
        <v>1</v>
      </c>
      <c r="O96" s="29">
        <v>1</v>
      </c>
      <c r="P96" s="29">
        <v>5.9416649999999995</v>
      </c>
      <c r="Q96" s="29" t="s">
        <v>1037</v>
      </c>
      <c r="R96" t="s">
        <v>1127</v>
      </c>
    </row>
    <row r="97" spans="1:18" x14ac:dyDescent="0.3">
      <c r="B97" s="29">
        <v>5</v>
      </c>
      <c r="C97" s="45" t="s">
        <v>1038</v>
      </c>
      <c r="D97" s="30" t="s">
        <v>287</v>
      </c>
      <c r="G97" s="29" t="s">
        <v>1031</v>
      </c>
      <c r="H97" s="29">
        <v>4</v>
      </c>
      <c r="J97" s="29">
        <v>1</v>
      </c>
      <c r="K97" s="29">
        <v>4</v>
      </c>
      <c r="L97" s="29" t="s">
        <v>1039</v>
      </c>
      <c r="M97" s="29">
        <v>1</v>
      </c>
      <c r="O97" s="29">
        <v>4</v>
      </c>
      <c r="P97" s="29">
        <v>4</v>
      </c>
      <c r="Q97" s="29" t="s">
        <v>1040</v>
      </c>
    </row>
    <row r="98" spans="1:18" x14ac:dyDescent="0.3">
      <c r="B98" s="29">
        <v>6</v>
      </c>
      <c r="C98" s="29" t="s">
        <v>1050</v>
      </c>
      <c r="D98" s="30" t="s">
        <v>1051</v>
      </c>
      <c r="E98" s="29">
        <v>150</v>
      </c>
      <c r="G98" s="29" t="s">
        <v>1035</v>
      </c>
      <c r="H98" s="29">
        <v>2</v>
      </c>
      <c r="I98" s="29">
        <v>2.95</v>
      </c>
      <c r="J98" s="29">
        <v>0.4425</v>
      </c>
      <c r="K98" s="29">
        <v>0.88500000000000001</v>
      </c>
      <c r="L98" s="29" t="s">
        <v>1032</v>
      </c>
      <c r="M98" s="29">
        <v>1</v>
      </c>
      <c r="N98" s="29">
        <v>0.3</v>
      </c>
      <c r="O98" s="29">
        <v>2</v>
      </c>
      <c r="P98" s="29">
        <v>0.88500000000000001</v>
      </c>
      <c r="Q98" s="29" t="s">
        <v>1033</v>
      </c>
    </row>
    <row r="99" spans="1:18" x14ac:dyDescent="0.3">
      <c r="A99" s="29" t="s">
        <v>379</v>
      </c>
      <c r="B99" s="29">
        <v>1</v>
      </c>
      <c r="C99" s="29" t="s">
        <v>1030</v>
      </c>
      <c r="D99" s="30" t="s">
        <v>1056</v>
      </c>
      <c r="E99" s="29">
        <v>193</v>
      </c>
      <c r="G99" s="29" t="s">
        <v>1031</v>
      </c>
      <c r="H99" s="29">
        <v>1</v>
      </c>
      <c r="I99" s="29">
        <v>5.44</v>
      </c>
      <c r="J99" s="29">
        <v>1.0499200000000002</v>
      </c>
      <c r="K99" s="29">
        <v>1.0499200000000002</v>
      </c>
      <c r="L99" s="29" t="s">
        <v>1032</v>
      </c>
      <c r="M99" s="29">
        <v>1</v>
      </c>
      <c r="N99" s="29">
        <v>0.193</v>
      </c>
      <c r="P99" s="29">
        <v>1.0499200000000002</v>
      </c>
      <c r="Q99" s="29" t="s">
        <v>1033</v>
      </c>
    </row>
    <row r="100" spans="1:18" x14ac:dyDescent="0.3">
      <c r="B100" s="29">
        <v>2</v>
      </c>
      <c r="C100" s="29" t="s">
        <v>1030</v>
      </c>
      <c r="D100" s="30" t="s">
        <v>1056</v>
      </c>
      <c r="E100" s="29">
        <v>400</v>
      </c>
      <c r="G100" s="29" t="s">
        <v>1034</v>
      </c>
      <c r="H100" s="29">
        <v>1</v>
      </c>
      <c r="I100" s="29">
        <v>5.44</v>
      </c>
      <c r="J100" s="29">
        <v>2.1760000000000002</v>
      </c>
      <c r="K100" s="29">
        <v>2.1760000000000002</v>
      </c>
      <c r="L100" s="29" t="s">
        <v>1032</v>
      </c>
      <c r="M100" s="29">
        <v>1</v>
      </c>
      <c r="N100" s="29">
        <v>0.4</v>
      </c>
      <c r="P100" s="29">
        <v>2.1760000000000002</v>
      </c>
      <c r="Q100" s="29" t="s">
        <v>1033</v>
      </c>
    </row>
    <row r="101" spans="1:18" x14ac:dyDescent="0.3">
      <c r="B101" s="29">
        <v>3</v>
      </c>
      <c r="C101" s="29" t="s">
        <v>1049</v>
      </c>
      <c r="D101" s="30">
        <v>9</v>
      </c>
      <c r="E101" s="29">
        <v>150</v>
      </c>
      <c r="F101" s="29">
        <v>150</v>
      </c>
      <c r="G101" s="29" t="s">
        <v>1035</v>
      </c>
      <c r="H101" s="29">
        <v>1</v>
      </c>
      <c r="J101" s="29">
        <v>1.5896249999999998</v>
      </c>
      <c r="K101" s="29">
        <v>1.5896249999999998</v>
      </c>
      <c r="L101" s="29" t="s">
        <v>1036</v>
      </c>
      <c r="M101" s="29">
        <v>1</v>
      </c>
      <c r="O101" s="29">
        <v>1</v>
      </c>
      <c r="P101" s="29">
        <v>1.5896249999999998</v>
      </c>
      <c r="Q101" s="29" t="s">
        <v>1037</v>
      </c>
    </row>
    <row r="102" spans="1:18" x14ac:dyDescent="0.3">
      <c r="B102" s="29">
        <v>4</v>
      </c>
      <c r="C102" s="45" t="s">
        <v>1054</v>
      </c>
      <c r="D102" s="30">
        <v>9</v>
      </c>
      <c r="E102" s="29">
        <v>290</v>
      </c>
      <c r="F102" s="29">
        <v>290</v>
      </c>
      <c r="G102" s="29" t="s">
        <v>1035</v>
      </c>
      <c r="H102" s="29">
        <v>1</v>
      </c>
      <c r="J102" s="29">
        <v>5.9416649999999995</v>
      </c>
      <c r="K102" s="29">
        <v>5.9416649999999995</v>
      </c>
      <c r="L102" s="29" t="s">
        <v>1036</v>
      </c>
      <c r="M102" s="29">
        <v>1</v>
      </c>
      <c r="O102" s="29">
        <v>1</v>
      </c>
      <c r="P102" s="29">
        <v>5.9416649999999995</v>
      </c>
      <c r="Q102" s="29" t="s">
        <v>1037</v>
      </c>
      <c r="R102" t="s">
        <v>1127</v>
      </c>
    </row>
    <row r="103" spans="1:18" x14ac:dyDescent="0.3">
      <c r="B103" s="29">
        <v>5</v>
      </c>
      <c r="C103" s="29" t="s">
        <v>1038</v>
      </c>
      <c r="D103" s="30" t="s">
        <v>287</v>
      </c>
      <c r="G103" s="29" t="s">
        <v>1031</v>
      </c>
      <c r="H103" s="29">
        <v>4</v>
      </c>
      <c r="J103" s="29">
        <v>1</v>
      </c>
      <c r="K103" s="29">
        <v>4</v>
      </c>
      <c r="L103" s="29" t="s">
        <v>1039</v>
      </c>
      <c r="M103" s="29">
        <v>1</v>
      </c>
      <c r="O103" s="29">
        <v>4</v>
      </c>
      <c r="P103" s="29">
        <v>4</v>
      </c>
      <c r="Q103" s="29" t="s">
        <v>1040</v>
      </c>
    </row>
    <row r="104" spans="1:18" x14ac:dyDescent="0.3">
      <c r="B104" s="29">
        <v>6</v>
      </c>
      <c r="C104" s="29" t="s">
        <v>1050</v>
      </c>
      <c r="D104" s="30" t="s">
        <v>1051</v>
      </c>
      <c r="E104" s="29">
        <v>150</v>
      </c>
      <c r="G104" s="29" t="s">
        <v>1035</v>
      </c>
      <c r="H104" s="29">
        <v>2</v>
      </c>
      <c r="I104" s="29">
        <v>2.95</v>
      </c>
      <c r="J104" s="29">
        <v>0.4425</v>
      </c>
      <c r="K104" s="29">
        <v>0.88500000000000001</v>
      </c>
      <c r="L104" s="29" t="s">
        <v>1032</v>
      </c>
      <c r="M104" s="29">
        <v>1</v>
      </c>
      <c r="N104" s="29">
        <v>0.3</v>
      </c>
      <c r="O104" s="29">
        <v>2</v>
      </c>
      <c r="P104" s="29">
        <v>0.88500000000000001</v>
      </c>
      <c r="Q104" s="29" t="s">
        <v>1033</v>
      </c>
    </row>
    <row r="105" spans="1:18" x14ac:dyDescent="0.3">
      <c r="A105" s="29" t="s">
        <v>379</v>
      </c>
      <c r="B105" s="29">
        <v>1</v>
      </c>
      <c r="C105" s="45" t="s">
        <v>1030</v>
      </c>
      <c r="D105" s="30" t="s">
        <v>1056</v>
      </c>
      <c r="E105" s="29">
        <v>193</v>
      </c>
      <c r="G105" s="29" t="s">
        <v>1031</v>
      </c>
      <c r="H105" s="29">
        <v>1</v>
      </c>
      <c r="I105" s="29">
        <v>5.44</v>
      </c>
      <c r="J105" s="29">
        <v>1.0499200000000002</v>
      </c>
      <c r="K105" s="29">
        <v>1.0499200000000002</v>
      </c>
      <c r="L105" s="29" t="s">
        <v>1032</v>
      </c>
      <c r="M105" s="29">
        <v>1</v>
      </c>
      <c r="N105" s="29">
        <v>0.193</v>
      </c>
      <c r="P105" s="29">
        <v>1.0499200000000002</v>
      </c>
      <c r="Q105" s="29" t="s">
        <v>1033</v>
      </c>
    </row>
    <row r="106" spans="1:18" x14ac:dyDescent="0.3">
      <c r="B106" s="29">
        <v>2</v>
      </c>
      <c r="C106" s="29" t="s">
        <v>1030</v>
      </c>
      <c r="D106" s="30" t="s">
        <v>1056</v>
      </c>
      <c r="E106" s="29">
        <v>400</v>
      </c>
      <c r="G106" s="29" t="s">
        <v>1034</v>
      </c>
      <c r="H106" s="29">
        <v>1</v>
      </c>
      <c r="I106" s="29">
        <v>5.44</v>
      </c>
      <c r="J106" s="29">
        <v>2.1760000000000002</v>
      </c>
      <c r="K106" s="29">
        <v>2.1760000000000002</v>
      </c>
      <c r="L106" s="29" t="s">
        <v>1032</v>
      </c>
      <c r="M106" s="29">
        <v>1</v>
      </c>
      <c r="N106" s="29">
        <v>0.4</v>
      </c>
      <c r="P106" s="29">
        <v>2.1760000000000002</v>
      </c>
      <c r="Q106" s="29" t="s">
        <v>1033</v>
      </c>
    </row>
    <row r="107" spans="1:18" x14ac:dyDescent="0.3">
      <c r="B107" s="29">
        <v>3</v>
      </c>
      <c r="C107" s="29" t="s">
        <v>1049</v>
      </c>
      <c r="D107" s="30">
        <v>9</v>
      </c>
      <c r="E107" s="29">
        <v>150</v>
      </c>
      <c r="F107" s="29">
        <v>150</v>
      </c>
      <c r="G107" s="29" t="s">
        <v>1035</v>
      </c>
      <c r="H107" s="29">
        <v>1</v>
      </c>
      <c r="J107" s="29">
        <v>1.5896249999999998</v>
      </c>
      <c r="K107" s="29">
        <v>1.5896249999999998</v>
      </c>
      <c r="L107" s="29" t="s">
        <v>1036</v>
      </c>
      <c r="M107" s="29">
        <v>1</v>
      </c>
      <c r="O107" s="29">
        <v>1</v>
      </c>
      <c r="P107" s="29">
        <v>1.5896249999999998</v>
      </c>
      <c r="Q107" s="29" t="s">
        <v>1037</v>
      </c>
    </row>
    <row r="108" spans="1:18" x14ac:dyDescent="0.3">
      <c r="B108" s="29">
        <v>4</v>
      </c>
      <c r="C108" s="29" t="s">
        <v>1054</v>
      </c>
      <c r="D108" s="30">
        <v>9</v>
      </c>
      <c r="E108" s="29">
        <v>290</v>
      </c>
      <c r="F108" s="29">
        <v>290</v>
      </c>
      <c r="G108" s="29" t="s">
        <v>1035</v>
      </c>
      <c r="H108" s="29">
        <v>1</v>
      </c>
      <c r="J108" s="29">
        <v>5.9416649999999995</v>
      </c>
      <c r="K108" s="29">
        <v>5.9416649999999995</v>
      </c>
      <c r="L108" s="29" t="s">
        <v>1036</v>
      </c>
      <c r="M108" s="29">
        <v>1</v>
      </c>
      <c r="O108" s="29">
        <v>1</v>
      </c>
      <c r="P108" s="29">
        <v>5.9416649999999995</v>
      </c>
      <c r="Q108" s="29" t="s">
        <v>1037</v>
      </c>
      <c r="R108" t="s">
        <v>1127</v>
      </c>
    </row>
    <row r="109" spans="1:18" x14ac:dyDescent="0.3">
      <c r="B109" s="29">
        <v>5</v>
      </c>
      <c r="C109" s="29" t="s">
        <v>1038</v>
      </c>
      <c r="D109" s="30" t="s">
        <v>287</v>
      </c>
      <c r="G109" s="29" t="s">
        <v>1031</v>
      </c>
      <c r="H109" s="29">
        <v>4</v>
      </c>
      <c r="J109" s="29">
        <v>1</v>
      </c>
      <c r="K109" s="29">
        <v>4</v>
      </c>
      <c r="L109" s="29" t="s">
        <v>1039</v>
      </c>
      <c r="M109" s="29">
        <v>1</v>
      </c>
      <c r="O109" s="29">
        <v>4</v>
      </c>
      <c r="P109" s="29">
        <v>4</v>
      </c>
      <c r="Q109" s="29" t="s">
        <v>1040</v>
      </c>
    </row>
    <row r="110" spans="1:18" x14ac:dyDescent="0.3">
      <c r="B110" s="29">
        <v>6</v>
      </c>
      <c r="C110" s="29" t="s">
        <v>1050</v>
      </c>
      <c r="D110" s="30" t="s">
        <v>1051</v>
      </c>
      <c r="E110" s="29">
        <v>150</v>
      </c>
      <c r="G110" s="29" t="s">
        <v>1035</v>
      </c>
      <c r="H110" s="29">
        <v>2</v>
      </c>
      <c r="I110" s="29">
        <v>2.95</v>
      </c>
      <c r="J110" s="29">
        <v>0.4425</v>
      </c>
      <c r="K110" s="29">
        <v>0.88500000000000001</v>
      </c>
      <c r="L110" s="29" t="s">
        <v>1032</v>
      </c>
      <c r="M110" s="29">
        <v>1</v>
      </c>
      <c r="N110" s="29">
        <v>0.3</v>
      </c>
      <c r="O110" s="29">
        <v>2</v>
      </c>
      <c r="P110" s="29">
        <v>0.88500000000000001</v>
      </c>
      <c r="Q110" s="29" t="s">
        <v>1033</v>
      </c>
    </row>
    <row r="111" spans="1:18" x14ac:dyDescent="0.3">
      <c r="A111" s="29" t="s">
        <v>380</v>
      </c>
      <c r="B111" s="29">
        <v>1</v>
      </c>
      <c r="C111" s="29" t="s">
        <v>1030</v>
      </c>
      <c r="D111" s="30" t="s">
        <v>1056</v>
      </c>
      <c r="E111" s="29">
        <v>193</v>
      </c>
      <c r="G111" s="29" t="s">
        <v>1031</v>
      </c>
      <c r="H111" s="29">
        <v>1</v>
      </c>
      <c r="I111" s="29">
        <v>5.44</v>
      </c>
      <c r="J111" s="29">
        <v>1.0499200000000002</v>
      </c>
      <c r="K111" s="29">
        <v>1.0499200000000002</v>
      </c>
      <c r="L111" s="29" t="s">
        <v>1032</v>
      </c>
      <c r="M111" s="29">
        <v>1</v>
      </c>
      <c r="N111" s="29">
        <v>0.193</v>
      </c>
      <c r="P111" s="29">
        <v>1.0499200000000002</v>
      </c>
      <c r="Q111" s="29" t="s">
        <v>1033</v>
      </c>
    </row>
    <row r="112" spans="1:18" x14ac:dyDescent="0.3">
      <c r="B112" s="29">
        <v>2</v>
      </c>
      <c r="C112" s="29" t="s">
        <v>1030</v>
      </c>
      <c r="D112" s="30" t="s">
        <v>1056</v>
      </c>
      <c r="E112" s="29">
        <v>500</v>
      </c>
      <c r="G112" s="29" t="s">
        <v>1034</v>
      </c>
      <c r="H112" s="29">
        <v>1</v>
      </c>
      <c r="I112" s="29">
        <v>5.44</v>
      </c>
      <c r="J112" s="29">
        <v>2.72</v>
      </c>
      <c r="K112" s="29">
        <v>2.72</v>
      </c>
      <c r="L112" s="29" t="s">
        <v>1032</v>
      </c>
      <c r="M112" s="29">
        <v>1</v>
      </c>
      <c r="N112" s="29">
        <v>0.5</v>
      </c>
      <c r="P112" s="29">
        <v>2.72</v>
      </c>
      <c r="Q112" s="29" t="s">
        <v>1033</v>
      </c>
    </row>
    <row r="113" spans="1:18" x14ac:dyDescent="0.3">
      <c r="B113" s="29">
        <v>3</v>
      </c>
      <c r="C113" s="45" t="s">
        <v>1049</v>
      </c>
      <c r="D113" s="30">
        <v>9</v>
      </c>
      <c r="E113" s="29">
        <v>150</v>
      </c>
      <c r="F113" s="29">
        <v>150</v>
      </c>
      <c r="G113" s="29" t="s">
        <v>1035</v>
      </c>
      <c r="H113" s="29">
        <v>1</v>
      </c>
      <c r="J113" s="29">
        <v>1.5896249999999998</v>
      </c>
      <c r="K113" s="29">
        <v>1.5896249999999998</v>
      </c>
      <c r="L113" s="29" t="s">
        <v>1036</v>
      </c>
      <c r="M113" s="29">
        <v>1</v>
      </c>
      <c r="O113" s="29">
        <v>1</v>
      </c>
      <c r="P113" s="29">
        <v>1.5896249999999998</v>
      </c>
      <c r="Q113" s="29" t="s">
        <v>1037</v>
      </c>
    </row>
    <row r="114" spans="1:18" x14ac:dyDescent="0.3">
      <c r="A114" s="29" t="s">
        <v>381</v>
      </c>
      <c r="B114" s="29">
        <v>1</v>
      </c>
      <c r="C114" s="29" t="s">
        <v>1030</v>
      </c>
      <c r="D114" s="30" t="s">
        <v>1056</v>
      </c>
      <c r="E114" s="29">
        <v>193</v>
      </c>
      <c r="G114" s="29" t="s">
        <v>1031</v>
      </c>
      <c r="H114" s="29">
        <v>1</v>
      </c>
      <c r="I114" s="29">
        <v>5.44</v>
      </c>
      <c r="J114" s="29">
        <v>1.0499200000000002</v>
      </c>
      <c r="K114" s="29">
        <v>1.0499200000000002</v>
      </c>
      <c r="L114" s="29" t="s">
        <v>1032</v>
      </c>
      <c r="M114" s="29">
        <v>1</v>
      </c>
      <c r="N114" s="29">
        <v>0.193</v>
      </c>
      <c r="P114" s="29">
        <v>1.0499200000000002</v>
      </c>
      <c r="Q114" s="29" t="s">
        <v>1033</v>
      </c>
    </row>
    <row r="115" spans="1:18" x14ac:dyDescent="0.3">
      <c r="B115" s="29">
        <v>2</v>
      </c>
      <c r="C115" s="29" t="s">
        <v>1030</v>
      </c>
      <c r="D115" s="30" t="s">
        <v>1056</v>
      </c>
      <c r="E115" s="29">
        <v>700</v>
      </c>
      <c r="G115" s="29" t="s">
        <v>1034</v>
      </c>
      <c r="H115" s="29">
        <v>1</v>
      </c>
      <c r="I115" s="29">
        <v>5.44</v>
      </c>
      <c r="J115" s="29">
        <v>3.8079999999999998</v>
      </c>
      <c r="K115" s="29">
        <v>3.8079999999999998</v>
      </c>
      <c r="L115" s="29" t="s">
        <v>1032</v>
      </c>
      <c r="M115" s="29">
        <v>1</v>
      </c>
      <c r="N115" s="29">
        <v>0.7</v>
      </c>
      <c r="P115" s="29">
        <v>3.8079999999999998</v>
      </c>
      <c r="Q115" s="29" t="s">
        <v>1033</v>
      </c>
    </row>
    <row r="116" spans="1:18" x14ac:dyDescent="0.3">
      <c r="B116" s="29">
        <v>3</v>
      </c>
      <c r="C116" s="29" t="s">
        <v>1049</v>
      </c>
      <c r="D116" s="30">
        <v>9</v>
      </c>
      <c r="E116" s="29">
        <v>150</v>
      </c>
      <c r="F116" s="29">
        <v>150</v>
      </c>
      <c r="G116" s="29" t="s">
        <v>1035</v>
      </c>
      <c r="H116" s="29">
        <v>1</v>
      </c>
      <c r="J116" s="29">
        <v>1.5896249999999998</v>
      </c>
      <c r="K116" s="29">
        <v>1.5896249999999998</v>
      </c>
      <c r="L116" s="29" t="s">
        <v>1036</v>
      </c>
      <c r="M116" s="29">
        <v>1</v>
      </c>
      <c r="O116" s="29">
        <v>1</v>
      </c>
      <c r="P116" s="29">
        <v>1.5896249999999998</v>
      </c>
      <c r="Q116" s="29" t="s">
        <v>1037</v>
      </c>
    </row>
    <row r="117" spans="1:18" x14ac:dyDescent="0.3">
      <c r="B117" s="29">
        <v>4</v>
      </c>
      <c r="C117" s="29" t="s">
        <v>1054</v>
      </c>
      <c r="D117" s="30">
        <v>9</v>
      </c>
      <c r="E117" s="29">
        <v>290</v>
      </c>
      <c r="F117" s="29">
        <v>290</v>
      </c>
      <c r="G117" s="29" t="s">
        <v>1035</v>
      </c>
      <c r="H117" s="29">
        <v>1</v>
      </c>
      <c r="J117" s="29">
        <v>5.9416649999999995</v>
      </c>
      <c r="K117" s="29">
        <v>5.9416649999999995</v>
      </c>
      <c r="L117" s="29" t="s">
        <v>1036</v>
      </c>
      <c r="M117" s="29">
        <v>1</v>
      </c>
      <c r="O117" s="29">
        <v>1</v>
      </c>
      <c r="P117" s="29">
        <v>5.9416649999999995</v>
      </c>
      <c r="Q117" s="29" t="s">
        <v>1037</v>
      </c>
      <c r="R117" t="s">
        <v>1127</v>
      </c>
    </row>
    <row r="118" spans="1:18" x14ac:dyDescent="0.3">
      <c r="B118" s="29">
        <v>5</v>
      </c>
      <c r="C118" s="45" t="s">
        <v>1038</v>
      </c>
      <c r="D118" s="30" t="s">
        <v>287</v>
      </c>
      <c r="G118" s="29" t="s">
        <v>1031</v>
      </c>
      <c r="H118" s="29">
        <v>4</v>
      </c>
      <c r="J118" s="29">
        <v>1</v>
      </c>
      <c r="K118" s="29">
        <v>4</v>
      </c>
      <c r="L118" s="29" t="s">
        <v>1039</v>
      </c>
      <c r="M118" s="29">
        <v>1</v>
      </c>
      <c r="O118" s="29">
        <v>4</v>
      </c>
      <c r="P118" s="29">
        <v>4</v>
      </c>
      <c r="Q118" s="29" t="s">
        <v>1040</v>
      </c>
    </row>
    <row r="119" spans="1:18" x14ac:dyDescent="0.3">
      <c r="A119" s="29" t="s">
        <v>382</v>
      </c>
      <c r="B119" s="29">
        <v>1</v>
      </c>
      <c r="C119" s="29" t="s">
        <v>1030</v>
      </c>
      <c r="D119" s="30" t="s">
        <v>1056</v>
      </c>
      <c r="E119" s="29">
        <v>193</v>
      </c>
      <c r="G119" s="29" t="s">
        <v>1031</v>
      </c>
      <c r="H119" s="29">
        <v>1</v>
      </c>
      <c r="I119" s="29">
        <v>5.44</v>
      </c>
      <c r="J119" s="29">
        <v>1.0499200000000002</v>
      </c>
      <c r="K119" s="29">
        <v>1.0499200000000002</v>
      </c>
      <c r="L119" s="29" t="s">
        <v>1032</v>
      </c>
      <c r="M119" s="29">
        <v>1</v>
      </c>
      <c r="N119" s="29">
        <v>0.193</v>
      </c>
      <c r="P119" s="29">
        <v>1.0499200000000002</v>
      </c>
      <c r="Q119" s="29" t="s">
        <v>1033</v>
      </c>
    </row>
    <row r="120" spans="1:18" x14ac:dyDescent="0.3">
      <c r="B120" s="29">
        <v>2</v>
      </c>
      <c r="C120" s="29" t="s">
        <v>1030</v>
      </c>
      <c r="D120" s="30" t="s">
        <v>1056</v>
      </c>
      <c r="E120" s="29">
        <v>700</v>
      </c>
      <c r="G120" s="29" t="s">
        <v>1034</v>
      </c>
      <c r="H120" s="29">
        <v>1</v>
      </c>
      <c r="I120" s="29">
        <v>5.44</v>
      </c>
      <c r="J120" s="29">
        <v>3.8079999999999998</v>
      </c>
      <c r="K120" s="29">
        <v>3.8079999999999998</v>
      </c>
      <c r="L120" s="29" t="s">
        <v>1032</v>
      </c>
      <c r="M120" s="29">
        <v>1</v>
      </c>
      <c r="N120" s="29">
        <v>0.7</v>
      </c>
      <c r="P120" s="29">
        <v>3.8079999999999998</v>
      </c>
      <c r="Q120" s="29" t="s">
        <v>1033</v>
      </c>
    </row>
    <row r="121" spans="1:18" x14ac:dyDescent="0.3">
      <c r="B121" s="29">
        <v>3</v>
      </c>
      <c r="C121" s="45" t="s">
        <v>1049</v>
      </c>
      <c r="D121" s="30">
        <v>9</v>
      </c>
      <c r="E121" s="29">
        <v>150</v>
      </c>
      <c r="F121" s="29">
        <v>150</v>
      </c>
      <c r="G121" s="29" t="s">
        <v>1035</v>
      </c>
      <c r="H121" s="29">
        <v>1</v>
      </c>
      <c r="J121" s="29">
        <v>1.5896249999999998</v>
      </c>
      <c r="K121" s="29">
        <v>1.5896249999999998</v>
      </c>
      <c r="L121" s="29" t="s">
        <v>1036</v>
      </c>
      <c r="M121" s="29">
        <v>1</v>
      </c>
      <c r="O121" s="29">
        <v>1</v>
      </c>
      <c r="P121" s="29">
        <v>1.5896249999999998</v>
      </c>
      <c r="Q121" s="29" t="s">
        <v>1037</v>
      </c>
    </row>
    <row r="122" spans="1:18" x14ac:dyDescent="0.3">
      <c r="B122" s="29">
        <v>4</v>
      </c>
      <c r="C122" s="29" t="s">
        <v>1054</v>
      </c>
      <c r="D122" s="30">
        <v>9</v>
      </c>
      <c r="E122" s="29">
        <v>290</v>
      </c>
      <c r="F122" s="29">
        <v>290</v>
      </c>
      <c r="G122" s="29" t="s">
        <v>1035</v>
      </c>
      <c r="H122" s="29">
        <v>1</v>
      </c>
      <c r="J122" s="29">
        <v>5.9416649999999995</v>
      </c>
      <c r="K122" s="29">
        <v>5.9416649999999995</v>
      </c>
      <c r="L122" s="29" t="s">
        <v>1036</v>
      </c>
      <c r="M122" s="29">
        <v>1</v>
      </c>
      <c r="O122" s="29">
        <v>1</v>
      </c>
      <c r="P122" s="29">
        <v>5.9416649999999995</v>
      </c>
      <c r="Q122" s="29" t="s">
        <v>1037</v>
      </c>
      <c r="R122" t="s">
        <v>1127</v>
      </c>
    </row>
    <row r="123" spans="1:18" x14ac:dyDescent="0.3">
      <c r="B123" s="29">
        <v>5</v>
      </c>
      <c r="C123" s="29" t="s">
        <v>1038</v>
      </c>
      <c r="D123" s="30" t="s">
        <v>287</v>
      </c>
      <c r="G123" s="29" t="s">
        <v>1031</v>
      </c>
      <c r="H123" s="29">
        <v>4</v>
      </c>
      <c r="J123" s="29">
        <v>1</v>
      </c>
      <c r="K123" s="29">
        <v>4</v>
      </c>
      <c r="L123" s="29" t="s">
        <v>1039</v>
      </c>
      <c r="M123" s="29">
        <v>1</v>
      </c>
      <c r="O123" s="29">
        <v>4</v>
      </c>
      <c r="P123" s="29">
        <v>4</v>
      </c>
      <c r="Q123" s="29" t="s">
        <v>1040</v>
      </c>
    </row>
    <row r="124" spans="1:18" x14ac:dyDescent="0.3">
      <c r="B124" s="29">
        <v>6</v>
      </c>
      <c r="C124" s="29" t="s">
        <v>1050</v>
      </c>
      <c r="D124" s="30" t="s">
        <v>1051</v>
      </c>
      <c r="E124" s="29">
        <v>150</v>
      </c>
      <c r="G124" s="29" t="s">
        <v>1035</v>
      </c>
      <c r="H124" s="29">
        <v>2</v>
      </c>
      <c r="I124" s="29">
        <v>2.95</v>
      </c>
      <c r="J124" s="29">
        <v>0.4425</v>
      </c>
      <c r="K124" s="29">
        <v>0.88500000000000001</v>
      </c>
      <c r="L124" s="29" t="s">
        <v>1032</v>
      </c>
      <c r="M124" s="29">
        <v>1</v>
      </c>
      <c r="N124" s="29">
        <v>0.3</v>
      </c>
      <c r="O124" s="29">
        <v>2</v>
      </c>
      <c r="P124" s="29">
        <v>0.88500000000000001</v>
      </c>
      <c r="Q124" s="29" t="s">
        <v>1033</v>
      </c>
    </row>
    <row r="125" spans="1:18" x14ac:dyDescent="0.3">
      <c r="A125" s="29" t="s">
        <v>382</v>
      </c>
      <c r="B125" s="29">
        <v>1</v>
      </c>
      <c r="C125" s="29" t="s">
        <v>1030</v>
      </c>
      <c r="D125" s="30" t="s">
        <v>1056</v>
      </c>
      <c r="E125" s="29">
        <v>193</v>
      </c>
      <c r="G125" s="29" t="s">
        <v>1031</v>
      </c>
      <c r="H125" s="29">
        <v>1</v>
      </c>
      <c r="I125" s="29">
        <v>5.44</v>
      </c>
      <c r="J125" s="29">
        <v>1.0499200000000002</v>
      </c>
      <c r="K125" s="29">
        <v>1.0499200000000002</v>
      </c>
      <c r="L125" s="29" t="s">
        <v>1032</v>
      </c>
      <c r="M125" s="29">
        <v>1</v>
      </c>
      <c r="N125" s="29">
        <v>0.193</v>
      </c>
      <c r="P125" s="29">
        <v>1.0499200000000002</v>
      </c>
      <c r="Q125" s="29" t="s">
        <v>1033</v>
      </c>
    </row>
    <row r="126" spans="1:18" x14ac:dyDescent="0.3">
      <c r="B126" s="29">
        <v>2</v>
      </c>
      <c r="C126" s="45" t="s">
        <v>1030</v>
      </c>
      <c r="D126" s="30" t="s">
        <v>1056</v>
      </c>
      <c r="E126" s="29">
        <v>700</v>
      </c>
      <c r="G126" s="29" t="s">
        <v>1034</v>
      </c>
      <c r="H126" s="29">
        <v>1</v>
      </c>
      <c r="I126" s="29">
        <v>5.44</v>
      </c>
      <c r="J126" s="29">
        <v>3.8079999999999998</v>
      </c>
      <c r="K126" s="29">
        <v>3.8079999999999998</v>
      </c>
      <c r="L126" s="29" t="s">
        <v>1032</v>
      </c>
      <c r="M126" s="29">
        <v>1</v>
      </c>
      <c r="N126" s="29">
        <v>0.7</v>
      </c>
      <c r="P126" s="29">
        <v>3.8079999999999998</v>
      </c>
      <c r="Q126" s="29" t="s">
        <v>1033</v>
      </c>
    </row>
    <row r="127" spans="1:18" x14ac:dyDescent="0.3">
      <c r="B127" s="29">
        <v>3</v>
      </c>
      <c r="C127" s="29" t="s">
        <v>1049</v>
      </c>
      <c r="D127" s="30">
        <v>9</v>
      </c>
      <c r="E127" s="29">
        <v>150</v>
      </c>
      <c r="F127" s="29">
        <v>150</v>
      </c>
      <c r="G127" s="29" t="s">
        <v>1035</v>
      </c>
      <c r="H127" s="29">
        <v>1</v>
      </c>
      <c r="J127" s="29">
        <v>1.5896249999999998</v>
      </c>
      <c r="K127" s="29">
        <v>1.5896249999999998</v>
      </c>
      <c r="L127" s="29" t="s">
        <v>1036</v>
      </c>
      <c r="M127" s="29">
        <v>1</v>
      </c>
      <c r="O127" s="29">
        <v>1</v>
      </c>
      <c r="P127" s="29">
        <v>1.5896249999999998</v>
      </c>
      <c r="Q127" s="29" t="s">
        <v>1037</v>
      </c>
    </row>
    <row r="128" spans="1:18" x14ac:dyDescent="0.3">
      <c r="B128" s="29">
        <v>4</v>
      </c>
      <c r="C128" s="29" t="s">
        <v>1054</v>
      </c>
      <c r="D128" s="30">
        <v>9</v>
      </c>
      <c r="E128" s="29">
        <v>290</v>
      </c>
      <c r="F128" s="29">
        <v>290</v>
      </c>
      <c r="G128" s="29" t="s">
        <v>1035</v>
      </c>
      <c r="H128" s="29">
        <v>1</v>
      </c>
      <c r="J128" s="29">
        <v>5.9416649999999995</v>
      </c>
      <c r="K128" s="29">
        <v>5.9416649999999995</v>
      </c>
      <c r="L128" s="29" t="s">
        <v>1036</v>
      </c>
      <c r="M128" s="29">
        <v>1</v>
      </c>
      <c r="O128" s="29">
        <v>1</v>
      </c>
      <c r="P128" s="29">
        <v>5.9416649999999995</v>
      </c>
      <c r="Q128" s="29" t="s">
        <v>1037</v>
      </c>
      <c r="R128" t="s">
        <v>1127</v>
      </c>
    </row>
    <row r="129" spans="1:18" x14ac:dyDescent="0.3">
      <c r="B129" s="29">
        <v>5</v>
      </c>
      <c r="C129" s="29" t="s">
        <v>1038</v>
      </c>
      <c r="D129" s="30" t="s">
        <v>287</v>
      </c>
      <c r="G129" s="29" t="s">
        <v>1031</v>
      </c>
      <c r="H129" s="29">
        <v>4</v>
      </c>
      <c r="J129" s="29">
        <v>1</v>
      </c>
      <c r="K129" s="29">
        <v>4</v>
      </c>
      <c r="L129" s="29" t="s">
        <v>1039</v>
      </c>
      <c r="M129" s="29">
        <v>1</v>
      </c>
      <c r="O129" s="29">
        <v>4</v>
      </c>
      <c r="P129" s="29">
        <v>4</v>
      </c>
      <c r="Q129" s="29" t="s">
        <v>1040</v>
      </c>
    </row>
    <row r="130" spans="1:18" x14ac:dyDescent="0.3">
      <c r="B130" s="29">
        <v>6</v>
      </c>
      <c r="C130" s="29" t="s">
        <v>1050</v>
      </c>
      <c r="D130" s="30" t="s">
        <v>1051</v>
      </c>
      <c r="E130" s="29">
        <v>150</v>
      </c>
      <c r="G130" s="29" t="s">
        <v>1035</v>
      </c>
      <c r="H130" s="29">
        <v>2</v>
      </c>
      <c r="I130" s="29">
        <v>2.95</v>
      </c>
      <c r="J130" s="29">
        <v>0.4425</v>
      </c>
      <c r="K130" s="29">
        <v>0.88500000000000001</v>
      </c>
      <c r="L130" s="29" t="s">
        <v>1032</v>
      </c>
      <c r="M130" s="29">
        <v>1</v>
      </c>
      <c r="N130" s="29">
        <v>0.3</v>
      </c>
      <c r="O130" s="29">
        <v>2</v>
      </c>
      <c r="P130" s="29">
        <v>0.88500000000000001</v>
      </c>
      <c r="Q130" s="29" t="s">
        <v>1033</v>
      </c>
    </row>
    <row r="131" spans="1:18" x14ac:dyDescent="0.3">
      <c r="A131" s="29" t="s">
        <v>383</v>
      </c>
      <c r="B131" s="29">
        <v>1</v>
      </c>
      <c r="C131" s="29" t="s">
        <v>1030</v>
      </c>
      <c r="D131" s="30" t="s">
        <v>1056</v>
      </c>
      <c r="E131" s="29">
        <v>193</v>
      </c>
      <c r="G131" s="29" t="s">
        <v>1031</v>
      </c>
      <c r="H131" s="29">
        <v>1</v>
      </c>
      <c r="I131" s="29">
        <v>5.44</v>
      </c>
      <c r="J131" s="29">
        <v>1.0499200000000002</v>
      </c>
      <c r="K131" s="29">
        <v>1.0499200000000002</v>
      </c>
      <c r="L131" s="29" t="s">
        <v>1032</v>
      </c>
      <c r="M131" s="29">
        <v>1</v>
      </c>
      <c r="N131" s="29">
        <v>0.193</v>
      </c>
      <c r="P131" s="29">
        <v>1.0499200000000002</v>
      </c>
      <c r="Q131" s="29" t="s">
        <v>1033</v>
      </c>
    </row>
    <row r="132" spans="1:18" x14ac:dyDescent="0.3">
      <c r="B132" s="29">
        <v>2</v>
      </c>
      <c r="C132" s="29" t="s">
        <v>1030</v>
      </c>
      <c r="D132" s="30" t="s">
        <v>1056</v>
      </c>
      <c r="E132" s="29">
        <v>900</v>
      </c>
      <c r="G132" s="29" t="s">
        <v>1034</v>
      </c>
      <c r="H132" s="29">
        <v>1</v>
      </c>
      <c r="I132" s="29">
        <v>5.44</v>
      </c>
      <c r="J132" s="29">
        <v>4.8960000000000008</v>
      </c>
      <c r="K132" s="29">
        <v>4.8960000000000008</v>
      </c>
      <c r="L132" s="29" t="s">
        <v>1032</v>
      </c>
      <c r="M132" s="29">
        <v>1</v>
      </c>
      <c r="N132" s="29">
        <v>0.9</v>
      </c>
      <c r="P132" s="29">
        <v>4.8960000000000008</v>
      </c>
      <c r="Q132" s="29" t="s">
        <v>1033</v>
      </c>
    </row>
    <row r="133" spans="1:18" x14ac:dyDescent="0.3">
      <c r="B133" s="29">
        <v>3</v>
      </c>
      <c r="C133" s="29" t="s">
        <v>1049</v>
      </c>
      <c r="D133" s="30">
        <v>9</v>
      </c>
      <c r="E133" s="29">
        <v>150</v>
      </c>
      <c r="F133" s="29">
        <v>150</v>
      </c>
      <c r="G133" s="29" t="s">
        <v>1035</v>
      </c>
      <c r="H133" s="29">
        <v>1</v>
      </c>
      <c r="J133" s="29">
        <v>1.5896249999999998</v>
      </c>
      <c r="K133" s="29">
        <v>1.5896249999999998</v>
      </c>
      <c r="L133" s="29" t="s">
        <v>1036</v>
      </c>
      <c r="M133" s="29">
        <v>1</v>
      </c>
      <c r="O133" s="29">
        <v>1</v>
      </c>
      <c r="P133" s="29">
        <v>1.5896249999999998</v>
      </c>
      <c r="Q133" s="29" t="s">
        <v>1037</v>
      </c>
    </row>
    <row r="134" spans="1:18" x14ac:dyDescent="0.3">
      <c r="B134" s="29">
        <v>4</v>
      </c>
      <c r="C134" s="29" t="s">
        <v>1054</v>
      </c>
      <c r="D134" s="30">
        <v>9</v>
      </c>
      <c r="E134" s="29">
        <v>290</v>
      </c>
      <c r="F134" s="29">
        <v>290</v>
      </c>
      <c r="G134" s="29" t="s">
        <v>1035</v>
      </c>
      <c r="H134" s="29">
        <v>1</v>
      </c>
      <c r="J134" s="29">
        <v>5.9416649999999995</v>
      </c>
      <c r="K134" s="29">
        <v>5.9416649999999995</v>
      </c>
      <c r="L134" s="29" t="s">
        <v>1036</v>
      </c>
      <c r="M134" s="29">
        <v>1</v>
      </c>
      <c r="O134" s="29">
        <v>1</v>
      </c>
      <c r="P134" s="29">
        <v>5.9416649999999995</v>
      </c>
      <c r="Q134" s="29" t="s">
        <v>1037</v>
      </c>
      <c r="R134" t="s">
        <v>1127</v>
      </c>
    </row>
    <row r="135" spans="1:18" x14ac:dyDescent="0.3">
      <c r="B135" s="29">
        <v>5</v>
      </c>
      <c r="C135" s="45" t="s">
        <v>1038</v>
      </c>
      <c r="D135" s="30" t="s">
        <v>287</v>
      </c>
      <c r="G135" s="29" t="s">
        <v>1031</v>
      </c>
      <c r="H135" s="29">
        <v>4</v>
      </c>
      <c r="J135" s="29">
        <v>1</v>
      </c>
      <c r="K135" s="29">
        <v>4</v>
      </c>
      <c r="L135" s="29" t="s">
        <v>1039</v>
      </c>
      <c r="M135" s="29">
        <v>1</v>
      </c>
      <c r="O135" s="29">
        <v>4</v>
      </c>
      <c r="P135" s="29">
        <v>4</v>
      </c>
      <c r="Q135" s="29" t="s">
        <v>1040</v>
      </c>
    </row>
    <row r="136" spans="1:18" x14ac:dyDescent="0.3">
      <c r="A136" s="29" t="s">
        <v>384</v>
      </c>
      <c r="B136" s="29">
        <v>1</v>
      </c>
      <c r="C136" s="29" t="s">
        <v>1030</v>
      </c>
      <c r="D136" s="30" t="s">
        <v>1057</v>
      </c>
      <c r="E136" s="29">
        <v>239</v>
      </c>
      <c r="G136" s="29" t="s">
        <v>1031</v>
      </c>
      <c r="H136" s="29">
        <v>1</v>
      </c>
      <c r="I136" s="29">
        <v>11.29</v>
      </c>
      <c r="J136" s="29">
        <v>2.6983099999999998</v>
      </c>
      <c r="K136" s="29">
        <v>2.6983099999999998</v>
      </c>
      <c r="L136" s="29" t="s">
        <v>1032</v>
      </c>
      <c r="M136" s="29">
        <v>1</v>
      </c>
      <c r="N136" s="29">
        <v>0.23899999999999999</v>
      </c>
      <c r="P136" s="29">
        <v>2.6983099999999998</v>
      </c>
      <c r="Q136" s="29" t="s">
        <v>1033</v>
      </c>
    </row>
    <row r="137" spans="1:18" x14ac:dyDescent="0.3">
      <c r="B137" s="29">
        <v>2</v>
      </c>
      <c r="C137" s="29" t="s">
        <v>1049</v>
      </c>
      <c r="D137" s="30">
        <v>9</v>
      </c>
      <c r="E137" s="29">
        <v>150</v>
      </c>
      <c r="F137" s="29">
        <v>150</v>
      </c>
      <c r="G137" s="29" t="s">
        <v>1035</v>
      </c>
      <c r="H137" s="29">
        <v>1</v>
      </c>
      <c r="J137" s="29">
        <v>1.5896249999999998</v>
      </c>
      <c r="K137" s="29">
        <v>1.5896249999999998</v>
      </c>
      <c r="L137" s="29" t="s">
        <v>1036</v>
      </c>
      <c r="M137" s="29">
        <v>1</v>
      </c>
      <c r="O137" s="29">
        <v>1</v>
      </c>
      <c r="P137" s="29">
        <v>1.5896249999999998</v>
      </c>
      <c r="Q137" s="29" t="s">
        <v>1037</v>
      </c>
    </row>
    <row r="138" spans="1:18" x14ac:dyDescent="0.3">
      <c r="A138" s="29" t="s">
        <v>384</v>
      </c>
      <c r="B138" s="29">
        <v>1</v>
      </c>
      <c r="C138" s="29" t="s">
        <v>1030</v>
      </c>
      <c r="D138" s="30" t="s">
        <v>1057</v>
      </c>
      <c r="E138" s="29">
        <v>239</v>
      </c>
      <c r="G138" s="29" t="s">
        <v>1031</v>
      </c>
      <c r="H138" s="29">
        <v>1</v>
      </c>
      <c r="I138" s="29">
        <v>11.29</v>
      </c>
      <c r="J138" s="29">
        <v>2.6983099999999998</v>
      </c>
      <c r="K138" s="29">
        <v>2.6983099999999998</v>
      </c>
      <c r="L138" s="29" t="s">
        <v>1032</v>
      </c>
      <c r="M138" s="29">
        <v>1</v>
      </c>
      <c r="N138" s="29">
        <v>0.23899999999999999</v>
      </c>
      <c r="P138" s="29">
        <v>2.6983099999999998</v>
      </c>
      <c r="Q138" s="29" t="s">
        <v>1033</v>
      </c>
    </row>
    <row r="139" spans="1:18" x14ac:dyDescent="0.3">
      <c r="B139" s="29">
        <v>2</v>
      </c>
      <c r="C139" s="29" t="s">
        <v>1049</v>
      </c>
      <c r="D139" s="30">
        <v>9</v>
      </c>
      <c r="E139" s="29">
        <v>150</v>
      </c>
      <c r="F139" s="29">
        <v>150</v>
      </c>
      <c r="G139" s="29" t="s">
        <v>1035</v>
      </c>
      <c r="H139" s="29">
        <v>1</v>
      </c>
      <c r="J139" s="29">
        <v>1.5896249999999998</v>
      </c>
      <c r="K139" s="29">
        <v>1.5896249999999998</v>
      </c>
      <c r="L139" s="29" t="s">
        <v>1036</v>
      </c>
      <c r="M139" s="29">
        <v>1</v>
      </c>
      <c r="O139" s="29">
        <v>1</v>
      </c>
      <c r="P139" s="29">
        <v>1.5896249999999998</v>
      </c>
      <c r="Q139" s="29" t="s">
        <v>1037</v>
      </c>
    </row>
    <row r="140" spans="1:18" x14ac:dyDescent="0.3">
      <c r="A140" s="29" t="s">
        <v>384</v>
      </c>
      <c r="B140" s="29">
        <v>1</v>
      </c>
      <c r="C140" s="29" t="s">
        <v>1030</v>
      </c>
      <c r="D140" s="30" t="s">
        <v>1057</v>
      </c>
      <c r="E140" s="29">
        <v>239</v>
      </c>
      <c r="G140" s="29" t="s">
        <v>1031</v>
      </c>
      <c r="H140" s="29">
        <v>1</v>
      </c>
      <c r="I140" s="29">
        <v>11.29</v>
      </c>
      <c r="J140" s="29">
        <v>2.6983099999999998</v>
      </c>
      <c r="K140" s="29">
        <v>2.6983099999999998</v>
      </c>
      <c r="L140" s="29" t="s">
        <v>1032</v>
      </c>
      <c r="M140" s="29">
        <v>1</v>
      </c>
      <c r="N140" s="29">
        <v>0.23899999999999999</v>
      </c>
      <c r="P140" s="29">
        <v>2.6983099999999998</v>
      </c>
      <c r="Q140" s="29" t="s">
        <v>1033</v>
      </c>
    </row>
    <row r="141" spans="1:18" x14ac:dyDescent="0.3">
      <c r="B141" s="29">
        <v>2</v>
      </c>
      <c r="C141" s="45" t="s">
        <v>1049</v>
      </c>
      <c r="D141" s="30">
        <v>9</v>
      </c>
      <c r="E141" s="29">
        <v>150</v>
      </c>
      <c r="F141" s="29">
        <v>150</v>
      </c>
      <c r="G141" s="29" t="s">
        <v>1035</v>
      </c>
      <c r="H141" s="29">
        <v>1</v>
      </c>
      <c r="J141" s="29">
        <v>1.5896249999999998</v>
      </c>
      <c r="K141" s="29">
        <v>1.5896249999999998</v>
      </c>
      <c r="L141" s="29" t="s">
        <v>1036</v>
      </c>
      <c r="M141" s="29">
        <v>1</v>
      </c>
      <c r="O141" s="29">
        <v>1</v>
      </c>
      <c r="P141" s="29">
        <v>1.5896249999999998</v>
      </c>
      <c r="Q141" s="29" t="s">
        <v>1037</v>
      </c>
    </row>
    <row r="142" spans="1:18" x14ac:dyDescent="0.3">
      <c r="A142" s="29" t="s">
        <v>385</v>
      </c>
      <c r="B142" s="29">
        <v>1</v>
      </c>
      <c r="C142" s="29" t="s">
        <v>1030</v>
      </c>
      <c r="D142" s="30" t="s">
        <v>1057</v>
      </c>
      <c r="E142" s="29">
        <v>239</v>
      </c>
      <c r="G142" s="29" t="s">
        <v>1031</v>
      </c>
      <c r="H142" s="29">
        <v>1</v>
      </c>
      <c r="I142" s="29">
        <v>11.29</v>
      </c>
      <c r="J142" s="29">
        <v>2.6983099999999998</v>
      </c>
      <c r="K142" s="29">
        <v>2.6983099999999998</v>
      </c>
      <c r="L142" s="29" t="s">
        <v>1032</v>
      </c>
      <c r="M142" s="29">
        <v>1</v>
      </c>
      <c r="N142" s="29">
        <v>0.23899999999999999</v>
      </c>
      <c r="P142" s="29">
        <v>2.6983099999999998</v>
      </c>
      <c r="Q142" s="29" t="s">
        <v>1033</v>
      </c>
    </row>
    <row r="143" spans="1:18" x14ac:dyDescent="0.3">
      <c r="B143" s="29">
        <v>2</v>
      </c>
      <c r="C143" s="29" t="s">
        <v>1030</v>
      </c>
      <c r="D143" s="30" t="s">
        <v>1057</v>
      </c>
      <c r="E143" s="29">
        <v>100</v>
      </c>
      <c r="G143" s="29" t="s">
        <v>1034</v>
      </c>
      <c r="H143" s="29">
        <v>1</v>
      </c>
      <c r="I143" s="29">
        <v>11.29</v>
      </c>
      <c r="J143" s="29">
        <v>1.129</v>
      </c>
      <c r="K143" s="29">
        <v>1.129</v>
      </c>
      <c r="L143" s="29" t="s">
        <v>1032</v>
      </c>
      <c r="M143" s="29">
        <v>1</v>
      </c>
      <c r="N143" s="29">
        <v>0.1</v>
      </c>
      <c r="P143" s="29">
        <v>1.129</v>
      </c>
      <c r="Q143" s="29" t="s">
        <v>1033</v>
      </c>
    </row>
    <row r="144" spans="1:18" x14ac:dyDescent="0.3">
      <c r="B144" s="29">
        <v>3</v>
      </c>
      <c r="C144" s="29" t="s">
        <v>1049</v>
      </c>
      <c r="D144" s="30">
        <v>9</v>
      </c>
      <c r="E144" s="29">
        <v>150</v>
      </c>
      <c r="F144" s="29">
        <v>150</v>
      </c>
      <c r="G144" s="29" t="s">
        <v>1035</v>
      </c>
      <c r="H144" s="29">
        <v>1</v>
      </c>
      <c r="J144" s="29">
        <v>1.5896249999999998</v>
      </c>
      <c r="K144" s="29">
        <v>1.5896249999999998</v>
      </c>
      <c r="L144" s="29" t="s">
        <v>1036</v>
      </c>
      <c r="M144" s="29">
        <v>1</v>
      </c>
      <c r="O144" s="29">
        <v>1</v>
      </c>
      <c r="P144" s="29">
        <v>1.5896249999999998</v>
      </c>
      <c r="Q144" s="29" t="s">
        <v>1037</v>
      </c>
    </row>
    <row r="145" spans="1:18" x14ac:dyDescent="0.3">
      <c r="B145" s="29">
        <v>4</v>
      </c>
      <c r="C145" s="29" t="s">
        <v>1050</v>
      </c>
      <c r="D145" s="30" t="s">
        <v>1051</v>
      </c>
      <c r="E145" s="29">
        <v>150</v>
      </c>
      <c r="G145" s="29" t="s">
        <v>1035</v>
      </c>
      <c r="H145" s="29">
        <v>2</v>
      </c>
      <c r="I145" s="29">
        <v>2.95</v>
      </c>
      <c r="J145" s="29">
        <v>0.4425</v>
      </c>
      <c r="K145" s="29">
        <v>0.88500000000000001</v>
      </c>
      <c r="L145" s="29" t="s">
        <v>1032</v>
      </c>
      <c r="M145" s="29">
        <v>1</v>
      </c>
      <c r="N145" s="29">
        <v>0.3</v>
      </c>
      <c r="O145" s="29">
        <v>2</v>
      </c>
      <c r="P145" s="29">
        <v>0.88500000000000001</v>
      </c>
      <c r="Q145" s="29" t="s">
        <v>1033</v>
      </c>
    </row>
    <row r="146" spans="1:18" x14ac:dyDescent="0.3">
      <c r="A146" s="29" t="s">
        <v>386</v>
      </c>
      <c r="B146" s="29">
        <v>1</v>
      </c>
      <c r="C146" s="45" t="s">
        <v>1030</v>
      </c>
      <c r="D146" s="30" t="s">
        <v>1057</v>
      </c>
      <c r="E146" s="29">
        <v>239</v>
      </c>
      <c r="G146" s="29" t="s">
        <v>1031</v>
      </c>
      <c r="H146" s="29">
        <v>1</v>
      </c>
      <c r="I146" s="29">
        <v>11.29</v>
      </c>
      <c r="J146" s="29">
        <v>2.6983099999999998</v>
      </c>
      <c r="K146" s="29">
        <v>2.6983099999999998</v>
      </c>
      <c r="L146" s="29" t="s">
        <v>1032</v>
      </c>
      <c r="M146" s="29">
        <v>1</v>
      </c>
      <c r="N146" s="29">
        <v>0.23899999999999999</v>
      </c>
      <c r="P146" s="29">
        <v>2.6983099999999998</v>
      </c>
      <c r="Q146" s="29" t="s">
        <v>1033</v>
      </c>
    </row>
    <row r="147" spans="1:18" x14ac:dyDescent="0.3">
      <c r="B147" s="29">
        <v>2</v>
      </c>
      <c r="C147" s="29" t="s">
        <v>1030</v>
      </c>
      <c r="D147" s="30" t="s">
        <v>1057</v>
      </c>
      <c r="E147" s="29">
        <v>300</v>
      </c>
      <c r="G147" s="29" t="s">
        <v>1034</v>
      </c>
      <c r="H147" s="29">
        <v>1</v>
      </c>
      <c r="I147" s="29">
        <v>11.29</v>
      </c>
      <c r="J147" s="29">
        <v>3.3869999999999996</v>
      </c>
      <c r="K147" s="29">
        <v>3.3869999999999996</v>
      </c>
      <c r="L147" s="29" t="s">
        <v>1032</v>
      </c>
      <c r="M147" s="29">
        <v>1</v>
      </c>
      <c r="N147" s="29">
        <v>0.3</v>
      </c>
      <c r="P147" s="29">
        <v>3.3869999999999996</v>
      </c>
      <c r="Q147" s="29" t="s">
        <v>1033</v>
      </c>
    </row>
    <row r="148" spans="1:18" x14ac:dyDescent="0.3">
      <c r="B148" s="29">
        <v>3</v>
      </c>
      <c r="C148" s="29" t="s">
        <v>1049</v>
      </c>
      <c r="D148" s="30">
        <v>9</v>
      </c>
      <c r="E148" s="29">
        <v>150</v>
      </c>
      <c r="F148" s="29">
        <v>150</v>
      </c>
      <c r="G148" s="29" t="s">
        <v>1035</v>
      </c>
      <c r="H148" s="29">
        <v>1</v>
      </c>
      <c r="J148" s="29">
        <v>1.5896249999999998</v>
      </c>
      <c r="K148" s="29">
        <v>1.5896249999999998</v>
      </c>
      <c r="L148" s="29" t="s">
        <v>1036</v>
      </c>
      <c r="M148" s="29">
        <v>1</v>
      </c>
      <c r="O148" s="29">
        <v>1</v>
      </c>
      <c r="P148" s="29">
        <v>1.5896249999999998</v>
      </c>
      <c r="Q148" s="29" t="s">
        <v>1037</v>
      </c>
    </row>
    <row r="149" spans="1:18" x14ac:dyDescent="0.3">
      <c r="A149" s="29" t="s">
        <v>387</v>
      </c>
      <c r="B149" s="29">
        <v>1</v>
      </c>
      <c r="C149" s="29" t="s">
        <v>1030</v>
      </c>
      <c r="D149" s="30" t="s">
        <v>1057</v>
      </c>
      <c r="E149" s="29">
        <v>239</v>
      </c>
      <c r="G149" s="29" t="s">
        <v>1031</v>
      </c>
      <c r="H149" s="29">
        <v>1</v>
      </c>
      <c r="I149" s="29">
        <v>11.29</v>
      </c>
      <c r="J149" s="29">
        <v>2.6983099999999998</v>
      </c>
      <c r="K149" s="29">
        <v>2.6983099999999998</v>
      </c>
      <c r="L149" s="29" t="s">
        <v>1032</v>
      </c>
      <c r="M149" s="29">
        <v>1</v>
      </c>
      <c r="N149" s="29">
        <v>0.23899999999999999</v>
      </c>
      <c r="P149" s="29">
        <v>2.6983099999999998</v>
      </c>
      <c r="Q149" s="29" t="s">
        <v>1033</v>
      </c>
    </row>
    <row r="150" spans="1:18" x14ac:dyDescent="0.3">
      <c r="B150" s="29">
        <v>2</v>
      </c>
      <c r="C150" s="29" t="s">
        <v>1030</v>
      </c>
      <c r="D150" s="30" t="s">
        <v>1057</v>
      </c>
      <c r="E150" s="29">
        <v>400</v>
      </c>
      <c r="G150" s="29" t="s">
        <v>1034</v>
      </c>
      <c r="H150" s="29">
        <v>1</v>
      </c>
      <c r="I150" s="29">
        <v>11.29</v>
      </c>
      <c r="J150" s="29">
        <v>4.516</v>
      </c>
      <c r="K150" s="29">
        <v>4.516</v>
      </c>
      <c r="L150" s="29" t="s">
        <v>1032</v>
      </c>
      <c r="M150" s="29">
        <v>1</v>
      </c>
      <c r="N150" s="29">
        <v>0.4</v>
      </c>
      <c r="P150" s="29">
        <v>4.516</v>
      </c>
      <c r="Q150" s="29" t="s">
        <v>1033</v>
      </c>
    </row>
    <row r="151" spans="1:18" x14ac:dyDescent="0.3">
      <c r="B151" s="29">
        <v>3</v>
      </c>
      <c r="C151" s="29" t="s">
        <v>1049</v>
      </c>
      <c r="D151" s="30">
        <v>9</v>
      </c>
      <c r="E151" s="29">
        <v>150</v>
      </c>
      <c r="F151" s="29">
        <v>150</v>
      </c>
      <c r="G151" s="29" t="s">
        <v>1035</v>
      </c>
      <c r="H151" s="29">
        <v>1</v>
      </c>
      <c r="J151" s="29">
        <v>1.5896249999999998</v>
      </c>
      <c r="K151" s="29">
        <v>1.5896249999999998</v>
      </c>
      <c r="L151" s="29" t="s">
        <v>1036</v>
      </c>
      <c r="M151" s="29">
        <v>1</v>
      </c>
      <c r="O151" s="29">
        <v>1</v>
      </c>
      <c r="P151" s="29">
        <v>1.5896249999999998</v>
      </c>
      <c r="Q151" s="29" t="s">
        <v>1037</v>
      </c>
    </row>
    <row r="152" spans="1:18" x14ac:dyDescent="0.3">
      <c r="B152" s="29">
        <v>4</v>
      </c>
      <c r="C152" s="29" t="s">
        <v>1054</v>
      </c>
      <c r="D152" s="30">
        <v>9</v>
      </c>
      <c r="E152" s="29">
        <v>290</v>
      </c>
      <c r="F152" s="29">
        <v>290</v>
      </c>
      <c r="G152" s="29" t="s">
        <v>1035</v>
      </c>
      <c r="H152" s="29">
        <v>1</v>
      </c>
      <c r="J152" s="29">
        <v>5.9416649999999995</v>
      </c>
      <c r="K152" s="29">
        <v>5.9416649999999995</v>
      </c>
      <c r="L152" s="29" t="s">
        <v>1036</v>
      </c>
      <c r="M152" s="29">
        <v>1</v>
      </c>
      <c r="O152" s="29">
        <v>1</v>
      </c>
      <c r="P152" s="29">
        <v>5.9416649999999995</v>
      </c>
      <c r="Q152" s="29" t="s">
        <v>1037</v>
      </c>
      <c r="R152" t="s">
        <v>1127</v>
      </c>
    </row>
    <row r="153" spans="1:18" x14ac:dyDescent="0.3">
      <c r="B153" s="29">
        <v>5</v>
      </c>
      <c r="C153" s="29" t="s">
        <v>1038</v>
      </c>
      <c r="D153" s="30" t="s">
        <v>287</v>
      </c>
      <c r="G153" s="29" t="s">
        <v>1031</v>
      </c>
      <c r="H153" s="29">
        <v>4</v>
      </c>
      <c r="J153" s="29">
        <v>1</v>
      </c>
      <c r="K153" s="29">
        <v>4</v>
      </c>
      <c r="L153" s="29" t="s">
        <v>1039</v>
      </c>
      <c r="M153" s="29">
        <v>1</v>
      </c>
      <c r="O153" s="29">
        <v>4</v>
      </c>
      <c r="P153" s="29">
        <v>4</v>
      </c>
      <c r="Q153" s="29" t="s">
        <v>1040</v>
      </c>
    </row>
    <row r="154" spans="1:18" x14ac:dyDescent="0.3">
      <c r="B154" s="29">
        <v>6</v>
      </c>
      <c r="C154" s="29" t="s">
        <v>1050</v>
      </c>
      <c r="D154" s="30" t="s">
        <v>1051</v>
      </c>
      <c r="E154" s="29">
        <v>150</v>
      </c>
      <c r="G154" s="29" t="s">
        <v>1035</v>
      </c>
      <c r="H154" s="29">
        <v>2</v>
      </c>
      <c r="I154" s="29">
        <v>2.95</v>
      </c>
      <c r="J154" s="29">
        <v>0.4425</v>
      </c>
      <c r="K154" s="29">
        <v>0.88500000000000001</v>
      </c>
      <c r="L154" s="29" t="s">
        <v>1032</v>
      </c>
      <c r="M154" s="29">
        <v>1</v>
      </c>
      <c r="N154" s="29">
        <v>0.3</v>
      </c>
      <c r="O154" s="29">
        <v>2</v>
      </c>
      <c r="P154" s="29">
        <v>0.88500000000000001</v>
      </c>
      <c r="Q154" s="29" t="s">
        <v>1033</v>
      </c>
    </row>
    <row r="155" spans="1:18" x14ac:dyDescent="0.3">
      <c r="A155" s="29" t="s">
        <v>387</v>
      </c>
      <c r="B155" s="29">
        <v>1</v>
      </c>
      <c r="C155" s="45" t="s">
        <v>1030</v>
      </c>
      <c r="D155" s="30" t="s">
        <v>1057</v>
      </c>
      <c r="E155" s="29">
        <v>239</v>
      </c>
      <c r="G155" s="29" t="s">
        <v>1031</v>
      </c>
      <c r="H155" s="29">
        <v>1</v>
      </c>
      <c r="I155" s="29">
        <v>11.29</v>
      </c>
      <c r="J155" s="29">
        <v>2.6983099999999998</v>
      </c>
      <c r="K155" s="29">
        <v>2.6983099999999998</v>
      </c>
      <c r="L155" s="29" t="s">
        <v>1032</v>
      </c>
      <c r="M155" s="29">
        <v>1</v>
      </c>
      <c r="N155" s="29">
        <v>0.23899999999999999</v>
      </c>
      <c r="P155" s="29">
        <v>2.6983099999999998</v>
      </c>
      <c r="Q155" s="29" t="s">
        <v>1033</v>
      </c>
    </row>
    <row r="156" spans="1:18" x14ac:dyDescent="0.3">
      <c r="B156" s="29">
        <v>2</v>
      </c>
      <c r="C156" s="29" t="s">
        <v>1030</v>
      </c>
      <c r="D156" s="30" t="s">
        <v>1057</v>
      </c>
      <c r="E156" s="29">
        <v>400</v>
      </c>
      <c r="G156" s="29" t="s">
        <v>1034</v>
      </c>
      <c r="H156" s="29">
        <v>1</v>
      </c>
      <c r="I156" s="29">
        <v>11.29</v>
      </c>
      <c r="J156" s="29">
        <v>4.516</v>
      </c>
      <c r="K156" s="29">
        <v>4.516</v>
      </c>
      <c r="L156" s="29" t="s">
        <v>1032</v>
      </c>
      <c r="M156" s="29">
        <v>1</v>
      </c>
      <c r="N156" s="29">
        <v>0.4</v>
      </c>
      <c r="P156" s="29">
        <v>4.516</v>
      </c>
      <c r="Q156" s="29" t="s">
        <v>1033</v>
      </c>
    </row>
    <row r="157" spans="1:18" x14ac:dyDescent="0.3">
      <c r="B157" s="29">
        <v>3</v>
      </c>
      <c r="C157" s="29" t="s">
        <v>1049</v>
      </c>
      <c r="D157" s="30">
        <v>9</v>
      </c>
      <c r="E157" s="29">
        <v>150</v>
      </c>
      <c r="F157" s="29">
        <v>150</v>
      </c>
      <c r="G157" s="29" t="s">
        <v>1035</v>
      </c>
      <c r="H157" s="29">
        <v>1</v>
      </c>
      <c r="J157" s="29">
        <v>1.5896249999999998</v>
      </c>
      <c r="K157" s="29">
        <v>1.5896249999999998</v>
      </c>
      <c r="L157" s="29" t="s">
        <v>1036</v>
      </c>
      <c r="M157" s="29">
        <v>1</v>
      </c>
      <c r="O157" s="29">
        <v>1</v>
      </c>
      <c r="P157" s="29">
        <v>1.5896249999999998</v>
      </c>
      <c r="Q157" s="29" t="s">
        <v>1037</v>
      </c>
    </row>
    <row r="158" spans="1:18" x14ac:dyDescent="0.3">
      <c r="B158" s="29">
        <v>4</v>
      </c>
      <c r="C158" s="29" t="s">
        <v>1054</v>
      </c>
      <c r="D158" s="30">
        <v>9</v>
      </c>
      <c r="E158" s="29">
        <v>290</v>
      </c>
      <c r="F158" s="29">
        <v>290</v>
      </c>
      <c r="G158" s="29" t="s">
        <v>1035</v>
      </c>
      <c r="H158" s="29">
        <v>1</v>
      </c>
      <c r="J158" s="29">
        <v>5.9416649999999995</v>
      </c>
      <c r="K158" s="29">
        <v>5.9416649999999995</v>
      </c>
      <c r="L158" s="29" t="s">
        <v>1036</v>
      </c>
      <c r="M158" s="29">
        <v>1</v>
      </c>
      <c r="O158" s="29">
        <v>1</v>
      </c>
      <c r="P158" s="29">
        <v>5.9416649999999995</v>
      </c>
      <c r="Q158" s="29" t="s">
        <v>1037</v>
      </c>
      <c r="R158" t="s">
        <v>1127</v>
      </c>
    </row>
    <row r="159" spans="1:18" x14ac:dyDescent="0.3">
      <c r="B159" s="29">
        <v>5</v>
      </c>
      <c r="C159" s="45" t="s">
        <v>1038</v>
      </c>
      <c r="D159" s="30" t="s">
        <v>287</v>
      </c>
      <c r="G159" s="29" t="s">
        <v>1031</v>
      </c>
      <c r="H159" s="29">
        <v>4</v>
      </c>
      <c r="J159" s="29">
        <v>1</v>
      </c>
      <c r="K159" s="29">
        <v>4</v>
      </c>
      <c r="L159" s="29" t="s">
        <v>1039</v>
      </c>
      <c r="M159" s="29">
        <v>1</v>
      </c>
      <c r="O159" s="29">
        <v>4</v>
      </c>
      <c r="P159" s="29">
        <v>4</v>
      </c>
      <c r="Q159" s="29" t="s">
        <v>1040</v>
      </c>
    </row>
    <row r="160" spans="1:18" x14ac:dyDescent="0.3">
      <c r="B160" s="29">
        <v>6</v>
      </c>
      <c r="C160" s="29" t="s">
        <v>1050</v>
      </c>
      <c r="D160" s="30" t="s">
        <v>1051</v>
      </c>
      <c r="E160" s="29">
        <v>150</v>
      </c>
      <c r="G160" s="29" t="s">
        <v>1035</v>
      </c>
      <c r="H160" s="29">
        <v>2</v>
      </c>
      <c r="I160" s="29">
        <v>2.95</v>
      </c>
      <c r="J160" s="29">
        <v>0.4425</v>
      </c>
      <c r="K160" s="29">
        <v>0.88500000000000001</v>
      </c>
      <c r="L160" s="29" t="s">
        <v>1032</v>
      </c>
      <c r="M160" s="29">
        <v>1</v>
      </c>
      <c r="N160" s="29">
        <v>0.3</v>
      </c>
      <c r="O160" s="29">
        <v>2</v>
      </c>
      <c r="P160" s="29">
        <v>0.88500000000000001</v>
      </c>
      <c r="Q160" s="29" t="s">
        <v>1033</v>
      </c>
    </row>
    <row r="161" spans="1:18" x14ac:dyDescent="0.3">
      <c r="A161" s="29" t="s">
        <v>388</v>
      </c>
      <c r="B161" s="29">
        <v>1</v>
      </c>
      <c r="C161" s="29" t="s">
        <v>1030</v>
      </c>
      <c r="D161" s="30" t="s">
        <v>1057</v>
      </c>
      <c r="E161" s="29">
        <v>239</v>
      </c>
      <c r="G161" s="29" t="s">
        <v>1031</v>
      </c>
      <c r="H161" s="29">
        <v>1</v>
      </c>
      <c r="I161" s="29">
        <v>11.29</v>
      </c>
      <c r="J161" s="29">
        <v>2.6983099999999998</v>
      </c>
      <c r="K161" s="29">
        <v>2.6983099999999998</v>
      </c>
      <c r="L161" s="29" t="s">
        <v>1032</v>
      </c>
      <c r="M161" s="29">
        <v>1</v>
      </c>
      <c r="N161" s="29">
        <v>0.23899999999999999</v>
      </c>
      <c r="P161" s="29">
        <v>2.6983099999999998</v>
      </c>
      <c r="Q161" s="29" t="s">
        <v>1033</v>
      </c>
    </row>
    <row r="162" spans="1:18" x14ac:dyDescent="0.3">
      <c r="B162" s="29">
        <v>2</v>
      </c>
      <c r="C162" s="29" t="s">
        <v>1030</v>
      </c>
      <c r="D162" s="30" t="s">
        <v>1057</v>
      </c>
      <c r="E162" s="29">
        <v>400</v>
      </c>
      <c r="G162" s="29" t="s">
        <v>1034</v>
      </c>
      <c r="H162" s="29">
        <v>1</v>
      </c>
      <c r="I162" s="29">
        <v>11.29</v>
      </c>
      <c r="J162" s="29">
        <v>4.516</v>
      </c>
      <c r="K162" s="29">
        <v>4.516</v>
      </c>
      <c r="L162" s="29" t="s">
        <v>1032</v>
      </c>
      <c r="M162" s="29">
        <v>1</v>
      </c>
      <c r="N162" s="29">
        <v>0.4</v>
      </c>
      <c r="P162" s="29">
        <v>4.516</v>
      </c>
      <c r="Q162" s="29" t="s">
        <v>1033</v>
      </c>
    </row>
    <row r="163" spans="1:18" x14ac:dyDescent="0.3">
      <c r="B163" s="29">
        <v>3</v>
      </c>
      <c r="C163" s="29" t="s">
        <v>1049</v>
      </c>
      <c r="D163" s="30">
        <v>9</v>
      </c>
      <c r="E163" s="29">
        <v>150</v>
      </c>
      <c r="F163" s="29">
        <v>150</v>
      </c>
      <c r="G163" s="29" t="s">
        <v>1035</v>
      </c>
      <c r="H163" s="29">
        <v>1</v>
      </c>
      <c r="J163" s="29">
        <v>1.5896249999999998</v>
      </c>
      <c r="K163" s="29">
        <v>1.5896249999999998</v>
      </c>
      <c r="L163" s="29" t="s">
        <v>1036</v>
      </c>
      <c r="M163" s="29">
        <v>1</v>
      </c>
      <c r="O163" s="29">
        <v>1</v>
      </c>
      <c r="P163" s="29">
        <v>1.5896249999999998</v>
      </c>
      <c r="Q163" s="29" t="s">
        <v>1037</v>
      </c>
    </row>
    <row r="164" spans="1:18" x14ac:dyDescent="0.3">
      <c r="B164" s="29">
        <v>4</v>
      </c>
      <c r="C164" s="45" t="s">
        <v>1054</v>
      </c>
      <c r="D164" s="30">
        <v>9</v>
      </c>
      <c r="E164" s="29">
        <v>290</v>
      </c>
      <c r="F164" s="29">
        <v>290</v>
      </c>
      <c r="G164" s="29" t="s">
        <v>1035</v>
      </c>
      <c r="H164" s="29">
        <v>1</v>
      </c>
      <c r="J164" s="29">
        <v>5.9416649999999995</v>
      </c>
      <c r="K164" s="29">
        <v>5.9416649999999995</v>
      </c>
      <c r="L164" s="29" t="s">
        <v>1036</v>
      </c>
      <c r="M164" s="29">
        <v>1</v>
      </c>
      <c r="O164" s="29">
        <v>1</v>
      </c>
      <c r="P164" s="29">
        <v>5.9416649999999995</v>
      </c>
      <c r="Q164" s="29" t="s">
        <v>1037</v>
      </c>
      <c r="R164" t="s">
        <v>1127</v>
      </c>
    </row>
    <row r="165" spans="1:18" x14ac:dyDescent="0.3">
      <c r="B165" s="29">
        <v>5</v>
      </c>
      <c r="C165" s="29" t="s">
        <v>1038</v>
      </c>
      <c r="D165" s="30" t="s">
        <v>287</v>
      </c>
      <c r="G165" s="29" t="s">
        <v>1031</v>
      </c>
      <c r="H165" s="29">
        <v>4</v>
      </c>
      <c r="J165" s="29">
        <v>1</v>
      </c>
      <c r="K165" s="29">
        <v>4</v>
      </c>
      <c r="L165" s="29" t="s">
        <v>1039</v>
      </c>
      <c r="M165" s="29">
        <v>1</v>
      </c>
      <c r="O165" s="29">
        <v>4</v>
      </c>
      <c r="P165" s="29">
        <v>4</v>
      </c>
      <c r="Q165" s="29" t="s">
        <v>1040</v>
      </c>
    </row>
    <row r="166" spans="1:18" x14ac:dyDescent="0.3">
      <c r="B166" s="29">
        <v>6</v>
      </c>
      <c r="C166" s="29" t="s">
        <v>1050</v>
      </c>
      <c r="D166" s="30" t="s">
        <v>1051</v>
      </c>
      <c r="E166" s="29">
        <v>150</v>
      </c>
      <c r="G166" s="29" t="s">
        <v>1035</v>
      </c>
      <c r="H166" s="29">
        <v>2</v>
      </c>
      <c r="I166" s="29">
        <v>2.95</v>
      </c>
      <c r="J166" s="29">
        <v>0.4425</v>
      </c>
      <c r="K166" s="29">
        <v>0.88500000000000001</v>
      </c>
      <c r="L166" s="29" t="s">
        <v>1032</v>
      </c>
      <c r="M166" s="29">
        <v>1</v>
      </c>
      <c r="N166" s="29">
        <v>0.3</v>
      </c>
      <c r="O166" s="29">
        <v>2</v>
      </c>
      <c r="P166" s="29">
        <v>0.88500000000000001</v>
      </c>
      <c r="Q166" s="29" t="s">
        <v>1033</v>
      </c>
    </row>
    <row r="167" spans="1:18" x14ac:dyDescent="0.3">
      <c r="A167" s="29" t="s">
        <v>388</v>
      </c>
      <c r="B167" s="29">
        <v>1</v>
      </c>
      <c r="C167" s="29" t="s">
        <v>1030</v>
      </c>
      <c r="D167" s="30" t="s">
        <v>1057</v>
      </c>
      <c r="E167" s="29">
        <v>239</v>
      </c>
      <c r="G167" s="29" t="s">
        <v>1031</v>
      </c>
      <c r="H167" s="29">
        <v>1</v>
      </c>
      <c r="I167" s="29">
        <v>11.29</v>
      </c>
      <c r="J167" s="29">
        <v>2.6983099999999998</v>
      </c>
      <c r="K167" s="29">
        <v>2.6983099999999998</v>
      </c>
      <c r="L167" s="29" t="s">
        <v>1032</v>
      </c>
      <c r="M167" s="29">
        <v>1</v>
      </c>
      <c r="N167" s="29">
        <v>0.23899999999999999</v>
      </c>
      <c r="P167" s="29">
        <v>2.6983099999999998</v>
      </c>
      <c r="Q167" s="29" t="s">
        <v>1033</v>
      </c>
    </row>
    <row r="168" spans="1:18" x14ac:dyDescent="0.3">
      <c r="B168" s="29">
        <v>2</v>
      </c>
      <c r="C168" s="29" t="s">
        <v>1030</v>
      </c>
      <c r="D168" s="30" t="s">
        <v>1057</v>
      </c>
      <c r="E168" s="29">
        <v>400</v>
      </c>
      <c r="G168" s="29" t="s">
        <v>1034</v>
      </c>
      <c r="H168" s="29">
        <v>1</v>
      </c>
      <c r="I168" s="29">
        <v>11.29</v>
      </c>
      <c r="J168" s="29">
        <v>4.516</v>
      </c>
      <c r="K168" s="29">
        <v>4.516</v>
      </c>
      <c r="L168" s="29" t="s">
        <v>1032</v>
      </c>
      <c r="M168" s="29">
        <v>1</v>
      </c>
      <c r="N168" s="29">
        <v>0.4</v>
      </c>
      <c r="P168" s="29">
        <v>4.516</v>
      </c>
      <c r="Q168" s="29" t="s">
        <v>1033</v>
      </c>
    </row>
    <row r="169" spans="1:18" x14ac:dyDescent="0.3">
      <c r="B169" s="29">
        <v>3</v>
      </c>
      <c r="C169" s="29" t="s">
        <v>1049</v>
      </c>
      <c r="D169" s="30">
        <v>9</v>
      </c>
      <c r="E169" s="29">
        <v>150</v>
      </c>
      <c r="F169" s="29">
        <v>150</v>
      </c>
      <c r="G169" s="29" t="s">
        <v>1035</v>
      </c>
      <c r="H169" s="29">
        <v>1</v>
      </c>
      <c r="J169" s="29">
        <v>1.5896249999999998</v>
      </c>
      <c r="K169" s="29">
        <v>1.5896249999999998</v>
      </c>
      <c r="L169" s="29" t="s">
        <v>1036</v>
      </c>
      <c r="M169" s="29">
        <v>1</v>
      </c>
      <c r="O169" s="29">
        <v>1</v>
      </c>
      <c r="P169" s="29">
        <v>1.5896249999999998</v>
      </c>
      <c r="Q169" s="29" t="s">
        <v>1037</v>
      </c>
    </row>
    <row r="170" spans="1:18" x14ac:dyDescent="0.3">
      <c r="B170" s="29">
        <v>4</v>
      </c>
      <c r="C170" s="29" t="s">
        <v>1054</v>
      </c>
      <c r="D170" s="30">
        <v>9</v>
      </c>
      <c r="E170" s="29">
        <v>290</v>
      </c>
      <c r="F170" s="29">
        <v>290</v>
      </c>
      <c r="G170" s="29" t="s">
        <v>1035</v>
      </c>
      <c r="H170" s="29">
        <v>1</v>
      </c>
      <c r="J170" s="29">
        <v>5.9416649999999995</v>
      </c>
      <c r="K170" s="29">
        <v>5.9416649999999995</v>
      </c>
      <c r="L170" s="29" t="s">
        <v>1036</v>
      </c>
      <c r="M170" s="29">
        <v>1</v>
      </c>
      <c r="O170" s="29">
        <v>1</v>
      </c>
      <c r="P170" s="29">
        <v>5.9416649999999995</v>
      </c>
      <c r="Q170" s="29" t="s">
        <v>1037</v>
      </c>
      <c r="R170" t="s">
        <v>1127</v>
      </c>
    </row>
    <row r="171" spans="1:18" x14ac:dyDescent="0.3">
      <c r="B171" s="29">
        <v>5</v>
      </c>
      <c r="C171" s="29" t="s">
        <v>1038</v>
      </c>
      <c r="D171" s="30" t="s">
        <v>287</v>
      </c>
      <c r="G171" s="29" t="s">
        <v>1031</v>
      </c>
      <c r="H171" s="29">
        <v>4</v>
      </c>
      <c r="J171" s="29">
        <v>1</v>
      </c>
      <c r="K171" s="29">
        <v>4</v>
      </c>
      <c r="L171" s="29" t="s">
        <v>1039</v>
      </c>
      <c r="M171" s="29">
        <v>1</v>
      </c>
      <c r="O171" s="29">
        <v>4</v>
      </c>
      <c r="P171" s="29">
        <v>4</v>
      </c>
      <c r="Q171" s="29" t="s">
        <v>1040</v>
      </c>
    </row>
    <row r="172" spans="1:18" x14ac:dyDescent="0.3">
      <c r="B172" s="29">
        <v>6</v>
      </c>
      <c r="C172" s="29" t="s">
        <v>1050</v>
      </c>
      <c r="D172" s="30" t="s">
        <v>1051</v>
      </c>
      <c r="E172" s="29">
        <v>150</v>
      </c>
      <c r="G172" s="29" t="s">
        <v>1035</v>
      </c>
      <c r="H172" s="29">
        <v>2</v>
      </c>
      <c r="I172" s="29">
        <v>2.95</v>
      </c>
      <c r="J172" s="29">
        <v>0.4425</v>
      </c>
      <c r="K172" s="29">
        <v>0.88500000000000001</v>
      </c>
      <c r="L172" s="29" t="s">
        <v>1032</v>
      </c>
      <c r="M172" s="29">
        <v>1</v>
      </c>
      <c r="N172" s="29">
        <v>0.3</v>
      </c>
      <c r="O172" s="29">
        <v>2</v>
      </c>
      <c r="P172" s="29">
        <v>0.88500000000000001</v>
      </c>
      <c r="Q172" s="29" t="s">
        <v>1033</v>
      </c>
    </row>
    <row r="173" spans="1:18" x14ac:dyDescent="0.3">
      <c r="A173" s="29" t="s">
        <v>388</v>
      </c>
      <c r="B173" s="29">
        <v>1</v>
      </c>
      <c r="C173" s="29" t="s">
        <v>1030</v>
      </c>
      <c r="D173" s="30" t="s">
        <v>1057</v>
      </c>
      <c r="E173" s="29">
        <v>239</v>
      </c>
      <c r="G173" s="29" t="s">
        <v>1031</v>
      </c>
      <c r="H173" s="29">
        <v>1</v>
      </c>
      <c r="I173" s="29">
        <v>11.29</v>
      </c>
      <c r="J173" s="29">
        <v>2.6983099999999998</v>
      </c>
      <c r="K173" s="29">
        <v>2.6983099999999998</v>
      </c>
      <c r="L173" s="29" t="s">
        <v>1032</v>
      </c>
      <c r="M173" s="29">
        <v>1</v>
      </c>
      <c r="N173" s="29">
        <v>0.23899999999999999</v>
      </c>
      <c r="P173" s="29">
        <v>2.6983099999999998</v>
      </c>
      <c r="Q173" s="29" t="s">
        <v>1033</v>
      </c>
    </row>
    <row r="174" spans="1:18" x14ac:dyDescent="0.3">
      <c r="B174" s="29">
        <v>2</v>
      </c>
      <c r="C174" s="29" t="s">
        <v>1030</v>
      </c>
      <c r="D174" s="30" t="s">
        <v>1057</v>
      </c>
      <c r="E174" s="29">
        <v>400</v>
      </c>
      <c r="G174" s="29" t="s">
        <v>1034</v>
      </c>
      <c r="H174" s="29">
        <v>1</v>
      </c>
      <c r="I174" s="29">
        <v>11.29</v>
      </c>
      <c r="J174" s="29">
        <v>4.516</v>
      </c>
      <c r="K174" s="29">
        <v>4.516</v>
      </c>
      <c r="L174" s="29" t="s">
        <v>1032</v>
      </c>
      <c r="M174" s="29">
        <v>1</v>
      </c>
      <c r="N174" s="29">
        <v>0.4</v>
      </c>
      <c r="P174" s="29">
        <v>4.516</v>
      </c>
      <c r="Q174" s="29" t="s">
        <v>1033</v>
      </c>
    </row>
    <row r="175" spans="1:18" x14ac:dyDescent="0.3">
      <c r="B175" s="29">
        <v>3</v>
      </c>
      <c r="C175" s="29" t="s">
        <v>1049</v>
      </c>
      <c r="D175" s="30">
        <v>9</v>
      </c>
      <c r="E175" s="29">
        <v>150</v>
      </c>
      <c r="F175" s="29">
        <v>150</v>
      </c>
      <c r="G175" s="29" t="s">
        <v>1035</v>
      </c>
      <c r="H175" s="29">
        <v>1</v>
      </c>
      <c r="J175" s="29">
        <v>1.5896249999999998</v>
      </c>
      <c r="K175" s="29">
        <v>1.5896249999999998</v>
      </c>
      <c r="L175" s="29" t="s">
        <v>1036</v>
      </c>
      <c r="M175" s="29">
        <v>1</v>
      </c>
      <c r="O175" s="29">
        <v>1</v>
      </c>
      <c r="P175" s="29">
        <v>1.5896249999999998</v>
      </c>
      <c r="Q175" s="29" t="s">
        <v>1037</v>
      </c>
    </row>
    <row r="176" spans="1:18" x14ac:dyDescent="0.3">
      <c r="B176" s="29">
        <v>4</v>
      </c>
      <c r="C176" s="45" t="s">
        <v>1054</v>
      </c>
      <c r="D176" s="30">
        <v>9</v>
      </c>
      <c r="E176" s="29">
        <v>290</v>
      </c>
      <c r="F176" s="29">
        <v>290</v>
      </c>
      <c r="G176" s="29" t="s">
        <v>1035</v>
      </c>
      <c r="H176" s="29">
        <v>1</v>
      </c>
      <c r="J176" s="29">
        <v>5.9416649999999995</v>
      </c>
      <c r="K176" s="29">
        <v>5.9416649999999995</v>
      </c>
      <c r="L176" s="29" t="s">
        <v>1036</v>
      </c>
      <c r="M176" s="29">
        <v>1</v>
      </c>
      <c r="O176" s="29">
        <v>1</v>
      </c>
      <c r="P176" s="29">
        <v>5.9416649999999995</v>
      </c>
      <c r="Q176" s="29" t="s">
        <v>1037</v>
      </c>
      <c r="R176" t="s">
        <v>1127</v>
      </c>
    </row>
    <row r="177" spans="1:18" x14ac:dyDescent="0.3">
      <c r="B177" s="29">
        <v>5</v>
      </c>
      <c r="C177" s="29" t="s">
        <v>1038</v>
      </c>
      <c r="D177" s="30" t="s">
        <v>287</v>
      </c>
      <c r="G177" s="29" t="s">
        <v>1031</v>
      </c>
      <c r="H177" s="29">
        <v>4</v>
      </c>
      <c r="J177" s="29">
        <v>1</v>
      </c>
      <c r="K177" s="29">
        <v>4</v>
      </c>
      <c r="L177" s="29" t="s">
        <v>1039</v>
      </c>
      <c r="M177" s="29">
        <v>1</v>
      </c>
      <c r="O177" s="29">
        <v>4</v>
      </c>
      <c r="P177" s="29">
        <v>4</v>
      </c>
      <c r="Q177" s="29" t="s">
        <v>1040</v>
      </c>
    </row>
    <row r="178" spans="1:18" x14ac:dyDescent="0.3">
      <c r="B178" s="29">
        <v>6</v>
      </c>
      <c r="C178" s="29" t="s">
        <v>1050</v>
      </c>
      <c r="D178" s="30" t="s">
        <v>1051</v>
      </c>
      <c r="E178" s="29">
        <v>150</v>
      </c>
      <c r="G178" s="29" t="s">
        <v>1035</v>
      </c>
      <c r="H178" s="29">
        <v>2</v>
      </c>
      <c r="I178" s="29">
        <v>2.95</v>
      </c>
      <c r="J178" s="29">
        <v>0.4425</v>
      </c>
      <c r="K178" s="29">
        <v>0.88500000000000001</v>
      </c>
      <c r="L178" s="29" t="s">
        <v>1032</v>
      </c>
      <c r="M178" s="29">
        <v>1</v>
      </c>
      <c r="N178" s="29">
        <v>0.3</v>
      </c>
      <c r="O178" s="29">
        <v>2</v>
      </c>
      <c r="P178" s="29">
        <v>0.88500000000000001</v>
      </c>
      <c r="Q178" s="29" t="s">
        <v>1033</v>
      </c>
    </row>
    <row r="179" spans="1:18" x14ac:dyDescent="0.3">
      <c r="A179" s="29" t="s">
        <v>389</v>
      </c>
      <c r="B179" s="29">
        <v>1</v>
      </c>
      <c r="C179" s="29" t="s">
        <v>1030</v>
      </c>
      <c r="D179" s="30" t="s">
        <v>1057</v>
      </c>
      <c r="E179" s="29">
        <v>239</v>
      </c>
      <c r="G179" s="29" t="s">
        <v>1031</v>
      </c>
      <c r="H179" s="29">
        <v>1</v>
      </c>
      <c r="I179" s="29">
        <v>11.29</v>
      </c>
      <c r="J179" s="29">
        <v>2.6983099999999998</v>
      </c>
      <c r="K179" s="29">
        <v>2.6983099999999998</v>
      </c>
      <c r="L179" s="29" t="s">
        <v>1032</v>
      </c>
      <c r="M179" s="29">
        <v>1</v>
      </c>
      <c r="N179" s="29">
        <v>0.23899999999999999</v>
      </c>
      <c r="P179" s="29">
        <v>2.6983099999999998</v>
      </c>
      <c r="Q179" s="29" t="s">
        <v>1033</v>
      </c>
    </row>
    <row r="180" spans="1:18" x14ac:dyDescent="0.3">
      <c r="B180" s="29">
        <v>2</v>
      </c>
      <c r="C180" s="29" t="s">
        <v>1030</v>
      </c>
      <c r="D180" s="30" t="s">
        <v>1057</v>
      </c>
      <c r="E180" s="29">
        <v>600</v>
      </c>
      <c r="G180" s="29" t="s">
        <v>1034</v>
      </c>
      <c r="H180" s="29">
        <v>1</v>
      </c>
      <c r="I180" s="29">
        <v>11.29</v>
      </c>
      <c r="J180" s="29">
        <v>6.7739999999999991</v>
      </c>
      <c r="K180" s="29">
        <v>6.7739999999999991</v>
      </c>
      <c r="L180" s="29" t="s">
        <v>1032</v>
      </c>
      <c r="M180" s="29">
        <v>1</v>
      </c>
      <c r="N180" s="29">
        <v>0.6</v>
      </c>
      <c r="P180" s="29">
        <v>6.7739999999999991</v>
      </c>
      <c r="Q180" s="29" t="s">
        <v>1033</v>
      </c>
    </row>
    <row r="181" spans="1:18" x14ac:dyDescent="0.3">
      <c r="B181" s="29">
        <v>3</v>
      </c>
      <c r="C181" s="45" t="s">
        <v>1049</v>
      </c>
      <c r="D181" s="30">
        <v>9</v>
      </c>
      <c r="E181" s="29">
        <v>150</v>
      </c>
      <c r="F181" s="29">
        <v>150</v>
      </c>
      <c r="G181" s="29" t="s">
        <v>1035</v>
      </c>
      <c r="H181" s="29">
        <v>1</v>
      </c>
      <c r="J181" s="29">
        <v>1.5896249999999998</v>
      </c>
      <c r="K181" s="29">
        <v>1.5896249999999998</v>
      </c>
      <c r="L181" s="29" t="s">
        <v>1036</v>
      </c>
      <c r="M181" s="29">
        <v>1</v>
      </c>
      <c r="O181" s="29">
        <v>1</v>
      </c>
      <c r="P181" s="29">
        <v>1.5896249999999998</v>
      </c>
      <c r="Q181" s="29" t="s">
        <v>1037</v>
      </c>
    </row>
    <row r="182" spans="1:18" x14ac:dyDescent="0.3">
      <c r="B182" s="29">
        <v>4</v>
      </c>
      <c r="C182" s="29" t="s">
        <v>1054</v>
      </c>
      <c r="D182" s="30">
        <v>9</v>
      </c>
      <c r="E182" s="29">
        <v>290</v>
      </c>
      <c r="F182" s="29">
        <v>290</v>
      </c>
      <c r="G182" s="29" t="s">
        <v>1035</v>
      </c>
      <c r="H182" s="29">
        <v>1</v>
      </c>
      <c r="J182" s="29">
        <v>5.9416649999999995</v>
      </c>
      <c r="K182" s="29">
        <v>5.9416649999999995</v>
      </c>
      <c r="L182" s="29" t="s">
        <v>1036</v>
      </c>
      <c r="M182" s="29">
        <v>1</v>
      </c>
      <c r="O182" s="29">
        <v>1</v>
      </c>
      <c r="P182" s="29">
        <v>5.9416649999999995</v>
      </c>
      <c r="Q182" s="29" t="s">
        <v>1037</v>
      </c>
      <c r="R182" t="s">
        <v>1127</v>
      </c>
    </row>
    <row r="183" spans="1:18" x14ac:dyDescent="0.3">
      <c r="B183" s="29">
        <v>5</v>
      </c>
      <c r="C183" s="29" t="s">
        <v>1038</v>
      </c>
      <c r="D183" s="30" t="s">
        <v>287</v>
      </c>
      <c r="G183" s="29" t="s">
        <v>1031</v>
      </c>
      <c r="H183" s="29">
        <v>4</v>
      </c>
      <c r="J183" s="29">
        <v>1</v>
      </c>
      <c r="K183" s="29">
        <v>4</v>
      </c>
      <c r="L183" s="29" t="s">
        <v>1039</v>
      </c>
      <c r="M183" s="29">
        <v>1</v>
      </c>
      <c r="O183" s="29">
        <v>4</v>
      </c>
      <c r="P183" s="29">
        <v>4</v>
      </c>
      <c r="Q183" s="29" t="s">
        <v>1040</v>
      </c>
    </row>
    <row r="184" spans="1:18" x14ac:dyDescent="0.3">
      <c r="A184" s="29" t="s">
        <v>390</v>
      </c>
      <c r="B184" s="29">
        <v>1</v>
      </c>
      <c r="C184" s="29" t="s">
        <v>1030</v>
      </c>
      <c r="D184" s="30" t="s">
        <v>1057</v>
      </c>
      <c r="E184" s="29">
        <v>239</v>
      </c>
      <c r="G184" s="29" t="s">
        <v>1031</v>
      </c>
      <c r="H184" s="29">
        <v>1</v>
      </c>
      <c r="I184" s="29">
        <v>11.29</v>
      </c>
      <c r="J184" s="29">
        <v>2.6983099999999998</v>
      </c>
      <c r="K184" s="29">
        <v>2.6983099999999998</v>
      </c>
      <c r="L184" s="29" t="s">
        <v>1032</v>
      </c>
      <c r="M184" s="29">
        <v>1</v>
      </c>
      <c r="N184" s="29">
        <v>0.23899999999999999</v>
      </c>
      <c r="P184" s="29">
        <v>2.6983099999999998</v>
      </c>
      <c r="Q184" s="29" t="s">
        <v>1033</v>
      </c>
    </row>
    <row r="185" spans="1:18" x14ac:dyDescent="0.3">
      <c r="B185" s="29">
        <v>2</v>
      </c>
      <c r="C185" s="29" t="s">
        <v>1030</v>
      </c>
      <c r="D185" s="30" t="s">
        <v>1057</v>
      </c>
      <c r="E185" s="29">
        <v>600</v>
      </c>
      <c r="G185" s="29" t="s">
        <v>1034</v>
      </c>
      <c r="H185" s="29">
        <v>1</v>
      </c>
      <c r="I185" s="29">
        <v>11.29</v>
      </c>
      <c r="J185" s="29">
        <v>6.7739999999999991</v>
      </c>
      <c r="K185" s="29">
        <v>6.7739999999999991</v>
      </c>
      <c r="L185" s="29" t="s">
        <v>1032</v>
      </c>
      <c r="M185" s="29">
        <v>1</v>
      </c>
      <c r="N185" s="29">
        <v>0.6</v>
      </c>
      <c r="P185" s="29">
        <v>6.7739999999999991</v>
      </c>
      <c r="Q185" s="29" t="s">
        <v>1033</v>
      </c>
    </row>
    <row r="186" spans="1:18" x14ac:dyDescent="0.3">
      <c r="B186" s="29">
        <v>3</v>
      </c>
      <c r="C186" s="45" t="s">
        <v>1049</v>
      </c>
      <c r="D186" s="30">
        <v>9</v>
      </c>
      <c r="E186" s="29">
        <v>150</v>
      </c>
      <c r="F186" s="29">
        <v>150</v>
      </c>
      <c r="G186" s="29" t="s">
        <v>1035</v>
      </c>
      <c r="H186" s="29">
        <v>1</v>
      </c>
      <c r="J186" s="29">
        <v>1.5896249999999998</v>
      </c>
      <c r="K186" s="29">
        <v>1.5896249999999998</v>
      </c>
      <c r="L186" s="29" t="s">
        <v>1036</v>
      </c>
      <c r="M186" s="29">
        <v>1</v>
      </c>
      <c r="O186" s="29">
        <v>1</v>
      </c>
      <c r="P186" s="29">
        <v>1.5896249999999998</v>
      </c>
      <c r="Q186" s="29" t="s">
        <v>1037</v>
      </c>
    </row>
    <row r="187" spans="1:18" x14ac:dyDescent="0.3">
      <c r="B187" s="29">
        <v>4</v>
      </c>
      <c r="C187" s="29" t="s">
        <v>1054</v>
      </c>
      <c r="D187" s="30">
        <v>9</v>
      </c>
      <c r="E187" s="29">
        <v>290</v>
      </c>
      <c r="F187" s="29">
        <v>290</v>
      </c>
      <c r="G187" s="29" t="s">
        <v>1035</v>
      </c>
      <c r="H187" s="29">
        <v>1</v>
      </c>
      <c r="J187" s="29">
        <v>5.9416649999999995</v>
      </c>
      <c r="K187" s="29">
        <v>5.9416649999999995</v>
      </c>
      <c r="L187" s="29" t="s">
        <v>1036</v>
      </c>
      <c r="M187" s="29">
        <v>1</v>
      </c>
      <c r="O187" s="29">
        <v>1</v>
      </c>
      <c r="P187" s="29">
        <v>5.9416649999999995</v>
      </c>
      <c r="Q187" s="29" t="s">
        <v>1037</v>
      </c>
      <c r="R187" t="s">
        <v>1127</v>
      </c>
    </row>
    <row r="188" spans="1:18" x14ac:dyDescent="0.3">
      <c r="B188" s="29">
        <v>5</v>
      </c>
      <c r="C188" s="29" t="s">
        <v>1038</v>
      </c>
      <c r="D188" s="30" t="s">
        <v>287</v>
      </c>
      <c r="G188" s="29" t="s">
        <v>1031</v>
      </c>
      <c r="H188" s="29">
        <v>4</v>
      </c>
      <c r="J188" s="29">
        <v>1</v>
      </c>
      <c r="K188" s="29">
        <v>4</v>
      </c>
      <c r="L188" s="29" t="s">
        <v>1039</v>
      </c>
      <c r="M188" s="29">
        <v>1</v>
      </c>
      <c r="O188" s="29">
        <v>4</v>
      </c>
      <c r="P188" s="29">
        <v>4</v>
      </c>
      <c r="Q188" s="29" t="s">
        <v>1040</v>
      </c>
    </row>
    <row r="189" spans="1:18" x14ac:dyDescent="0.3">
      <c r="B189" s="29">
        <v>6</v>
      </c>
      <c r="C189" s="29" t="s">
        <v>1050</v>
      </c>
      <c r="D189" s="30" t="s">
        <v>1051</v>
      </c>
      <c r="E189" s="29">
        <v>150</v>
      </c>
      <c r="G189" s="29" t="s">
        <v>1035</v>
      </c>
      <c r="H189" s="29">
        <v>2</v>
      </c>
      <c r="I189" s="29">
        <v>2.95</v>
      </c>
      <c r="J189" s="29">
        <v>0.4425</v>
      </c>
      <c r="K189" s="29">
        <v>0.88500000000000001</v>
      </c>
      <c r="L189" s="29" t="s">
        <v>1032</v>
      </c>
      <c r="M189" s="29">
        <v>1</v>
      </c>
      <c r="N189" s="29">
        <v>0.3</v>
      </c>
      <c r="O189" s="29">
        <v>2</v>
      </c>
      <c r="P189" s="29">
        <v>0.88500000000000001</v>
      </c>
      <c r="Q189" s="29" t="s">
        <v>1033</v>
      </c>
    </row>
    <row r="190" spans="1:18" x14ac:dyDescent="0.3">
      <c r="A190" s="29" t="s">
        <v>391</v>
      </c>
      <c r="B190" s="29">
        <v>1</v>
      </c>
      <c r="C190" s="29" t="s">
        <v>1030</v>
      </c>
      <c r="D190" s="30" t="s">
        <v>1057</v>
      </c>
      <c r="E190" s="29">
        <v>239</v>
      </c>
      <c r="G190" s="29" t="s">
        <v>1031</v>
      </c>
      <c r="H190" s="29">
        <v>1</v>
      </c>
      <c r="I190" s="29">
        <v>11.29</v>
      </c>
      <c r="J190" s="29">
        <v>2.6983099999999998</v>
      </c>
      <c r="K190" s="29">
        <v>2.6983099999999998</v>
      </c>
      <c r="L190" s="29" t="s">
        <v>1032</v>
      </c>
      <c r="M190" s="29">
        <v>1</v>
      </c>
      <c r="N190" s="29">
        <v>0.23899999999999999</v>
      </c>
      <c r="P190" s="29">
        <v>2.6983099999999998</v>
      </c>
      <c r="Q190" s="29" t="s">
        <v>1033</v>
      </c>
    </row>
    <row r="191" spans="1:18" x14ac:dyDescent="0.3">
      <c r="B191" s="29">
        <v>2</v>
      </c>
      <c r="C191" s="29" t="s">
        <v>1030</v>
      </c>
      <c r="D191" s="30" t="s">
        <v>1057</v>
      </c>
      <c r="E191" s="29">
        <v>600</v>
      </c>
      <c r="G191" s="29" t="s">
        <v>1034</v>
      </c>
      <c r="H191" s="29">
        <v>1</v>
      </c>
      <c r="I191" s="29">
        <v>11.29</v>
      </c>
      <c r="J191" s="29">
        <v>6.7739999999999991</v>
      </c>
      <c r="K191" s="29">
        <v>6.7739999999999991</v>
      </c>
      <c r="L191" s="29" t="s">
        <v>1032</v>
      </c>
      <c r="M191" s="29">
        <v>1</v>
      </c>
      <c r="N191" s="29">
        <v>0.6</v>
      </c>
      <c r="P191" s="29">
        <v>6.7739999999999991</v>
      </c>
      <c r="Q191" s="29" t="s">
        <v>1033</v>
      </c>
    </row>
    <row r="192" spans="1:18" x14ac:dyDescent="0.3">
      <c r="B192" s="29">
        <v>3</v>
      </c>
      <c r="C192" s="29" t="s">
        <v>1049</v>
      </c>
      <c r="D192" s="30">
        <v>9</v>
      </c>
      <c r="E192" s="29">
        <v>150</v>
      </c>
      <c r="F192" s="29">
        <v>150</v>
      </c>
      <c r="G192" s="29" t="s">
        <v>1035</v>
      </c>
      <c r="H192" s="29">
        <v>1</v>
      </c>
      <c r="J192" s="29">
        <v>1.5896249999999998</v>
      </c>
      <c r="K192" s="29">
        <v>1.5896249999999998</v>
      </c>
      <c r="L192" s="29" t="s">
        <v>1036</v>
      </c>
      <c r="M192" s="29">
        <v>1</v>
      </c>
      <c r="O192" s="29">
        <v>1</v>
      </c>
      <c r="P192" s="29">
        <v>1.5896249999999998</v>
      </c>
      <c r="Q192" s="29" t="s">
        <v>1037</v>
      </c>
    </row>
    <row r="193" spans="1:18" x14ac:dyDescent="0.3">
      <c r="B193" s="29">
        <v>4</v>
      </c>
      <c r="C193" s="29" t="s">
        <v>1054</v>
      </c>
      <c r="D193" s="30">
        <v>9</v>
      </c>
      <c r="E193" s="29">
        <v>290</v>
      </c>
      <c r="F193" s="29">
        <v>290</v>
      </c>
      <c r="G193" s="29" t="s">
        <v>1035</v>
      </c>
      <c r="H193" s="29">
        <v>1</v>
      </c>
      <c r="J193" s="29">
        <v>5.9416649999999995</v>
      </c>
      <c r="K193" s="29">
        <v>5.9416649999999995</v>
      </c>
      <c r="L193" s="29" t="s">
        <v>1036</v>
      </c>
      <c r="M193" s="29">
        <v>1</v>
      </c>
      <c r="O193" s="29">
        <v>1</v>
      </c>
      <c r="P193" s="29">
        <v>5.9416649999999995</v>
      </c>
      <c r="Q193" s="29" t="s">
        <v>1037</v>
      </c>
      <c r="R193" t="s">
        <v>1127</v>
      </c>
    </row>
    <row r="194" spans="1:18" x14ac:dyDescent="0.3">
      <c r="B194" s="29">
        <v>5</v>
      </c>
      <c r="C194" s="29" t="s">
        <v>1038</v>
      </c>
      <c r="D194" s="30" t="s">
        <v>287</v>
      </c>
      <c r="G194" s="29" t="s">
        <v>1031</v>
      </c>
      <c r="H194" s="29">
        <v>4</v>
      </c>
      <c r="J194" s="29">
        <v>1</v>
      </c>
      <c r="K194" s="29">
        <v>4</v>
      </c>
      <c r="L194" s="29" t="s">
        <v>1039</v>
      </c>
      <c r="M194" s="29">
        <v>1</v>
      </c>
      <c r="O194" s="29">
        <v>4</v>
      </c>
      <c r="P194" s="29">
        <v>4</v>
      </c>
      <c r="Q194" s="29" t="s">
        <v>1040</v>
      </c>
    </row>
    <row r="195" spans="1:18" x14ac:dyDescent="0.3">
      <c r="B195" s="29">
        <v>6</v>
      </c>
      <c r="C195" s="29" t="s">
        <v>1050</v>
      </c>
      <c r="D195" s="30" t="s">
        <v>1051</v>
      </c>
      <c r="E195" s="29">
        <v>150</v>
      </c>
      <c r="G195" s="29" t="s">
        <v>1035</v>
      </c>
      <c r="H195" s="29">
        <v>2</v>
      </c>
      <c r="I195" s="29">
        <v>2.95</v>
      </c>
      <c r="J195" s="29">
        <v>0.4425</v>
      </c>
      <c r="K195" s="29">
        <v>0.88500000000000001</v>
      </c>
      <c r="L195" s="29" t="s">
        <v>1032</v>
      </c>
      <c r="M195" s="29">
        <v>1</v>
      </c>
      <c r="N195" s="29">
        <v>0.3</v>
      </c>
      <c r="O195" s="29">
        <v>2</v>
      </c>
      <c r="P195" s="29">
        <v>0.88500000000000001</v>
      </c>
      <c r="Q195" s="29" t="s">
        <v>1033</v>
      </c>
    </row>
    <row r="196" spans="1:18" x14ac:dyDescent="0.3">
      <c r="A196" s="29" t="s">
        <v>391</v>
      </c>
      <c r="B196" s="29">
        <v>1</v>
      </c>
      <c r="C196" s="29" t="s">
        <v>1030</v>
      </c>
      <c r="D196" s="30" t="s">
        <v>1057</v>
      </c>
      <c r="E196" s="29">
        <v>239</v>
      </c>
      <c r="G196" s="29" t="s">
        <v>1031</v>
      </c>
      <c r="H196" s="29">
        <v>1</v>
      </c>
      <c r="I196" s="29">
        <v>11.29</v>
      </c>
      <c r="J196" s="29">
        <v>2.6983099999999998</v>
      </c>
      <c r="K196" s="29">
        <v>2.6983099999999998</v>
      </c>
      <c r="L196" s="29" t="s">
        <v>1032</v>
      </c>
      <c r="M196" s="29">
        <v>1</v>
      </c>
      <c r="N196" s="29">
        <v>0.23899999999999999</v>
      </c>
      <c r="P196" s="29">
        <v>2.6983099999999998</v>
      </c>
      <c r="Q196" s="29" t="s">
        <v>1033</v>
      </c>
    </row>
    <row r="197" spans="1:18" x14ac:dyDescent="0.3">
      <c r="B197" s="29">
        <v>2</v>
      </c>
      <c r="C197" s="45" t="s">
        <v>1030</v>
      </c>
      <c r="D197" s="30" t="s">
        <v>1057</v>
      </c>
      <c r="E197" s="29">
        <v>600</v>
      </c>
      <c r="G197" s="29" t="s">
        <v>1034</v>
      </c>
      <c r="H197" s="29">
        <v>1</v>
      </c>
      <c r="I197" s="29">
        <v>11.29</v>
      </c>
      <c r="J197" s="29">
        <v>6.7739999999999991</v>
      </c>
      <c r="K197" s="29">
        <v>6.7739999999999991</v>
      </c>
      <c r="L197" s="29" t="s">
        <v>1032</v>
      </c>
      <c r="M197" s="29">
        <v>1</v>
      </c>
      <c r="N197" s="29">
        <v>0.6</v>
      </c>
      <c r="P197" s="29">
        <v>6.7739999999999991</v>
      </c>
      <c r="Q197" s="29" t="s">
        <v>1033</v>
      </c>
    </row>
    <row r="198" spans="1:18" x14ac:dyDescent="0.3">
      <c r="B198" s="29">
        <v>3</v>
      </c>
      <c r="C198" s="29" t="s">
        <v>1049</v>
      </c>
      <c r="D198" s="30">
        <v>9</v>
      </c>
      <c r="E198" s="29">
        <v>150</v>
      </c>
      <c r="F198" s="29">
        <v>150</v>
      </c>
      <c r="G198" s="29" t="s">
        <v>1035</v>
      </c>
      <c r="H198" s="29">
        <v>1</v>
      </c>
      <c r="J198" s="29">
        <v>1.5896249999999998</v>
      </c>
      <c r="K198" s="29">
        <v>1.5896249999999998</v>
      </c>
      <c r="L198" s="29" t="s">
        <v>1036</v>
      </c>
      <c r="M198" s="29">
        <v>1</v>
      </c>
      <c r="O198" s="29">
        <v>1</v>
      </c>
      <c r="P198" s="29">
        <v>1.5896249999999998</v>
      </c>
      <c r="Q198" s="29" t="s">
        <v>1037</v>
      </c>
    </row>
    <row r="199" spans="1:18" x14ac:dyDescent="0.3">
      <c r="B199" s="29">
        <v>4</v>
      </c>
      <c r="C199" s="29" t="s">
        <v>1054</v>
      </c>
      <c r="D199" s="30">
        <v>9</v>
      </c>
      <c r="E199" s="29">
        <v>290</v>
      </c>
      <c r="F199" s="29">
        <v>290</v>
      </c>
      <c r="G199" s="29" t="s">
        <v>1035</v>
      </c>
      <c r="H199" s="29">
        <v>1</v>
      </c>
      <c r="J199" s="29">
        <v>5.9416649999999995</v>
      </c>
      <c r="K199" s="29">
        <v>5.9416649999999995</v>
      </c>
      <c r="L199" s="29" t="s">
        <v>1036</v>
      </c>
      <c r="M199" s="29">
        <v>1</v>
      </c>
      <c r="O199" s="29">
        <v>1</v>
      </c>
      <c r="P199" s="29">
        <v>5.9416649999999995</v>
      </c>
      <c r="Q199" s="29" t="s">
        <v>1037</v>
      </c>
      <c r="R199" t="s">
        <v>1127</v>
      </c>
    </row>
    <row r="200" spans="1:18" x14ac:dyDescent="0.3">
      <c r="B200" s="29">
        <v>5</v>
      </c>
      <c r="C200" s="29" t="s">
        <v>1038</v>
      </c>
      <c r="D200" s="30" t="s">
        <v>287</v>
      </c>
      <c r="G200" s="29" t="s">
        <v>1031</v>
      </c>
      <c r="H200" s="29">
        <v>4</v>
      </c>
      <c r="J200" s="29">
        <v>1</v>
      </c>
      <c r="K200" s="29">
        <v>4</v>
      </c>
      <c r="L200" s="29" t="s">
        <v>1039</v>
      </c>
      <c r="M200" s="29">
        <v>1</v>
      </c>
      <c r="O200" s="29">
        <v>4</v>
      </c>
      <c r="P200" s="29">
        <v>4</v>
      </c>
      <c r="Q200" s="29" t="s">
        <v>1040</v>
      </c>
    </row>
    <row r="201" spans="1:18" x14ac:dyDescent="0.3">
      <c r="B201" s="29">
        <v>6</v>
      </c>
      <c r="C201" s="29" t="s">
        <v>1050</v>
      </c>
      <c r="D201" s="30" t="s">
        <v>1051</v>
      </c>
      <c r="E201" s="29">
        <v>150</v>
      </c>
      <c r="G201" s="29" t="s">
        <v>1035</v>
      </c>
      <c r="H201" s="29">
        <v>2</v>
      </c>
      <c r="I201" s="29">
        <v>2.95</v>
      </c>
      <c r="J201" s="29">
        <v>0.4425</v>
      </c>
      <c r="K201" s="29">
        <v>0.88500000000000001</v>
      </c>
      <c r="L201" s="29" t="s">
        <v>1032</v>
      </c>
      <c r="M201" s="29">
        <v>1</v>
      </c>
      <c r="N201" s="29">
        <v>0.3</v>
      </c>
      <c r="O201" s="29">
        <v>2</v>
      </c>
      <c r="P201" s="29">
        <v>0.88500000000000001</v>
      </c>
      <c r="Q201" s="29" t="s">
        <v>1033</v>
      </c>
    </row>
    <row r="202" spans="1:18" x14ac:dyDescent="0.3">
      <c r="A202" s="29" t="s">
        <v>392</v>
      </c>
      <c r="B202" s="29">
        <v>1</v>
      </c>
      <c r="C202" s="45" t="s">
        <v>1030</v>
      </c>
      <c r="D202" s="30" t="s">
        <v>1057</v>
      </c>
      <c r="E202" s="29">
        <v>239</v>
      </c>
      <c r="G202" s="29" t="s">
        <v>1031</v>
      </c>
      <c r="H202" s="29">
        <v>1</v>
      </c>
      <c r="I202" s="29">
        <v>11.29</v>
      </c>
      <c r="J202" s="29">
        <v>2.6983099999999998</v>
      </c>
      <c r="K202" s="29">
        <v>2.6983099999999998</v>
      </c>
      <c r="L202" s="29" t="s">
        <v>1032</v>
      </c>
      <c r="M202" s="29">
        <v>1</v>
      </c>
      <c r="N202" s="29">
        <v>0.23899999999999999</v>
      </c>
      <c r="P202" s="29">
        <v>2.6983099999999998</v>
      </c>
      <c r="Q202" s="29" t="s">
        <v>1033</v>
      </c>
    </row>
    <row r="203" spans="1:18" x14ac:dyDescent="0.3">
      <c r="B203" s="29">
        <v>2</v>
      </c>
      <c r="C203" s="29" t="s">
        <v>1030</v>
      </c>
      <c r="D203" s="30" t="s">
        <v>1057</v>
      </c>
      <c r="E203" s="29">
        <v>700</v>
      </c>
      <c r="G203" s="29" t="s">
        <v>1034</v>
      </c>
      <c r="H203" s="29">
        <v>1</v>
      </c>
      <c r="I203" s="29">
        <v>11.29</v>
      </c>
      <c r="J203" s="29">
        <v>7.9029999999999987</v>
      </c>
      <c r="K203" s="29">
        <v>7.9029999999999987</v>
      </c>
      <c r="L203" s="29" t="s">
        <v>1032</v>
      </c>
      <c r="M203" s="29">
        <v>1</v>
      </c>
      <c r="N203" s="29">
        <v>0.7</v>
      </c>
      <c r="P203" s="29">
        <v>7.9029999999999987</v>
      </c>
      <c r="Q203" s="29" t="s">
        <v>1033</v>
      </c>
    </row>
    <row r="204" spans="1:18" x14ac:dyDescent="0.3">
      <c r="B204" s="29">
        <v>3</v>
      </c>
      <c r="C204" s="29" t="s">
        <v>1049</v>
      </c>
      <c r="D204" s="30">
        <v>9</v>
      </c>
      <c r="E204" s="29">
        <v>150</v>
      </c>
      <c r="F204" s="29">
        <v>150</v>
      </c>
      <c r="G204" s="29" t="s">
        <v>1035</v>
      </c>
      <c r="H204" s="29">
        <v>1</v>
      </c>
      <c r="J204" s="29">
        <v>1.5896249999999998</v>
      </c>
      <c r="K204" s="29">
        <v>1.5896249999999998</v>
      </c>
      <c r="L204" s="29" t="s">
        <v>1036</v>
      </c>
      <c r="M204" s="29">
        <v>1</v>
      </c>
      <c r="O204" s="29">
        <v>1</v>
      </c>
      <c r="P204" s="29">
        <v>1.5896249999999998</v>
      </c>
      <c r="Q204" s="29" t="s">
        <v>1037</v>
      </c>
    </row>
    <row r="205" spans="1:18" x14ac:dyDescent="0.3">
      <c r="B205" s="29">
        <v>4</v>
      </c>
      <c r="C205" s="29" t="s">
        <v>1054</v>
      </c>
      <c r="D205" s="30">
        <v>9</v>
      </c>
      <c r="E205" s="29">
        <v>290</v>
      </c>
      <c r="F205" s="29">
        <v>290</v>
      </c>
      <c r="G205" s="29" t="s">
        <v>1035</v>
      </c>
      <c r="H205" s="29">
        <v>1</v>
      </c>
      <c r="J205" s="29">
        <v>5.9416649999999995</v>
      </c>
      <c r="K205" s="29">
        <v>5.9416649999999995</v>
      </c>
      <c r="L205" s="29" t="s">
        <v>1036</v>
      </c>
      <c r="M205" s="29">
        <v>1</v>
      </c>
      <c r="O205" s="29">
        <v>1</v>
      </c>
      <c r="P205" s="29">
        <v>5.9416649999999995</v>
      </c>
      <c r="Q205" s="29" t="s">
        <v>1037</v>
      </c>
      <c r="R205" t="s">
        <v>1127</v>
      </c>
    </row>
    <row r="206" spans="1:18" x14ac:dyDescent="0.3">
      <c r="B206" s="29">
        <v>5</v>
      </c>
      <c r="C206" s="29" t="s">
        <v>1038</v>
      </c>
      <c r="D206" s="30" t="s">
        <v>287</v>
      </c>
      <c r="G206" s="29" t="s">
        <v>1031</v>
      </c>
      <c r="H206" s="29">
        <v>4</v>
      </c>
      <c r="J206" s="29">
        <v>1</v>
      </c>
      <c r="K206" s="29">
        <v>4</v>
      </c>
      <c r="L206" s="29" t="s">
        <v>1039</v>
      </c>
      <c r="M206" s="29">
        <v>1</v>
      </c>
      <c r="O206" s="29">
        <v>4</v>
      </c>
      <c r="P206" s="29">
        <v>4</v>
      </c>
      <c r="Q206" s="29" t="s">
        <v>1040</v>
      </c>
    </row>
    <row r="207" spans="1:18" x14ac:dyDescent="0.3">
      <c r="B207" s="29">
        <v>6</v>
      </c>
      <c r="C207" s="29" t="s">
        <v>1050</v>
      </c>
      <c r="D207" s="30" t="s">
        <v>1051</v>
      </c>
      <c r="E207" s="29">
        <v>150</v>
      </c>
      <c r="G207" s="29" t="s">
        <v>1035</v>
      </c>
      <c r="H207" s="29">
        <v>2</v>
      </c>
      <c r="I207" s="29">
        <v>2.95</v>
      </c>
      <c r="J207" s="29">
        <v>0.4425</v>
      </c>
      <c r="K207" s="29">
        <v>0.88500000000000001</v>
      </c>
      <c r="L207" s="29" t="s">
        <v>1032</v>
      </c>
      <c r="M207" s="29">
        <v>1</v>
      </c>
      <c r="N207" s="29">
        <v>0.3</v>
      </c>
      <c r="O207" s="29">
        <v>2</v>
      </c>
      <c r="P207" s="29">
        <v>0.88500000000000001</v>
      </c>
      <c r="Q207" s="29" t="s">
        <v>1033</v>
      </c>
    </row>
    <row r="208" spans="1:18" x14ac:dyDescent="0.3">
      <c r="A208" s="29" t="s">
        <v>393</v>
      </c>
      <c r="B208" s="29">
        <v>1</v>
      </c>
      <c r="C208" s="29" t="s">
        <v>1030</v>
      </c>
      <c r="D208" s="30" t="s">
        <v>1058</v>
      </c>
      <c r="E208" s="29">
        <v>286</v>
      </c>
      <c r="G208" s="29" t="s">
        <v>1031</v>
      </c>
      <c r="H208" s="29">
        <v>1</v>
      </c>
      <c r="I208" s="29">
        <v>16.079999999999998</v>
      </c>
      <c r="J208" s="29">
        <v>4.5988799999999994</v>
      </c>
      <c r="K208" s="29">
        <v>4.5988799999999994</v>
      </c>
      <c r="L208" s="29" t="s">
        <v>1032</v>
      </c>
      <c r="M208" s="29">
        <v>1</v>
      </c>
      <c r="N208" s="29">
        <v>0.28599999999999998</v>
      </c>
      <c r="P208" s="29">
        <v>4.5988799999999994</v>
      </c>
      <c r="Q208" s="29" t="s">
        <v>1033</v>
      </c>
    </row>
    <row r="209" spans="1:17" x14ac:dyDescent="0.3">
      <c r="B209" s="29">
        <v>2</v>
      </c>
      <c r="C209" s="29" t="s">
        <v>1030</v>
      </c>
      <c r="D209" s="30" t="s">
        <v>1058</v>
      </c>
      <c r="E209" s="29">
        <v>100</v>
      </c>
      <c r="G209" s="29" t="s">
        <v>1034</v>
      </c>
      <c r="H209" s="29">
        <v>1</v>
      </c>
      <c r="I209" s="29">
        <v>16.079999999999998</v>
      </c>
      <c r="J209" s="29">
        <v>1.6079999999999999</v>
      </c>
      <c r="K209" s="29">
        <v>1.6079999999999999</v>
      </c>
      <c r="L209" s="29" t="s">
        <v>1032</v>
      </c>
      <c r="M209" s="29">
        <v>1</v>
      </c>
      <c r="N209" s="29">
        <v>0.1</v>
      </c>
      <c r="P209" s="29">
        <v>1.6079999999999999</v>
      </c>
      <c r="Q209" s="29" t="s">
        <v>1033</v>
      </c>
    </row>
    <row r="210" spans="1:17" x14ac:dyDescent="0.3">
      <c r="B210" s="29">
        <v>3</v>
      </c>
      <c r="C210" s="29" t="s">
        <v>1049</v>
      </c>
      <c r="D210" s="30">
        <v>9</v>
      </c>
      <c r="E210" s="29">
        <v>230</v>
      </c>
      <c r="F210" s="29">
        <v>230</v>
      </c>
      <c r="G210" s="29" t="s">
        <v>1035</v>
      </c>
      <c r="H210" s="29">
        <v>1</v>
      </c>
      <c r="J210" s="29">
        <v>3.7373849999999997</v>
      </c>
      <c r="K210" s="29">
        <v>3.7373849999999997</v>
      </c>
      <c r="L210" s="29" t="s">
        <v>1036</v>
      </c>
      <c r="M210" s="29">
        <v>1</v>
      </c>
      <c r="O210" s="29">
        <v>1</v>
      </c>
      <c r="P210" s="29">
        <v>3.7373849999999997</v>
      </c>
      <c r="Q210" s="29" t="s">
        <v>1037</v>
      </c>
    </row>
    <row r="211" spans="1:17" x14ac:dyDescent="0.3">
      <c r="B211" s="29">
        <v>4</v>
      </c>
      <c r="C211" s="29" t="s">
        <v>1050</v>
      </c>
      <c r="D211" s="30" t="s">
        <v>1051</v>
      </c>
      <c r="E211" s="29">
        <v>150</v>
      </c>
      <c r="G211" s="29" t="s">
        <v>1035</v>
      </c>
      <c r="H211" s="29">
        <v>2</v>
      </c>
      <c r="I211" s="29">
        <v>2.95</v>
      </c>
      <c r="J211" s="29">
        <v>0.4425</v>
      </c>
      <c r="K211" s="29">
        <v>0.88500000000000001</v>
      </c>
      <c r="L211" s="29" t="s">
        <v>1032</v>
      </c>
      <c r="M211" s="29">
        <v>1</v>
      </c>
      <c r="N211" s="29">
        <v>0.3</v>
      </c>
      <c r="O211" s="29">
        <v>2</v>
      </c>
      <c r="P211" s="29">
        <v>0.88500000000000001</v>
      </c>
      <c r="Q211" s="29" t="s">
        <v>1033</v>
      </c>
    </row>
    <row r="212" spans="1:17" x14ac:dyDescent="0.3">
      <c r="A212" s="29" t="s">
        <v>393</v>
      </c>
      <c r="B212" s="29">
        <v>1</v>
      </c>
      <c r="C212" s="29" t="s">
        <v>1030</v>
      </c>
      <c r="D212" s="30" t="s">
        <v>1058</v>
      </c>
      <c r="E212" s="29">
        <v>286</v>
      </c>
      <c r="G212" s="29" t="s">
        <v>1031</v>
      </c>
      <c r="H212" s="29">
        <v>1</v>
      </c>
      <c r="I212" s="29">
        <v>16.079999999999998</v>
      </c>
      <c r="J212" s="29">
        <v>4.5988799999999994</v>
      </c>
      <c r="K212" s="29">
        <v>4.5988799999999994</v>
      </c>
      <c r="L212" s="29" t="s">
        <v>1032</v>
      </c>
      <c r="M212" s="29">
        <v>1</v>
      </c>
      <c r="N212" s="29">
        <v>0.28599999999999998</v>
      </c>
      <c r="P212" s="29">
        <v>4.5988799999999994</v>
      </c>
      <c r="Q212" s="29" t="s">
        <v>1033</v>
      </c>
    </row>
    <row r="213" spans="1:17" x14ac:dyDescent="0.3">
      <c r="B213" s="29">
        <v>2</v>
      </c>
      <c r="C213" s="29" t="s">
        <v>1030</v>
      </c>
      <c r="D213" s="30" t="s">
        <v>1058</v>
      </c>
      <c r="E213" s="29">
        <v>100</v>
      </c>
      <c r="G213" s="29" t="s">
        <v>1034</v>
      </c>
      <c r="H213" s="29">
        <v>1</v>
      </c>
      <c r="I213" s="29">
        <v>16.079999999999998</v>
      </c>
      <c r="J213" s="29">
        <v>1.6079999999999999</v>
      </c>
      <c r="K213" s="29">
        <v>1.6079999999999999</v>
      </c>
      <c r="L213" s="29" t="s">
        <v>1032</v>
      </c>
      <c r="M213" s="29">
        <v>1</v>
      </c>
      <c r="N213" s="29">
        <v>0.1</v>
      </c>
      <c r="P213" s="29">
        <v>1.6079999999999999</v>
      </c>
      <c r="Q213" s="29" t="s">
        <v>1033</v>
      </c>
    </row>
    <row r="214" spans="1:17" x14ac:dyDescent="0.3">
      <c r="B214" s="29">
        <v>3</v>
      </c>
      <c r="C214" s="29" t="s">
        <v>1049</v>
      </c>
      <c r="D214" s="30">
        <v>9</v>
      </c>
      <c r="E214" s="29">
        <v>230</v>
      </c>
      <c r="F214" s="29">
        <v>230</v>
      </c>
      <c r="G214" s="29" t="s">
        <v>1035</v>
      </c>
      <c r="H214" s="29">
        <v>1</v>
      </c>
      <c r="J214" s="29">
        <v>3.7373849999999997</v>
      </c>
      <c r="K214" s="29">
        <v>3.7373849999999997</v>
      </c>
      <c r="L214" s="29" t="s">
        <v>1036</v>
      </c>
      <c r="M214" s="29">
        <v>1</v>
      </c>
      <c r="O214" s="29">
        <v>1</v>
      </c>
      <c r="P214" s="29">
        <v>3.7373849999999997</v>
      </c>
      <c r="Q214" s="29" t="s">
        <v>1037</v>
      </c>
    </row>
    <row r="215" spans="1:17" x14ac:dyDescent="0.3">
      <c r="B215" s="29">
        <v>4</v>
      </c>
      <c r="C215" s="45" t="s">
        <v>1050</v>
      </c>
      <c r="D215" s="30" t="s">
        <v>1051</v>
      </c>
      <c r="E215" s="29">
        <v>150</v>
      </c>
      <c r="G215" s="29" t="s">
        <v>1035</v>
      </c>
      <c r="H215" s="29">
        <v>2</v>
      </c>
      <c r="I215" s="29">
        <v>2.95</v>
      </c>
      <c r="J215" s="29">
        <v>0.4425</v>
      </c>
      <c r="K215" s="29">
        <v>0.88500000000000001</v>
      </c>
      <c r="L215" s="29" t="s">
        <v>1032</v>
      </c>
      <c r="M215" s="29">
        <v>1</v>
      </c>
      <c r="N215" s="29">
        <v>0.3</v>
      </c>
      <c r="O215" s="29">
        <v>2</v>
      </c>
      <c r="P215" s="29">
        <v>0.88500000000000001</v>
      </c>
      <c r="Q215" s="29" t="s">
        <v>1033</v>
      </c>
    </row>
    <row r="216" spans="1:17" x14ac:dyDescent="0.3">
      <c r="A216" s="29" t="s">
        <v>394</v>
      </c>
      <c r="B216" s="29">
        <v>1</v>
      </c>
      <c r="C216" s="29" t="s">
        <v>1030</v>
      </c>
      <c r="D216" s="30" t="s">
        <v>1058</v>
      </c>
      <c r="E216" s="29">
        <v>286</v>
      </c>
      <c r="G216" s="29" t="s">
        <v>1031</v>
      </c>
      <c r="H216" s="29">
        <v>1</v>
      </c>
      <c r="I216" s="29">
        <v>16.079999999999998</v>
      </c>
      <c r="J216" s="29">
        <v>4.5988799999999994</v>
      </c>
      <c r="K216" s="29">
        <v>4.5988799999999994</v>
      </c>
      <c r="L216" s="29" t="s">
        <v>1032</v>
      </c>
      <c r="M216" s="29">
        <v>1</v>
      </c>
      <c r="N216" s="29">
        <v>0.28599999999999998</v>
      </c>
      <c r="P216" s="29">
        <v>4.5988799999999994</v>
      </c>
      <c r="Q216" s="29" t="s">
        <v>1033</v>
      </c>
    </row>
    <row r="217" spans="1:17" x14ac:dyDescent="0.3">
      <c r="B217" s="29">
        <v>2</v>
      </c>
      <c r="C217" s="29" t="s">
        <v>1030</v>
      </c>
      <c r="D217" s="30" t="s">
        <v>1058</v>
      </c>
      <c r="E217" s="29">
        <v>300</v>
      </c>
      <c r="G217" s="29" t="s">
        <v>1034</v>
      </c>
      <c r="H217" s="29">
        <v>1</v>
      </c>
      <c r="I217" s="29">
        <v>16.079999999999998</v>
      </c>
      <c r="J217" s="29">
        <v>4.823999999999999</v>
      </c>
      <c r="K217" s="29">
        <v>4.823999999999999</v>
      </c>
      <c r="L217" s="29" t="s">
        <v>1032</v>
      </c>
      <c r="M217" s="29">
        <v>1</v>
      </c>
      <c r="N217" s="29">
        <v>0.3</v>
      </c>
      <c r="P217" s="29">
        <v>4.823999999999999</v>
      </c>
      <c r="Q217" s="29" t="s">
        <v>1033</v>
      </c>
    </row>
    <row r="218" spans="1:17" x14ac:dyDescent="0.3">
      <c r="B218" s="29">
        <v>3</v>
      </c>
      <c r="C218" s="29" t="s">
        <v>1049</v>
      </c>
      <c r="D218" s="30">
        <v>9</v>
      </c>
      <c r="E218" s="29">
        <v>230</v>
      </c>
      <c r="F218" s="29">
        <v>230</v>
      </c>
      <c r="G218" s="29" t="s">
        <v>1035</v>
      </c>
      <c r="H218" s="29">
        <v>1</v>
      </c>
      <c r="J218" s="29">
        <v>3.7373849999999997</v>
      </c>
      <c r="K218" s="29">
        <v>3.7373849999999997</v>
      </c>
      <c r="L218" s="29" t="s">
        <v>1036</v>
      </c>
      <c r="M218" s="29">
        <v>1</v>
      </c>
      <c r="O218" s="29">
        <v>1</v>
      </c>
      <c r="P218" s="29">
        <v>3.7373849999999997</v>
      </c>
      <c r="Q218" s="29" t="s">
        <v>1037</v>
      </c>
    </row>
    <row r="219" spans="1:17" x14ac:dyDescent="0.3">
      <c r="B219" s="29">
        <v>4</v>
      </c>
      <c r="C219" s="29" t="s">
        <v>1050</v>
      </c>
      <c r="D219" s="30" t="s">
        <v>1051</v>
      </c>
      <c r="E219" s="29">
        <v>150</v>
      </c>
      <c r="G219" s="29" t="s">
        <v>1035</v>
      </c>
      <c r="H219" s="29">
        <v>2</v>
      </c>
      <c r="I219" s="29">
        <v>2.95</v>
      </c>
      <c r="J219" s="29">
        <v>0.4425</v>
      </c>
      <c r="K219" s="29">
        <v>0.88500000000000001</v>
      </c>
      <c r="L219" s="29" t="s">
        <v>1032</v>
      </c>
      <c r="M219" s="29">
        <v>1</v>
      </c>
      <c r="N219" s="29">
        <v>0.3</v>
      </c>
      <c r="O219" s="29">
        <v>2</v>
      </c>
      <c r="P219" s="29">
        <v>0.88500000000000001</v>
      </c>
      <c r="Q219" s="29" t="s">
        <v>1033</v>
      </c>
    </row>
    <row r="220" spans="1:17" x14ac:dyDescent="0.3">
      <c r="A220" s="29" t="s">
        <v>394</v>
      </c>
      <c r="B220" s="29">
        <v>1</v>
      </c>
      <c r="C220" s="29" t="s">
        <v>1030</v>
      </c>
      <c r="D220" s="30" t="s">
        <v>1058</v>
      </c>
      <c r="E220" s="29">
        <v>286</v>
      </c>
      <c r="G220" s="29" t="s">
        <v>1031</v>
      </c>
      <c r="H220" s="29">
        <v>1</v>
      </c>
      <c r="I220" s="29">
        <v>16.079999999999998</v>
      </c>
      <c r="J220" s="29">
        <v>4.5988799999999994</v>
      </c>
      <c r="K220" s="29">
        <v>4.5988799999999994</v>
      </c>
      <c r="L220" s="29" t="s">
        <v>1032</v>
      </c>
      <c r="M220" s="29">
        <v>1</v>
      </c>
      <c r="N220" s="29">
        <v>0.28599999999999998</v>
      </c>
      <c r="P220" s="29">
        <v>4.5988799999999994</v>
      </c>
      <c r="Q220" s="29" t="s">
        <v>1033</v>
      </c>
    </row>
    <row r="221" spans="1:17" x14ac:dyDescent="0.3">
      <c r="B221" s="29">
        <v>2</v>
      </c>
      <c r="C221" s="29" t="s">
        <v>1030</v>
      </c>
      <c r="D221" s="30" t="s">
        <v>1058</v>
      </c>
      <c r="E221" s="29">
        <v>300</v>
      </c>
      <c r="G221" s="29" t="s">
        <v>1034</v>
      </c>
      <c r="H221" s="29">
        <v>1</v>
      </c>
      <c r="I221" s="29">
        <v>16.079999999999998</v>
      </c>
      <c r="J221" s="29">
        <v>4.823999999999999</v>
      </c>
      <c r="K221" s="29">
        <v>4.823999999999999</v>
      </c>
      <c r="L221" s="29" t="s">
        <v>1032</v>
      </c>
      <c r="M221" s="29">
        <v>1</v>
      </c>
      <c r="N221" s="29">
        <v>0.3</v>
      </c>
      <c r="P221" s="29">
        <v>4.823999999999999</v>
      </c>
      <c r="Q221" s="29" t="s">
        <v>1033</v>
      </c>
    </row>
    <row r="222" spans="1:17" x14ac:dyDescent="0.3">
      <c r="B222" s="29">
        <v>3</v>
      </c>
      <c r="C222" s="29" t="s">
        <v>1049</v>
      </c>
      <c r="D222" s="30">
        <v>9</v>
      </c>
      <c r="E222" s="29">
        <v>230</v>
      </c>
      <c r="F222" s="29">
        <v>230</v>
      </c>
      <c r="G222" s="29" t="s">
        <v>1035</v>
      </c>
      <c r="H222" s="29">
        <v>1</v>
      </c>
      <c r="J222" s="29">
        <v>3.7373849999999997</v>
      </c>
      <c r="K222" s="29">
        <v>3.7373849999999997</v>
      </c>
      <c r="L222" s="29" t="s">
        <v>1036</v>
      </c>
      <c r="M222" s="29">
        <v>1</v>
      </c>
      <c r="O222" s="29">
        <v>1</v>
      </c>
      <c r="P222" s="29">
        <v>3.7373849999999997</v>
      </c>
      <c r="Q222" s="29" t="s">
        <v>1037</v>
      </c>
    </row>
    <row r="223" spans="1:17" x14ac:dyDescent="0.3">
      <c r="B223" s="29">
        <v>4</v>
      </c>
      <c r="C223" s="45" t="s">
        <v>1050</v>
      </c>
      <c r="D223" s="30" t="s">
        <v>1051</v>
      </c>
      <c r="E223" s="29">
        <v>150</v>
      </c>
      <c r="G223" s="29" t="s">
        <v>1035</v>
      </c>
      <c r="H223" s="29">
        <v>2</v>
      </c>
      <c r="I223" s="29">
        <v>2.95</v>
      </c>
      <c r="J223" s="29">
        <v>0.4425</v>
      </c>
      <c r="K223" s="29">
        <v>0.88500000000000001</v>
      </c>
      <c r="L223" s="29" t="s">
        <v>1032</v>
      </c>
      <c r="M223" s="29">
        <v>1</v>
      </c>
      <c r="N223" s="29">
        <v>0.3</v>
      </c>
      <c r="O223" s="29">
        <v>2</v>
      </c>
      <c r="P223" s="29">
        <v>0.88500000000000001</v>
      </c>
      <c r="Q223" s="29" t="s">
        <v>1033</v>
      </c>
    </row>
    <row r="224" spans="1:17" x14ac:dyDescent="0.3">
      <c r="A224" s="29" t="s">
        <v>395</v>
      </c>
      <c r="B224" s="29">
        <v>1</v>
      </c>
      <c r="C224" s="29" t="s">
        <v>1030</v>
      </c>
      <c r="D224" s="30" t="s">
        <v>1058</v>
      </c>
      <c r="E224" s="29">
        <v>286</v>
      </c>
      <c r="G224" s="29" t="s">
        <v>1031</v>
      </c>
      <c r="H224" s="29">
        <v>1</v>
      </c>
      <c r="I224" s="29">
        <v>16.079999999999998</v>
      </c>
      <c r="J224" s="29">
        <v>4.5988799999999994</v>
      </c>
      <c r="K224" s="29">
        <v>4.5988799999999994</v>
      </c>
      <c r="L224" s="29" t="s">
        <v>1032</v>
      </c>
      <c r="M224" s="29">
        <v>1</v>
      </c>
      <c r="N224" s="29">
        <v>0.28599999999999998</v>
      </c>
      <c r="P224" s="29">
        <v>4.5988799999999994</v>
      </c>
      <c r="Q224" s="29" t="s">
        <v>1033</v>
      </c>
    </row>
    <row r="225" spans="1:18" x14ac:dyDescent="0.3">
      <c r="B225" s="29">
        <v>2</v>
      </c>
      <c r="C225" s="29" t="s">
        <v>1030</v>
      </c>
      <c r="D225" s="30" t="s">
        <v>1058</v>
      </c>
      <c r="E225" s="29">
        <v>400</v>
      </c>
      <c r="G225" s="29" t="s">
        <v>1034</v>
      </c>
      <c r="H225" s="29">
        <v>1</v>
      </c>
      <c r="I225" s="29">
        <v>16.079999999999998</v>
      </c>
      <c r="J225" s="29">
        <v>6.4319999999999995</v>
      </c>
      <c r="K225" s="29">
        <v>6.4319999999999995</v>
      </c>
      <c r="L225" s="29" t="s">
        <v>1032</v>
      </c>
      <c r="M225" s="29">
        <v>1</v>
      </c>
      <c r="N225" s="29">
        <v>0.4</v>
      </c>
      <c r="P225" s="29">
        <v>6.4319999999999995</v>
      </c>
      <c r="Q225" s="29" t="s">
        <v>1033</v>
      </c>
    </row>
    <row r="226" spans="1:18" x14ac:dyDescent="0.3">
      <c r="B226" s="29">
        <v>3</v>
      </c>
      <c r="C226" s="29" t="s">
        <v>1041</v>
      </c>
      <c r="D226" s="30">
        <v>9</v>
      </c>
      <c r="E226" s="29">
        <v>260</v>
      </c>
      <c r="F226" s="29">
        <v>260</v>
      </c>
      <c r="G226" s="29" t="s">
        <v>1035</v>
      </c>
      <c r="H226" s="29">
        <v>1</v>
      </c>
      <c r="J226" s="29">
        <v>4.7759399999999994</v>
      </c>
      <c r="K226" s="29">
        <v>4.7759399999999994</v>
      </c>
      <c r="L226" s="29" t="s">
        <v>1036</v>
      </c>
      <c r="M226" s="29">
        <v>1</v>
      </c>
      <c r="O226" s="29">
        <v>1</v>
      </c>
      <c r="P226" s="29">
        <v>4.7759399999999994</v>
      </c>
      <c r="Q226" s="29" t="s">
        <v>1037</v>
      </c>
      <c r="R226" t="s">
        <v>1128</v>
      </c>
    </row>
    <row r="227" spans="1:18" x14ac:dyDescent="0.3">
      <c r="B227" s="29">
        <v>4</v>
      </c>
      <c r="C227" s="29" t="s">
        <v>1038</v>
      </c>
      <c r="D227" s="30" t="s">
        <v>287</v>
      </c>
      <c r="G227" s="29" t="s">
        <v>1031</v>
      </c>
      <c r="H227" s="29">
        <v>4</v>
      </c>
      <c r="J227" s="29">
        <v>1</v>
      </c>
      <c r="K227" s="29">
        <v>4</v>
      </c>
      <c r="L227" s="29" t="s">
        <v>1039</v>
      </c>
      <c r="M227" s="29">
        <v>1</v>
      </c>
      <c r="O227" s="29">
        <v>4</v>
      </c>
      <c r="P227" s="29">
        <v>4</v>
      </c>
      <c r="Q227" s="29" t="s">
        <v>1040</v>
      </c>
    </row>
    <row r="228" spans="1:18" x14ac:dyDescent="0.3">
      <c r="A228" s="29" t="s">
        <v>396</v>
      </c>
      <c r="B228" s="29">
        <v>1</v>
      </c>
      <c r="C228" s="29" t="s">
        <v>1030</v>
      </c>
      <c r="D228" s="30" t="s">
        <v>1058</v>
      </c>
      <c r="E228" s="29">
        <v>286</v>
      </c>
      <c r="G228" s="29" t="s">
        <v>1031</v>
      </c>
      <c r="H228" s="29">
        <v>1</v>
      </c>
      <c r="I228" s="29">
        <v>16.079999999999998</v>
      </c>
      <c r="J228" s="29">
        <v>4.5988799999999994</v>
      </c>
      <c r="K228" s="29">
        <v>4.5988799999999994</v>
      </c>
      <c r="L228" s="29" t="s">
        <v>1032</v>
      </c>
      <c r="M228" s="29">
        <v>1</v>
      </c>
      <c r="N228" s="29">
        <v>0.28599999999999998</v>
      </c>
      <c r="P228" s="29">
        <v>4.5988799999999994</v>
      </c>
      <c r="Q228" s="29" t="s">
        <v>1033</v>
      </c>
    </row>
    <row r="229" spans="1:18" x14ac:dyDescent="0.3">
      <c r="B229" s="29">
        <v>2</v>
      </c>
      <c r="C229" s="29" t="s">
        <v>1030</v>
      </c>
      <c r="D229" s="30" t="s">
        <v>1058</v>
      </c>
      <c r="E229" s="29">
        <v>500</v>
      </c>
      <c r="G229" s="29" t="s">
        <v>1034</v>
      </c>
      <c r="H229" s="29">
        <v>1</v>
      </c>
      <c r="I229" s="29">
        <v>16.079999999999998</v>
      </c>
      <c r="J229" s="29">
        <v>8.0399999999999991</v>
      </c>
      <c r="K229" s="29">
        <v>8.0399999999999991</v>
      </c>
      <c r="L229" s="29" t="s">
        <v>1032</v>
      </c>
      <c r="M229" s="29">
        <v>1</v>
      </c>
      <c r="N229" s="29">
        <v>0.5</v>
      </c>
      <c r="P229" s="29">
        <v>8.0399999999999991</v>
      </c>
      <c r="Q229" s="29" t="s">
        <v>1033</v>
      </c>
    </row>
    <row r="230" spans="1:18" x14ac:dyDescent="0.3">
      <c r="B230" s="29">
        <v>3</v>
      </c>
      <c r="C230" s="29" t="s">
        <v>1049</v>
      </c>
      <c r="D230" s="30">
        <v>9</v>
      </c>
      <c r="E230" s="29">
        <v>230</v>
      </c>
      <c r="F230" s="29">
        <v>230</v>
      </c>
      <c r="G230" s="29" t="s">
        <v>1035</v>
      </c>
      <c r="H230" s="29">
        <v>1</v>
      </c>
      <c r="J230" s="29">
        <v>3.7373849999999997</v>
      </c>
      <c r="K230" s="29">
        <v>3.7373849999999997</v>
      </c>
      <c r="L230" s="29" t="s">
        <v>1036</v>
      </c>
      <c r="M230" s="29">
        <v>1</v>
      </c>
      <c r="O230" s="29">
        <v>1</v>
      </c>
      <c r="P230" s="29">
        <v>3.7373849999999997</v>
      </c>
      <c r="Q230" s="29" t="s">
        <v>1037</v>
      </c>
    </row>
    <row r="231" spans="1:18" x14ac:dyDescent="0.3">
      <c r="B231" s="29">
        <v>4</v>
      </c>
      <c r="C231" s="29" t="s">
        <v>1050</v>
      </c>
      <c r="D231" s="30" t="s">
        <v>1051</v>
      </c>
      <c r="E231" s="29">
        <v>150</v>
      </c>
      <c r="G231" s="29" t="s">
        <v>1035</v>
      </c>
      <c r="H231" s="29">
        <v>2</v>
      </c>
      <c r="I231" s="29">
        <v>2.95</v>
      </c>
      <c r="J231" s="29">
        <v>0.4425</v>
      </c>
      <c r="K231" s="29">
        <v>0.88500000000000001</v>
      </c>
      <c r="L231" s="29" t="s">
        <v>1032</v>
      </c>
      <c r="M231" s="29">
        <v>1</v>
      </c>
      <c r="N231" s="29">
        <v>0.3</v>
      </c>
      <c r="O231" s="29">
        <v>2</v>
      </c>
      <c r="P231" s="29">
        <v>0.88500000000000001</v>
      </c>
      <c r="Q231" s="29" t="s">
        <v>1033</v>
      </c>
    </row>
    <row r="232" spans="1:18" x14ac:dyDescent="0.3">
      <c r="A232" s="29" t="s">
        <v>397</v>
      </c>
      <c r="B232" s="29">
        <v>1</v>
      </c>
      <c r="C232" s="29" t="s">
        <v>1030</v>
      </c>
      <c r="D232" s="30" t="s">
        <v>1058</v>
      </c>
      <c r="E232" s="29">
        <v>286</v>
      </c>
      <c r="G232" s="29" t="s">
        <v>1031</v>
      </c>
      <c r="H232" s="29">
        <v>1</v>
      </c>
      <c r="I232" s="29">
        <v>16.079999999999998</v>
      </c>
      <c r="J232" s="29">
        <v>4.5988799999999994</v>
      </c>
      <c r="K232" s="29">
        <v>4.5988799999999994</v>
      </c>
      <c r="L232" s="29" t="s">
        <v>1032</v>
      </c>
      <c r="M232" s="29">
        <v>1</v>
      </c>
      <c r="N232" s="29">
        <v>0.28599999999999998</v>
      </c>
      <c r="P232" s="29">
        <v>4.5988799999999994</v>
      </c>
      <c r="Q232" s="29" t="s">
        <v>1033</v>
      </c>
    </row>
    <row r="233" spans="1:18" x14ac:dyDescent="0.3">
      <c r="B233" s="29">
        <v>2</v>
      </c>
      <c r="C233" s="29" t="s">
        <v>1030</v>
      </c>
      <c r="D233" s="30" t="s">
        <v>1058</v>
      </c>
      <c r="E233" s="29">
        <v>600</v>
      </c>
      <c r="G233" s="29" t="s">
        <v>1034</v>
      </c>
      <c r="H233" s="29">
        <v>1</v>
      </c>
      <c r="I233" s="29">
        <v>16.079999999999998</v>
      </c>
      <c r="J233" s="29">
        <v>9.6479999999999979</v>
      </c>
      <c r="K233" s="29">
        <v>9.6479999999999979</v>
      </c>
      <c r="L233" s="29" t="s">
        <v>1032</v>
      </c>
      <c r="M233" s="29">
        <v>1</v>
      </c>
      <c r="N233" s="29">
        <v>0.6</v>
      </c>
      <c r="P233" s="29">
        <v>9.6479999999999979</v>
      </c>
      <c r="Q233" s="29" t="s">
        <v>1033</v>
      </c>
    </row>
    <row r="234" spans="1:18" x14ac:dyDescent="0.3">
      <c r="B234" s="29">
        <v>3</v>
      </c>
      <c r="C234" s="29" t="s">
        <v>1049</v>
      </c>
      <c r="D234" s="30">
        <v>9</v>
      </c>
      <c r="E234" s="29">
        <v>230</v>
      </c>
      <c r="F234" s="29">
        <v>230</v>
      </c>
      <c r="G234" s="29" t="s">
        <v>1035</v>
      </c>
      <c r="H234" s="29">
        <v>1</v>
      </c>
      <c r="J234" s="29">
        <v>3.7373849999999997</v>
      </c>
      <c r="K234" s="29">
        <v>3.7373849999999997</v>
      </c>
      <c r="L234" s="29" t="s">
        <v>1036</v>
      </c>
      <c r="M234" s="29">
        <v>1</v>
      </c>
      <c r="O234" s="29">
        <v>1</v>
      </c>
      <c r="P234" s="29">
        <v>3.7373849999999997</v>
      </c>
      <c r="Q234" s="29" t="s">
        <v>1037</v>
      </c>
    </row>
    <row r="235" spans="1:18" x14ac:dyDescent="0.3">
      <c r="B235" s="29">
        <v>4</v>
      </c>
      <c r="C235" s="29" t="s">
        <v>1054</v>
      </c>
      <c r="D235" s="30">
        <v>9</v>
      </c>
      <c r="E235" s="29">
        <v>370</v>
      </c>
      <c r="F235" s="29">
        <v>370</v>
      </c>
      <c r="G235" s="29" t="s">
        <v>1035</v>
      </c>
      <c r="H235" s="29">
        <v>1</v>
      </c>
      <c r="J235" s="29">
        <v>9.6719849999999994</v>
      </c>
      <c r="K235" s="29">
        <v>9.6719849999999994</v>
      </c>
      <c r="L235" s="29" t="s">
        <v>1036</v>
      </c>
      <c r="M235" s="29">
        <v>1</v>
      </c>
      <c r="O235" s="29">
        <v>1</v>
      </c>
      <c r="P235" s="29">
        <v>9.6719849999999994</v>
      </c>
      <c r="Q235" s="29" t="s">
        <v>1037</v>
      </c>
      <c r="R235" t="s">
        <v>1129</v>
      </c>
    </row>
    <row r="236" spans="1:18" x14ac:dyDescent="0.3">
      <c r="B236" s="29">
        <v>5</v>
      </c>
      <c r="C236" s="29" t="s">
        <v>1038</v>
      </c>
      <c r="D236" s="30" t="s">
        <v>287</v>
      </c>
      <c r="G236" s="29" t="s">
        <v>1031</v>
      </c>
      <c r="H236" s="29">
        <v>4</v>
      </c>
      <c r="J236" s="29">
        <v>1</v>
      </c>
      <c r="K236" s="29">
        <v>4</v>
      </c>
      <c r="L236" s="29" t="s">
        <v>1039</v>
      </c>
      <c r="M236" s="29">
        <v>1</v>
      </c>
      <c r="O236" s="29">
        <v>4</v>
      </c>
      <c r="P236" s="29">
        <v>4</v>
      </c>
      <c r="Q236" s="29" t="s">
        <v>1040</v>
      </c>
    </row>
    <row r="237" spans="1:18" x14ac:dyDescent="0.3">
      <c r="B237" s="29">
        <v>6</v>
      </c>
      <c r="C237" s="29" t="s">
        <v>1050</v>
      </c>
      <c r="D237" s="30" t="s">
        <v>1051</v>
      </c>
      <c r="E237" s="29">
        <v>150</v>
      </c>
      <c r="G237" s="29" t="s">
        <v>1035</v>
      </c>
      <c r="H237" s="29">
        <v>2</v>
      </c>
      <c r="I237" s="29">
        <v>2.95</v>
      </c>
      <c r="J237" s="29">
        <v>0.4425</v>
      </c>
      <c r="K237" s="29">
        <v>0.88500000000000001</v>
      </c>
      <c r="L237" s="29" t="s">
        <v>1032</v>
      </c>
      <c r="M237" s="29">
        <v>1</v>
      </c>
      <c r="N237" s="29">
        <v>0.3</v>
      </c>
      <c r="O237" s="29">
        <v>2</v>
      </c>
      <c r="P237" s="29">
        <v>0.88500000000000001</v>
      </c>
      <c r="Q237" s="29" t="s">
        <v>1033</v>
      </c>
    </row>
    <row r="238" spans="1:18" x14ac:dyDescent="0.3">
      <c r="A238" s="29" t="s">
        <v>398</v>
      </c>
      <c r="B238" s="29">
        <v>1</v>
      </c>
      <c r="C238" s="29" t="s">
        <v>1030</v>
      </c>
      <c r="D238" s="30" t="s">
        <v>1058</v>
      </c>
      <c r="E238" s="29">
        <v>286</v>
      </c>
      <c r="G238" s="29" t="s">
        <v>1031</v>
      </c>
      <c r="H238" s="29">
        <v>1</v>
      </c>
      <c r="I238" s="29">
        <v>16.079999999999998</v>
      </c>
      <c r="J238" s="29">
        <v>4.5988799999999994</v>
      </c>
      <c r="K238" s="29">
        <v>4.5988799999999994</v>
      </c>
      <c r="L238" s="29" t="s">
        <v>1032</v>
      </c>
      <c r="M238" s="29">
        <v>1</v>
      </c>
      <c r="N238" s="29">
        <v>0.28599999999999998</v>
      </c>
      <c r="P238" s="29">
        <v>4.5988799999999994</v>
      </c>
      <c r="Q238" s="29" t="s">
        <v>1033</v>
      </c>
    </row>
    <row r="239" spans="1:18" x14ac:dyDescent="0.3">
      <c r="B239" s="29">
        <v>2</v>
      </c>
      <c r="C239" s="29" t="s">
        <v>1030</v>
      </c>
      <c r="D239" s="30" t="s">
        <v>1058</v>
      </c>
      <c r="E239" s="29">
        <v>600</v>
      </c>
      <c r="G239" s="29" t="s">
        <v>1034</v>
      </c>
      <c r="H239" s="29">
        <v>1</v>
      </c>
      <c r="I239" s="29">
        <v>16.079999999999998</v>
      </c>
      <c r="J239" s="29">
        <v>9.6479999999999979</v>
      </c>
      <c r="K239" s="29">
        <v>9.6479999999999979</v>
      </c>
      <c r="L239" s="29" t="s">
        <v>1032</v>
      </c>
      <c r="M239" s="29">
        <v>1</v>
      </c>
      <c r="N239" s="29">
        <v>0.6</v>
      </c>
      <c r="P239" s="29">
        <v>9.6479999999999979</v>
      </c>
      <c r="Q239" s="29" t="s">
        <v>1033</v>
      </c>
    </row>
    <row r="240" spans="1:18" x14ac:dyDescent="0.3">
      <c r="B240" s="29">
        <v>3</v>
      </c>
      <c r="C240" s="29" t="s">
        <v>1049</v>
      </c>
      <c r="D240" s="30">
        <v>9</v>
      </c>
      <c r="E240" s="29">
        <v>230</v>
      </c>
      <c r="F240" s="29">
        <v>230</v>
      </c>
      <c r="G240" s="29" t="s">
        <v>1035</v>
      </c>
      <c r="H240" s="29">
        <v>1</v>
      </c>
      <c r="J240" s="29">
        <v>3.7373849999999997</v>
      </c>
      <c r="K240" s="29">
        <v>3.7373849999999997</v>
      </c>
      <c r="L240" s="29" t="s">
        <v>1036</v>
      </c>
      <c r="M240" s="29">
        <v>1</v>
      </c>
      <c r="O240" s="29">
        <v>1</v>
      </c>
      <c r="P240" s="29">
        <v>3.7373849999999997</v>
      </c>
      <c r="Q240" s="29" t="s">
        <v>1037</v>
      </c>
    </row>
    <row r="241" spans="1:18" x14ac:dyDescent="0.3">
      <c r="B241" s="29">
        <v>4</v>
      </c>
      <c r="C241" s="29" t="s">
        <v>1054</v>
      </c>
      <c r="D241" s="30">
        <v>9</v>
      </c>
      <c r="E241" s="29">
        <v>370</v>
      </c>
      <c r="F241" s="29">
        <v>370</v>
      </c>
      <c r="G241" s="29" t="s">
        <v>1035</v>
      </c>
      <c r="H241" s="29">
        <v>1</v>
      </c>
      <c r="J241" s="29">
        <v>9.6719849999999994</v>
      </c>
      <c r="K241" s="29">
        <v>9.6719849999999994</v>
      </c>
      <c r="L241" s="29" t="s">
        <v>1036</v>
      </c>
      <c r="M241" s="29">
        <v>1</v>
      </c>
      <c r="O241" s="29">
        <v>1</v>
      </c>
      <c r="P241" s="29">
        <v>9.6719849999999994</v>
      </c>
      <c r="Q241" s="29" t="s">
        <v>1037</v>
      </c>
      <c r="R241" t="s">
        <v>1129</v>
      </c>
    </row>
    <row r="242" spans="1:18" x14ac:dyDescent="0.3">
      <c r="B242" s="29">
        <v>5</v>
      </c>
      <c r="C242" s="29" t="s">
        <v>1038</v>
      </c>
      <c r="D242" s="30" t="s">
        <v>287</v>
      </c>
      <c r="G242" s="29" t="s">
        <v>1031</v>
      </c>
      <c r="H242" s="29">
        <v>4</v>
      </c>
      <c r="J242" s="29">
        <v>1</v>
      </c>
      <c r="K242" s="29">
        <v>4</v>
      </c>
      <c r="L242" s="29" t="s">
        <v>1039</v>
      </c>
      <c r="M242" s="29">
        <v>1</v>
      </c>
      <c r="O242" s="29">
        <v>4</v>
      </c>
      <c r="P242" s="29">
        <v>4</v>
      </c>
      <c r="Q242" s="29" t="s">
        <v>1040</v>
      </c>
    </row>
    <row r="243" spans="1:18" x14ac:dyDescent="0.3">
      <c r="B243" s="29">
        <v>6</v>
      </c>
      <c r="C243" s="29" t="s">
        <v>1050</v>
      </c>
      <c r="D243" s="29" t="s">
        <v>1051</v>
      </c>
      <c r="E243" s="29">
        <v>150</v>
      </c>
      <c r="G243" s="29" t="s">
        <v>1035</v>
      </c>
      <c r="H243" s="29">
        <v>2</v>
      </c>
      <c r="I243" s="29">
        <v>2.95</v>
      </c>
      <c r="J243" s="29">
        <v>0.4425</v>
      </c>
      <c r="K243" s="29">
        <v>0.88500000000000001</v>
      </c>
      <c r="L243" s="29" t="s">
        <v>1032</v>
      </c>
      <c r="M243" s="29">
        <v>1</v>
      </c>
      <c r="N243" s="29">
        <v>0.3</v>
      </c>
      <c r="O243" s="29">
        <v>2</v>
      </c>
      <c r="P243" s="29">
        <v>0.88500000000000001</v>
      </c>
      <c r="Q243" s="29" t="s">
        <v>1033</v>
      </c>
    </row>
    <row r="244" spans="1:18" x14ac:dyDescent="0.3">
      <c r="A244" s="29" t="s">
        <v>399</v>
      </c>
      <c r="B244" s="29">
        <v>1</v>
      </c>
      <c r="C244" s="29" t="s">
        <v>1030</v>
      </c>
      <c r="D244" s="30" t="s">
        <v>1058</v>
      </c>
      <c r="E244" s="29">
        <v>286</v>
      </c>
      <c r="G244" s="29" t="s">
        <v>1031</v>
      </c>
      <c r="H244" s="29">
        <v>1</v>
      </c>
      <c r="I244" s="29">
        <v>16.079999999999998</v>
      </c>
      <c r="J244" s="29">
        <v>4.5988799999999994</v>
      </c>
      <c r="K244" s="29">
        <v>4.5988799999999994</v>
      </c>
      <c r="L244" s="29" t="s">
        <v>1032</v>
      </c>
      <c r="M244" s="29">
        <v>1</v>
      </c>
      <c r="N244" s="29">
        <v>0.28599999999999998</v>
      </c>
      <c r="P244" s="29">
        <v>4.5988799999999994</v>
      </c>
      <c r="Q244" s="29" t="s">
        <v>1033</v>
      </c>
    </row>
    <row r="245" spans="1:18" x14ac:dyDescent="0.3">
      <c r="B245" s="29">
        <v>2</v>
      </c>
      <c r="C245" s="29" t="s">
        <v>1030</v>
      </c>
      <c r="D245" s="30" t="s">
        <v>1058</v>
      </c>
      <c r="E245" s="29">
        <v>700</v>
      </c>
      <c r="G245" s="29" t="s">
        <v>1034</v>
      </c>
      <c r="H245" s="29">
        <v>1</v>
      </c>
      <c r="I245" s="29">
        <v>16.079999999999998</v>
      </c>
      <c r="J245" s="29">
        <v>11.255999999999998</v>
      </c>
      <c r="K245" s="29">
        <v>11.255999999999998</v>
      </c>
      <c r="L245" s="29" t="s">
        <v>1032</v>
      </c>
      <c r="M245" s="29">
        <v>1</v>
      </c>
      <c r="N245" s="29">
        <v>0.7</v>
      </c>
      <c r="P245" s="29">
        <v>11.255999999999998</v>
      </c>
      <c r="Q245" s="29" t="s">
        <v>1033</v>
      </c>
    </row>
    <row r="246" spans="1:18" x14ac:dyDescent="0.3">
      <c r="B246" s="29">
        <v>3</v>
      </c>
      <c r="C246" s="29" t="s">
        <v>1049</v>
      </c>
      <c r="D246" s="30">
        <v>9</v>
      </c>
      <c r="E246" s="29">
        <v>230</v>
      </c>
      <c r="F246" s="29">
        <v>230</v>
      </c>
      <c r="G246" s="29" t="s">
        <v>1035</v>
      </c>
      <c r="H246" s="29">
        <v>1</v>
      </c>
      <c r="J246" s="29">
        <v>3.7373849999999997</v>
      </c>
      <c r="K246" s="29">
        <v>3.7373849999999997</v>
      </c>
      <c r="L246" s="29" t="s">
        <v>1036</v>
      </c>
      <c r="M246" s="29">
        <v>1</v>
      </c>
      <c r="O246" s="29">
        <v>1</v>
      </c>
      <c r="P246" s="29">
        <v>3.7373849999999997</v>
      </c>
      <c r="Q246" s="29" t="s">
        <v>1037</v>
      </c>
    </row>
    <row r="247" spans="1:18" x14ac:dyDescent="0.3">
      <c r="B247" s="29">
        <v>4</v>
      </c>
      <c r="C247" s="29" t="s">
        <v>1054</v>
      </c>
      <c r="D247" s="30">
        <v>9</v>
      </c>
      <c r="E247" s="29">
        <v>370</v>
      </c>
      <c r="F247" s="29">
        <v>370</v>
      </c>
      <c r="G247" s="29" t="s">
        <v>1035</v>
      </c>
      <c r="H247" s="29">
        <v>1</v>
      </c>
      <c r="J247" s="29">
        <v>9.6719849999999994</v>
      </c>
      <c r="K247" s="29">
        <v>9.6719849999999994</v>
      </c>
      <c r="L247" s="29" t="s">
        <v>1036</v>
      </c>
      <c r="M247" s="29">
        <v>1</v>
      </c>
      <c r="O247" s="29">
        <v>1</v>
      </c>
      <c r="P247" s="29">
        <v>9.6719849999999994</v>
      </c>
      <c r="Q247" s="29" t="s">
        <v>1037</v>
      </c>
      <c r="R247" t="s">
        <v>1129</v>
      </c>
    </row>
    <row r="248" spans="1:18" x14ac:dyDescent="0.3">
      <c r="B248" s="29">
        <v>5</v>
      </c>
      <c r="C248" s="29" t="s">
        <v>1038</v>
      </c>
      <c r="D248" s="30" t="s">
        <v>287</v>
      </c>
      <c r="G248" s="29" t="s">
        <v>1031</v>
      </c>
      <c r="H248" s="29">
        <v>4</v>
      </c>
      <c r="J248" s="29">
        <v>1</v>
      </c>
      <c r="K248" s="29">
        <v>4</v>
      </c>
      <c r="L248" s="29" t="s">
        <v>1039</v>
      </c>
      <c r="M248" s="29">
        <v>1</v>
      </c>
      <c r="O248" s="29">
        <v>4</v>
      </c>
      <c r="P248" s="29">
        <v>4</v>
      </c>
      <c r="Q248" s="29" t="s">
        <v>1040</v>
      </c>
    </row>
    <row r="249" spans="1:18" x14ac:dyDescent="0.3">
      <c r="B249" s="29">
        <v>6</v>
      </c>
      <c r="C249" s="29" t="s">
        <v>1050</v>
      </c>
      <c r="D249" s="29" t="s">
        <v>1051</v>
      </c>
      <c r="E249" s="29">
        <v>150</v>
      </c>
      <c r="G249" s="29" t="s">
        <v>1035</v>
      </c>
      <c r="H249" s="29">
        <v>2</v>
      </c>
      <c r="I249" s="29">
        <v>2.95</v>
      </c>
      <c r="J249" s="29">
        <v>0.4425</v>
      </c>
      <c r="K249" s="29">
        <v>0.88500000000000001</v>
      </c>
      <c r="L249" s="29" t="s">
        <v>1032</v>
      </c>
      <c r="M249" s="29">
        <v>1</v>
      </c>
      <c r="N249" s="29">
        <v>0.3</v>
      </c>
      <c r="O249" s="29">
        <v>2</v>
      </c>
      <c r="P249" s="29">
        <v>0.88500000000000001</v>
      </c>
      <c r="Q249" s="29" t="s">
        <v>1033</v>
      </c>
    </row>
    <row r="250" spans="1:18" x14ac:dyDescent="0.3">
      <c r="A250" s="29" t="s">
        <v>400</v>
      </c>
      <c r="B250" s="29">
        <v>1</v>
      </c>
      <c r="C250" s="29" t="s">
        <v>1030</v>
      </c>
      <c r="D250" s="30" t="s">
        <v>1058</v>
      </c>
      <c r="E250" s="29">
        <v>286</v>
      </c>
      <c r="G250" s="29" t="s">
        <v>1031</v>
      </c>
      <c r="H250" s="29">
        <v>1</v>
      </c>
      <c r="I250" s="29">
        <v>16.079999999999998</v>
      </c>
      <c r="J250" s="29">
        <v>4.5988799999999994</v>
      </c>
      <c r="K250" s="29">
        <v>4.5988799999999994</v>
      </c>
      <c r="L250" s="29" t="s">
        <v>1032</v>
      </c>
      <c r="M250" s="29">
        <v>1</v>
      </c>
      <c r="N250" s="29">
        <v>0.28599999999999998</v>
      </c>
      <c r="P250" s="29">
        <v>4.5988799999999994</v>
      </c>
      <c r="Q250" s="29" t="s">
        <v>1033</v>
      </c>
    </row>
    <row r="251" spans="1:18" x14ac:dyDescent="0.3">
      <c r="B251" s="29">
        <v>2</v>
      </c>
      <c r="C251" s="29" t="s">
        <v>1030</v>
      </c>
      <c r="D251" s="30" t="s">
        <v>1058</v>
      </c>
      <c r="E251" s="29">
        <v>700</v>
      </c>
      <c r="G251" s="29" t="s">
        <v>1034</v>
      </c>
      <c r="H251" s="29">
        <v>1</v>
      </c>
      <c r="I251" s="29">
        <v>16.079999999999998</v>
      </c>
      <c r="J251" s="29">
        <v>11.255999999999998</v>
      </c>
      <c r="K251" s="29">
        <v>11.255999999999998</v>
      </c>
      <c r="L251" s="29" t="s">
        <v>1032</v>
      </c>
      <c r="M251" s="29">
        <v>1</v>
      </c>
      <c r="N251" s="29">
        <v>0.7</v>
      </c>
      <c r="P251" s="29">
        <v>11.255999999999998</v>
      </c>
      <c r="Q251" s="29" t="s">
        <v>1033</v>
      </c>
    </row>
    <row r="252" spans="1:18" x14ac:dyDescent="0.3">
      <c r="B252" s="29">
        <v>3</v>
      </c>
      <c r="C252" s="29" t="s">
        <v>1049</v>
      </c>
      <c r="D252" s="30">
        <v>9</v>
      </c>
      <c r="E252" s="29">
        <v>230</v>
      </c>
      <c r="F252" s="29">
        <v>230</v>
      </c>
      <c r="G252" s="29" t="s">
        <v>1035</v>
      </c>
      <c r="H252" s="29">
        <v>1</v>
      </c>
      <c r="J252" s="29">
        <v>3.7373849999999997</v>
      </c>
      <c r="K252" s="29">
        <v>3.7373849999999997</v>
      </c>
      <c r="L252" s="29" t="s">
        <v>1036</v>
      </c>
      <c r="M252" s="29">
        <v>1</v>
      </c>
      <c r="O252" s="29">
        <v>1</v>
      </c>
      <c r="P252" s="29">
        <v>3.7373849999999997</v>
      </c>
      <c r="Q252" s="29" t="s">
        <v>1037</v>
      </c>
    </row>
    <row r="253" spans="1:18" x14ac:dyDescent="0.3">
      <c r="B253" s="29">
        <v>4</v>
      </c>
      <c r="C253" s="29" t="s">
        <v>1054</v>
      </c>
      <c r="D253" s="30">
        <v>9</v>
      </c>
      <c r="E253" s="29">
        <v>370</v>
      </c>
      <c r="F253" s="29">
        <v>370</v>
      </c>
      <c r="G253" s="29" t="s">
        <v>1035</v>
      </c>
      <c r="H253" s="29">
        <v>1</v>
      </c>
      <c r="J253" s="29">
        <v>9.6719849999999994</v>
      </c>
      <c r="K253" s="29">
        <v>9.6719849999999994</v>
      </c>
      <c r="L253" s="29" t="s">
        <v>1036</v>
      </c>
      <c r="M253" s="29">
        <v>1</v>
      </c>
      <c r="O253" s="29">
        <v>1</v>
      </c>
      <c r="P253" s="29">
        <v>9.6719849999999994</v>
      </c>
      <c r="Q253" s="29" t="s">
        <v>1037</v>
      </c>
      <c r="R253" t="s">
        <v>1129</v>
      </c>
    </row>
    <row r="254" spans="1:18" x14ac:dyDescent="0.3">
      <c r="B254" s="29">
        <v>5</v>
      </c>
      <c r="C254" s="29" t="s">
        <v>1038</v>
      </c>
      <c r="D254" s="30" t="s">
        <v>287</v>
      </c>
      <c r="G254" s="29" t="s">
        <v>1031</v>
      </c>
      <c r="H254" s="29">
        <v>4</v>
      </c>
      <c r="J254" s="29">
        <v>1</v>
      </c>
      <c r="K254" s="29">
        <v>4</v>
      </c>
      <c r="L254" s="29" t="s">
        <v>1039</v>
      </c>
      <c r="M254" s="29">
        <v>1</v>
      </c>
      <c r="O254" s="29">
        <v>4</v>
      </c>
      <c r="P254" s="29">
        <v>4</v>
      </c>
      <c r="Q254" s="29" t="s">
        <v>1040</v>
      </c>
    </row>
    <row r="255" spans="1:18" x14ac:dyDescent="0.3">
      <c r="B255" s="29">
        <v>6</v>
      </c>
      <c r="C255" s="29" t="s">
        <v>1050</v>
      </c>
      <c r="D255" s="30" t="s">
        <v>1051</v>
      </c>
      <c r="E255" s="29">
        <v>150</v>
      </c>
      <c r="G255" s="29" t="s">
        <v>1035</v>
      </c>
      <c r="H255" s="29">
        <v>2</v>
      </c>
      <c r="I255" s="29">
        <v>2.95</v>
      </c>
      <c r="J255" s="29">
        <v>0.4425</v>
      </c>
      <c r="K255" s="29">
        <v>0.88500000000000001</v>
      </c>
      <c r="L255" s="29" t="s">
        <v>1032</v>
      </c>
      <c r="M255" s="29">
        <v>1</v>
      </c>
      <c r="N255" s="29">
        <v>0.3</v>
      </c>
      <c r="O255" s="29">
        <v>2</v>
      </c>
      <c r="P255" s="29">
        <v>0.88500000000000001</v>
      </c>
      <c r="Q255" s="29" t="s">
        <v>1033</v>
      </c>
    </row>
    <row r="256" spans="1:18" x14ac:dyDescent="0.3">
      <c r="A256" s="29" t="s">
        <v>401</v>
      </c>
      <c r="B256" s="29">
        <v>1</v>
      </c>
      <c r="C256" s="29" t="s">
        <v>1030</v>
      </c>
      <c r="D256" s="30" t="s">
        <v>1059</v>
      </c>
      <c r="E256" s="29">
        <v>371</v>
      </c>
      <c r="G256" s="29" t="s">
        <v>1031</v>
      </c>
      <c r="H256" s="29">
        <v>1</v>
      </c>
      <c r="I256" s="29">
        <v>28.26</v>
      </c>
      <c r="J256" s="29">
        <v>10.48446</v>
      </c>
      <c r="K256" s="29">
        <v>10.48446</v>
      </c>
      <c r="L256" s="29" t="s">
        <v>1032</v>
      </c>
      <c r="M256" s="29">
        <v>1</v>
      </c>
      <c r="N256" s="29">
        <v>0.371</v>
      </c>
      <c r="P256" s="29">
        <v>10.48446</v>
      </c>
      <c r="Q256" s="29" t="s">
        <v>1033</v>
      </c>
    </row>
    <row r="257" spans="1:18" x14ac:dyDescent="0.3">
      <c r="B257" s="29">
        <v>2</v>
      </c>
      <c r="C257" s="29" t="s">
        <v>1030</v>
      </c>
      <c r="D257" s="30" t="s">
        <v>1059</v>
      </c>
      <c r="E257" s="29">
        <v>100</v>
      </c>
      <c r="G257" s="29" t="s">
        <v>1034</v>
      </c>
      <c r="H257" s="29">
        <v>1</v>
      </c>
      <c r="I257" s="29">
        <v>28.26</v>
      </c>
      <c r="J257" s="29">
        <v>2.8260000000000005</v>
      </c>
      <c r="K257" s="29">
        <v>2.8260000000000005</v>
      </c>
      <c r="L257" s="29" t="s">
        <v>1032</v>
      </c>
      <c r="M257" s="29">
        <v>1</v>
      </c>
      <c r="N257" s="29">
        <v>0.1</v>
      </c>
      <c r="P257" s="29">
        <v>2.8260000000000005</v>
      </c>
      <c r="Q257" s="29" t="s">
        <v>1033</v>
      </c>
    </row>
    <row r="258" spans="1:18" x14ac:dyDescent="0.3">
      <c r="B258" s="29">
        <v>3</v>
      </c>
      <c r="C258" s="29" t="s">
        <v>1049</v>
      </c>
      <c r="D258" s="30">
        <v>9</v>
      </c>
      <c r="E258" s="29">
        <v>230</v>
      </c>
      <c r="F258" s="29">
        <v>230</v>
      </c>
      <c r="G258" s="29" t="s">
        <v>1035</v>
      </c>
      <c r="H258" s="29">
        <v>1</v>
      </c>
      <c r="J258" s="29">
        <v>3.7373849999999997</v>
      </c>
      <c r="K258" s="29">
        <v>3.7373849999999997</v>
      </c>
      <c r="L258" s="29" t="s">
        <v>1036</v>
      </c>
      <c r="M258" s="29">
        <v>1</v>
      </c>
      <c r="O258" s="29">
        <v>1</v>
      </c>
      <c r="P258" s="29">
        <v>3.7373849999999997</v>
      </c>
      <c r="Q258" s="29" t="s">
        <v>1037</v>
      </c>
    </row>
    <row r="259" spans="1:18" x14ac:dyDescent="0.3">
      <c r="A259" s="29" t="s">
        <v>402</v>
      </c>
      <c r="B259" s="29">
        <v>1</v>
      </c>
      <c r="C259" s="29" t="s">
        <v>1030</v>
      </c>
      <c r="D259" s="30" t="s">
        <v>1059</v>
      </c>
      <c r="E259" s="29">
        <v>371</v>
      </c>
      <c r="G259" s="29" t="s">
        <v>1031</v>
      </c>
      <c r="H259" s="29">
        <v>1</v>
      </c>
      <c r="I259" s="29">
        <v>28.26</v>
      </c>
      <c r="J259" s="29">
        <v>10.48446</v>
      </c>
      <c r="K259" s="29">
        <v>10.48446</v>
      </c>
      <c r="L259" s="29" t="s">
        <v>1032</v>
      </c>
      <c r="M259" s="29">
        <v>1</v>
      </c>
      <c r="N259" s="29">
        <v>0.371</v>
      </c>
      <c r="P259" s="29">
        <v>10.48446</v>
      </c>
      <c r="Q259" s="29" t="s">
        <v>1033</v>
      </c>
    </row>
    <row r="260" spans="1:18" x14ac:dyDescent="0.3">
      <c r="B260" s="29">
        <v>2</v>
      </c>
      <c r="C260" s="29" t="s">
        <v>1030</v>
      </c>
      <c r="D260" s="30" t="s">
        <v>1059</v>
      </c>
      <c r="E260" s="29">
        <v>400</v>
      </c>
      <c r="G260" s="29" t="s">
        <v>1034</v>
      </c>
      <c r="H260" s="29">
        <v>1</v>
      </c>
      <c r="I260" s="29">
        <v>28.26</v>
      </c>
      <c r="J260" s="29">
        <v>11.304000000000002</v>
      </c>
      <c r="K260" s="29">
        <v>11.304000000000002</v>
      </c>
      <c r="L260" s="29" t="s">
        <v>1032</v>
      </c>
      <c r="M260" s="29">
        <v>1</v>
      </c>
      <c r="N260" s="29">
        <v>0.4</v>
      </c>
      <c r="P260" s="29">
        <v>11.304000000000002</v>
      </c>
      <c r="Q260" s="29" t="s">
        <v>1033</v>
      </c>
    </row>
    <row r="261" spans="1:18" x14ac:dyDescent="0.3">
      <c r="B261" s="29">
        <v>3</v>
      </c>
      <c r="C261" s="29" t="s">
        <v>1049</v>
      </c>
      <c r="D261" s="30">
        <v>9</v>
      </c>
      <c r="E261" s="29">
        <v>230</v>
      </c>
      <c r="F261" s="29">
        <v>230</v>
      </c>
      <c r="G261" s="29" t="s">
        <v>1035</v>
      </c>
      <c r="H261" s="29">
        <v>1</v>
      </c>
      <c r="J261" s="29">
        <v>3.7373849999999997</v>
      </c>
      <c r="K261" s="29">
        <v>3.7373849999999997</v>
      </c>
      <c r="L261" s="29" t="s">
        <v>1036</v>
      </c>
      <c r="M261" s="29">
        <v>1</v>
      </c>
      <c r="O261" s="29">
        <v>1</v>
      </c>
      <c r="P261" s="29">
        <v>3.7373849999999997</v>
      </c>
      <c r="Q261" s="29" t="s">
        <v>1037</v>
      </c>
    </row>
    <row r="262" spans="1:18" x14ac:dyDescent="0.3">
      <c r="B262" s="29">
        <v>4</v>
      </c>
      <c r="C262" s="29" t="s">
        <v>1054</v>
      </c>
      <c r="D262" s="30">
        <v>9</v>
      </c>
      <c r="E262" s="29">
        <v>370</v>
      </c>
      <c r="F262" s="29">
        <v>370</v>
      </c>
      <c r="G262" s="29" t="s">
        <v>1035</v>
      </c>
      <c r="H262" s="29">
        <v>1</v>
      </c>
      <c r="J262" s="29">
        <v>9.6719849999999994</v>
      </c>
      <c r="K262" s="29">
        <v>9.6719849999999994</v>
      </c>
      <c r="L262" s="29" t="s">
        <v>1036</v>
      </c>
      <c r="M262" s="29">
        <v>1</v>
      </c>
      <c r="O262" s="29">
        <v>1</v>
      </c>
      <c r="P262" s="29">
        <v>9.6719849999999994</v>
      </c>
      <c r="Q262" s="29" t="s">
        <v>1037</v>
      </c>
      <c r="R262" t="s">
        <v>1129</v>
      </c>
    </row>
    <row r="263" spans="1:18" x14ac:dyDescent="0.3">
      <c r="B263" s="29">
        <v>5</v>
      </c>
      <c r="C263" s="29" t="s">
        <v>1038</v>
      </c>
      <c r="D263" s="30" t="s">
        <v>287</v>
      </c>
      <c r="G263" s="29" t="s">
        <v>1031</v>
      </c>
      <c r="H263" s="29">
        <v>4</v>
      </c>
      <c r="J263" s="29">
        <v>1</v>
      </c>
      <c r="K263" s="29">
        <v>4</v>
      </c>
      <c r="L263" s="29" t="s">
        <v>1039</v>
      </c>
      <c r="M263" s="29">
        <v>1</v>
      </c>
      <c r="O263" s="29">
        <v>4</v>
      </c>
      <c r="P263" s="29">
        <v>4</v>
      </c>
      <c r="Q263" s="29" t="s">
        <v>1040</v>
      </c>
    </row>
    <row r="264" spans="1:18" x14ac:dyDescent="0.3">
      <c r="A264" s="29" t="s">
        <v>403</v>
      </c>
      <c r="B264" s="29">
        <v>1</v>
      </c>
      <c r="C264" s="29" t="s">
        <v>1030</v>
      </c>
      <c r="D264" s="30" t="s">
        <v>1059</v>
      </c>
      <c r="E264" s="29">
        <v>371</v>
      </c>
      <c r="G264" s="29" t="s">
        <v>1031</v>
      </c>
      <c r="H264" s="29">
        <v>1</v>
      </c>
      <c r="I264" s="29">
        <v>28.26</v>
      </c>
      <c r="J264" s="29">
        <v>10.48446</v>
      </c>
      <c r="K264" s="29">
        <v>10.48446</v>
      </c>
      <c r="L264" s="29" t="s">
        <v>1032</v>
      </c>
      <c r="M264" s="29">
        <v>1</v>
      </c>
      <c r="N264" s="29">
        <v>0.371</v>
      </c>
      <c r="P264" s="29">
        <v>10.48446</v>
      </c>
      <c r="Q264" s="29" t="s">
        <v>1033</v>
      </c>
    </row>
    <row r="265" spans="1:18" x14ac:dyDescent="0.3">
      <c r="B265" s="29">
        <v>2</v>
      </c>
      <c r="C265" s="29" t="s">
        <v>1030</v>
      </c>
      <c r="D265" s="30" t="s">
        <v>1059</v>
      </c>
      <c r="E265" s="29">
        <v>400</v>
      </c>
      <c r="G265" s="29" t="s">
        <v>1034</v>
      </c>
      <c r="H265" s="29">
        <v>1</v>
      </c>
      <c r="I265" s="29">
        <v>28.26</v>
      </c>
      <c r="J265" s="29">
        <v>11.304000000000002</v>
      </c>
      <c r="K265" s="29">
        <v>11.304000000000002</v>
      </c>
      <c r="L265" s="29" t="s">
        <v>1032</v>
      </c>
      <c r="M265" s="29">
        <v>1</v>
      </c>
      <c r="N265" s="29">
        <v>0.4</v>
      </c>
      <c r="P265" s="29">
        <v>11.304000000000002</v>
      </c>
      <c r="Q265" s="29" t="s">
        <v>1033</v>
      </c>
    </row>
    <row r="266" spans="1:18" x14ac:dyDescent="0.3">
      <c r="B266" s="29">
        <v>3</v>
      </c>
      <c r="C266" s="29" t="s">
        <v>1049</v>
      </c>
      <c r="D266" s="30">
        <v>9</v>
      </c>
      <c r="E266" s="29">
        <v>230</v>
      </c>
      <c r="F266" s="29">
        <v>230</v>
      </c>
      <c r="G266" s="29" t="s">
        <v>1035</v>
      </c>
      <c r="H266" s="29">
        <v>1</v>
      </c>
      <c r="J266" s="29">
        <v>3.7373849999999997</v>
      </c>
      <c r="K266" s="29">
        <v>3.7373849999999997</v>
      </c>
      <c r="L266" s="29" t="s">
        <v>1036</v>
      </c>
      <c r="M266" s="29">
        <v>1</v>
      </c>
      <c r="O266" s="29">
        <v>1</v>
      </c>
      <c r="P266" s="29">
        <v>3.7373849999999997</v>
      </c>
      <c r="Q266" s="29" t="s">
        <v>1037</v>
      </c>
    </row>
    <row r="267" spans="1:18" x14ac:dyDescent="0.3">
      <c r="A267" s="29" t="s">
        <v>404</v>
      </c>
      <c r="B267" s="29">
        <v>1</v>
      </c>
      <c r="C267" s="29" t="s">
        <v>1030</v>
      </c>
      <c r="D267" s="30" t="s">
        <v>1059</v>
      </c>
      <c r="E267" s="29">
        <v>371</v>
      </c>
      <c r="G267" s="29" t="s">
        <v>1031</v>
      </c>
      <c r="H267" s="29">
        <v>1</v>
      </c>
      <c r="I267" s="29">
        <v>28.26</v>
      </c>
      <c r="J267" s="29">
        <v>10.48446</v>
      </c>
      <c r="K267" s="29">
        <v>10.48446</v>
      </c>
      <c r="L267" s="29" t="s">
        <v>1032</v>
      </c>
      <c r="M267" s="29">
        <v>1</v>
      </c>
      <c r="N267" s="29">
        <v>0.371</v>
      </c>
      <c r="P267" s="29">
        <v>10.48446</v>
      </c>
      <c r="Q267" s="29" t="s">
        <v>1033</v>
      </c>
    </row>
    <row r="268" spans="1:18" x14ac:dyDescent="0.3">
      <c r="B268" s="29">
        <v>2</v>
      </c>
      <c r="C268" s="29" t="s">
        <v>1030</v>
      </c>
      <c r="D268" s="30" t="s">
        <v>1059</v>
      </c>
      <c r="E268" s="29">
        <v>400</v>
      </c>
      <c r="G268" s="29" t="s">
        <v>1034</v>
      </c>
      <c r="H268" s="29">
        <v>1</v>
      </c>
      <c r="I268" s="29">
        <v>28.26</v>
      </c>
      <c r="J268" s="29">
        <v>11.304000000000002</v>
      </c>
      <c r="K268" s="29">
        <v>11.304000000000002</v>
      </c>
      <c r="L268" s="29" t="s">
        <v>1032</v>
      </c>
      <c r="M268" s="29">
        <v>1</v>
      </c>
      <c r="N268" s="29">
        <v>0.4</v>
      </c>
      <c r="P268" s="29">
        <v>11.304000000000002</v>
      </c>
      <c r="Q268" s="29" t="s">
        <v>1033</v>
      </c>
    </row>
    <row r="269" spans="1:18" x14ac:dyDescent="0.3">
      <c r="B269" s="29">
        <v>3</v>
      </c>
      <c r="C269" s="29" t="s">
        <v>1049</v>
      </c>
      <c r="D269" s="30">
        <v>9</v>
      </c>
      <c r="E269" s="29">
        <v>230</v>
      </c>
      <c r="F269" s="29">
        <v>230</v>
      </c>
      <c r="G269" s="29" t="s">
        <v>1035</v>
      </c>
      <c r="H269" s="29">
        <v>1</v>
      </c>
      <c r="J269" s="29">
        <v>3.7373849999999997</v>
      </c>
      <c r="K269" s="29">
        <v>3.7373849999999997</v>
      </c>
      <c r="L269" s="29" t="s">
        <v>1036</v>
      </c>
      <c r="M269" s="29">
        <v>1</v>
      </c>
      <c r="O269" s="29">
        <v>1</v>
      </c>
      <c r="P269" s="29">
        <v>3.7373849999999997</v>
      </c>
      <c r="Q269" s="29" t="s">
        <v>1037</v>
      </c>
    </row>
    <row r="270" spans="1:18" x14ac:dyDescent="0.3">
      <c r="B270" s="29">
        <v>4</v>
      </c>
      <c r="C270" s="29" t="s">
        <v>1054</v>
      </c>
      <c r="D270" s="30">
        <v>9</v>
      </c>
      <c r="E270" s="29">
        <v>370</v>
      </c>
      <c r="F270" s="29">
        <v>370</v>
      </c>
      <c r="G270" s="29" t="s">
        <v>1035</v>
      </c>
      <c r="H270" s="29">
        <v>1</v>
      </c>
      <c r="J270" s="29">
        <v>9.6719849999999994</v>
      </c>
      <c r="K270" s="29">
        <v>9.6719849999999994</v>
      </c>
      <c r="L270" s="29" t="s">
        <v>1036</v>
      </c>
      <c r="M270" s="29">
        <v>1</v>
      </c>
      <c r="O270" s="29">
        <v>1</v>
      </c>
      <c r="P270" s="29">
        <v>9.6719849999999994</v>
      </c>
      <c r="Q270" s="29" t="s">
        <v>1037</v>
      </c>
      <c r="R270" t="s">
        <v>1129</v>
      </c>
    </row>
    <row r="271" spans="1:18" x14ac:dyDescent="0.3">
      <c r="B271" s="29">
        <v>5</v>
      </c>
      <c r="C271" s="29" t="s">
        <v>1038</v>
      </c>
      <c r="D271" s="30" t="s">
        <v>287</v>
      </c>
      <c r="G271" s="29" t="s">
        <v>1031</v>
      </c>
      <c r="H271" s="29">
        <v>4</v>
      </c>
      <c r="J271" s="29">
        <v>1</v>
      </c>
      <c r="K271" s="29">
        <v>4</v>
      </c>
      <c r="L271" s="29" t="s">
        <v>1039</v>
      </c>
      <c r="M271" s="29">
        <v>1</v>
      </c>
      <c r="O271" s="29">
        <v>4</v>
      </c>
      <c r="P271" s="29">
        <v>4</v>
      </c>
      <c r="Q271" s="29" t="s">
        <v>1040</v>
      </c>
    </row>
    <row r="272" spans="1:18" x14ac:dyDescent="0.3">
      <c r="B272" s="29">
        <v>6</v>
      </c>
      <c r="C272" s="29" t="s">
        <v>1050</v>
      </c>
      <c r="D272" s="30" t="s">
        <v>1051</v>
      </c>
      <c r="E272" s="29">
        <v>150</v>
      </c>
      <c r="G272" s="29" t="s">
        <v>1035</v>
      </c>
      <c r="H272" s="29">
        <v>2</v>
      </c>
      <c r="I272" s="29">
        <v>2.95</v>
      </c>
      <c r="J272" s="29">
        <v>0.4425</v>
      </c>
      <c r="K272" s="29">
        <v>0.88500000000000001</v>
      </c>
      <c r="L272" s="29" t="s">
        <v>1032</v>
      </c>
      <c r="M272" s="29">
        <v>1</v>
      </c>
      <c r="N272" s="29">
        <v>0.3</v>
      </c>
      <c r="O272" s="29">
        <v>2</v>
      </c>
      <c r="P272" s="29">
        <v>0.88500000000000001</v>
      </c>
      <c r="Q272" s="29" t="s">
        <v>1033</v>
      </c>
    </row>
    <row r="273" spans="1:18" x14ac:dyDescent="0.3">
      <c r="A273" s="29" t="s">
        <v>405</v>
      </c>
      <c r="B273" s="29">
        <v>1</v>
      </c>
      <c r="C273" s="29" t="s">
        <v>1030</v>
      </c>
      <c r="D273" s="30" t="s">
        <v>1059</v>
      </c>
      <c r="E273" s="29">
        <v>371</v>
      </c>
      <c r="G273" s="29" t="s">
        <v>1031</v>
      </c>
      <c r="H273" s="29">
        <v>1</v>
      </c>
      <c r="I273" s="29">
        <v>28.26</v>
      </c>
      <c r="J273" s="29">
        <v>10.48446</v>
      </c>
      <c r="K273" s="29">
        <v>10.48446</v>
      </c>
      <c r="L273" s="29" t="s">
        <v>1032</v>
      </c>
      <c r="M273" s="29">
        <v>1</v>
      </c>
      <c r="N273" s="29">
        <v>0.371</v>
      </c>
      <c r="P273" s="29">
        <v>10.48446</v>
      </c>
      <c r="Q273" s="29" t="s">
        <v>1033</v>
      </c>
    </row>
    <row r="274" spans="1:18" x14ac:dyDescent="0.3">
      <c r="B274" s="29">
        <v>2</v>
      </c>
      <c r="C274" s="29" t="s">
        <v>1030</v>
      </c>
      <c r="D274" s="30" t="s">
        <v>1059</v>
      </c>
      <c r="E274" s="29">
        <v>400</v>
      </c>
      <c r="G274" s="29" t="s">
        <v>1034</v>
      </c>
      <c r="H274" s="29">
        <v>1</v>
      </c>
      <c r="I274" s="29">
        <v>28.26</v>
      </c>
      <c r="J274" s="29">
        <v>11.304000000000002</v>
      </c>
      <c r="K274" s="29">
        <v>11.304000000000002</v>
      </c>
      <c r="L274" s="29" t="s">
        <v>1032</v>
      </c>
      <c r="M274" s="29">
        <v>1</v>
      </c>
      <c r="N274" s="29">
        <v>0.4</v>
      </c>
      <c r="P274" s="29">
        <v>11.304000000000002</v>
      </c>
      <c r="Q274" s="29" t="s">
        <v>1033</v>
      </c>
    </row>
    <row r="275" spans="1:18" x14ac:dyDescent="0.3">
      <c r="B275" s="29">
        <v>3</v>
      </c>
      <c r="C275" s="29" t="s">
        <v>1049</v>
      </c>
      <c r="D275" s="30">
        <v>9</v>
      </c>
      <c r="E275" s="29">
        <v>230</v>
      </c>
      <c r="F275" s="29">
        <v>230</v>
      </c>
      <c r="G275" s="29" t="s">
        <v>1035</v>
      </c>
      <c r="H275" s="29">
        <v>1</v>
      </c>
      <c r="J275" s="29">
        <v>3.7373849999999997</v>
      </c>
      <c r="K275" s="29">
        <v>3.7373849999999997</v>
      </c>
      <c r="L275" s="29" t="s">
        <v>1036</v>
      </c>
      <c r="M275" s="29">
        <v>1</v>
      </c>
      <c r="O275" s="29">
        <v>1</v>
      </c>
      <c r="P275" s="29">
        <v>3.7373849999999997</v>
      </c>
      <c r="Q275" s="29" t="s">
        <v>1037</v>
      </c>
    </row>
    <row r="276" spans="1:18" x14ac:dyDescent="0.3">
      <c r="B276" s="29">
        <v>4</v>
      </c>
      <c r="C276" s="29" t="s">
        <v>1054</v>
      </c>
      <c r="D276" s="30">
        <v>9</v>
      </c>
      <c r="E276" s="29">
        <v>370</v>
      </c>
      <c r="F276" s="29">
        <v>370</v>
      </c>
      <c r="G276" s="29" t="s">
        <v>1035</v>
      </c>
      <c r="H276" s="29">
        <v>1</v>
      </c>
      <c r="J276" s="29">
        <v>9.6719849999999994</v>
      </c>
      <c r="K276" s="29">
        <v>9.6719849999999994</v>
      </c>
      <c r="L276" s="29" t="s">
        <v>1036</v>
      </c>
      <c r="M276" s="29">
        <v>1</v>
      </c>
      <c r="O276" s="29">
        <v>1</v>
      </c>
      <c r="P276" s="29">
        <v>9.6719849999999994</v>
      </c>
      <c r="Q276" s="29" t="s">
        <v>1037</v>
      </c>
      <c r="R276" t="s">
        <v>1129</v>
      </c>
    </row>
    <row r="277" spans="1:18" x14ac:dyDescent="0.3">
      <c r="B277" s="29">
        <v>5</v>
      </c>
      <c r="C277" s="29" t="s">
        <v>1038</v>
      </c>
      <c r="D277" s="30" t="s">
        <v>287</v>
      </c>
      <c r="G277" s="29" t="s">
        <v>1031</v>
      </c>
      <c r="H277" s="29">
        <v>4</v>
      </c>
      <c r="J277" s="29">
        <v>1</v>
      </c>
      <c r="K277" s="29">
        <v>4</v>
      </c>
      <c r="L277" s="29" t="s">
        <v>1039</v>
      </c>
      <c r="M277" s="29">
        <v>1</v>
      </c>
      <c r="O277" s="29">
        <v>4</v>
      </c>
      <c r="P277" s="29">
        <v>4</v>
      </c>
      <c r="Q277" s="29" t="s">
        <v>1040</v>
      </c>
    </row>
    <row r="278" spans="1:18" x14ac:dyDescent="0.3">
      <c r="B278" s="29">
        <v>6</v>
      </c>
      <c r="C278" s="29" t="s">
        <v>1050</v>
      </c>
      <c r="D278" s="30" t="s">
        <v>1051</v>
      </c>
      <c r="E278" s="29">
        <v>150</v>
      </c>
      <c r="G278" s="29" t="s">
        <v>1035</v>
      </c>
      <c r="H278" s="29">
        <v>2</v>
      </c>
      <c r="I278" s="29">
        <v>2.95</v>
      </c>
      <c r="J278" s="29">
        <v>0.4425</v>
      </c>
      <c r="K278" s="29">
        <v>0.88500000000000001</v>
      </c>
      <c r="L278" s="29" t="s">
        <v>1032</v>
      </c>
      <c r="M278" s="29">
        <v>1</v>
      </c>
      <c r="N278" s="29">
        <v>0.3</v>
      </c>
      <c r="O278" s="29">
        <v>2</v>
      </c>
      <c r="P278" s="29">
        <v>0.88500000000000001</v>
      </c>
      <c r="Q278" s="29" t="s">
        <v>1033</v>
      </c>
    </row>
    <row r="279" spans="1:18" x14ac:dyDescent="0.3">
      <c r="A279" s="29" t="s">
        <v>406</v>
      </c>
      <c r="B279" s="29">
        <v>1</v>
      </c>
      <c r="C279" s="29" t="s">
        <v>1030</v>
      </c>
      <c r="D279" s="30" t="s">
        <v>1059</v>
      </c>
      <c r="E279" s="29">
        <v>371</v>
      </c>
      <c r="G279" s="29" t="s">
        <v>1031</v>
      </c>
      <c r="H279" s="29">
        <v>1</v>
      </c>
      <c r="I279" s="29">
        <v>28.26</v>
      </c>
      <c r="J279" s="29">
        <v>10.48446</v>
      </c>
      <c r="K279" s="29">
        <v>10.48446</v>
      </c>
      <c r="L279" s="29" t="s">
        <v>1032</v>
      </c>
      <c r="M279" s="29">
        <v>1</v>
      </c>
      <c r="N279" s="29">
        <v>0.371</v>
      </c>
      <c r="P279" s="29">
        <v>10.48446</v>
      </c>
      <c r="Q279" s="29" t="s">
        <v>1033</v>
      </c>
    </row>
    <row r="280" spans="1:18" x14ac:dyDescent="0.3">
      <c r="B280" s="29">
        <v>2</v>
      </c>
      <c r="C280" s="29" t="s">
        <v>1030</v>
      </c>
      <c r="D280" s="30" t="s">
        <v>1059</v>
      </c>
      <c r="E280" s="29">
        <v>400</v>
      </c>
      <c r="G280" s="29" t="s">
        <v>1034</v>
      </c>
      <c r="H280" s="29">
        <v>1</v>
      </c>
      <c r="I280" s="29">
        <v>28.26</v>
      </c>
      <c r="J280" s="29">
        <v>11.304000000000002</v>
      </c>
      <c r="K280" s="29">
        <v>11.304000000000002</v>
      </c>
      <c r="L280" s="29" t="s">
        <v>1032</v>
      </c>
      <c r="M280" s="29">
        <v>1</v>
      </c>
      <c r="N280" s="29">
        <v>0.4</v>
      </c>
      <c r="P280" s="29">
        <v>11.304000000000002</v>
      </c>
      <c r="Q280" s="29" t="s">
        <v>1033</v>
      </c>
    </row>
    <row r="281" spans="1:18" x14ac:dyDescent="0.3">
      <c r="B281" s="29">
        <v>3</v>
      </c>
      <c r="C281" s="29" t="s">
        <v>1049</v>
      </c>
      <c r="D281" s="30">
        <v>9</v>
      </c>
      <c r="E281" s="29">
        <v>230</v>
      </c>
      <c r="F281" s="29">
        <v>230</v>
      </c>
      <c r="G281" s="29" t="s">
        <v>1035</v>
      </c>
      <c r="H281" s="29">
        <v>1</v>
      </c>
      <c r="J281" s="29">
        <v>3.7373849999999997</v>
      </c>
      <c r="K281" s="29">
        <v>3.7373849999999997</v>
      </c>
      <c r="L281" s="29" t="s">
        <v>1036</v>
      </c>
      <c r="M281" s="29">
        <v>1</v>
      </c>
      <c r="O281" s="29">
        <v>1</v>
      </c>
      <c r="P281" s="29">
        <v>3.7373849999999997</v>
      </c>
      <c r="Q281" s="29" t="s">
        <v>1037</v>
      </c>
    </row>
    <row r="282" spans="1:18" x14ac:dyDescent="0.3">
      <c r="A282" s="29" t="s">
        <v>407</v>
      </c>
      <c r="B282" s="29">
        <v>1</v>
      </c>
      <c r="C282" s="29" t="s">
        <v>1030</v>
      </c>
      <c r="D282" s="30" t="s">
        <v>1059</v>
      </c>
      <c r="E282" s="29">
        <v>371</v>
      </c>
      <c r="G282" s="29" t="s">
        <v>1031</v>
      </c>
      <c r="H282" s="29">
        <v>1</v>
      </c>
      <c r="I282" s="29">
        <v>28.26</v>
      </c>
      <c r="J282" s="29">
        <v>10.48446</v>
      </c>
      <c r="K282" s="29">
        <v>10.48446</v>
      </c>
      <c r="L282" s="29" t="s">
        <v>1032</v>
      </c>
      <c r="M282" s="29">
        <v>1</v>
      </c>
      <c r="N282" s="29">
        <v>0.371</v>
      </c>
      <c r="P282" s="29">
        <v>10.48446</v>
      </c>
      <c r="Q282" s="29" t="s">
        <v>1033</v>
      </c>
    </row>
    <row r="283" spans="1:18" x14ac:dyDescent="0.3">
      <c r="B283" s="29">
        <v>2</v>
      </c>
      <c r="C283" s="29" t="s">
        <v>1030</v>
      </c>
      <c r="D283" s="30" t="s">
        <v>1059</v>
      </c>
      <c r="E283" s="29">
        <v>500</v>
      </c>
      <c r="G283" s="29" t="s">
        <v>1034</v>
      </c>
      <c r="H283" s="29">
        <v>1</v>
      </c>
      <c r="I283" s="29">
        <v>28.26</v>
      </c>
      <c r="J283" s="29">
        <v>14.13</v>
      </c>
      <c r="K283" s="29">
        <v>14.13</v>
      </c>
      <c r="L283" s="29" t="s">
        <v>1032</v>
      </c>
      <c r="M283" s="29">
        <v>1</v>
      </c>
      <c r="N283" s="29">
        <v>0.5</v>
      </c>
      <c r="P283" s="29">
        <v>14.13</v>
      </c>
      <c r="Q283" s="29" t="s">
        <v>1033</v>
      </c>
    </row>
    <row r="284" spans="1:18" x14ac:dyDescent="0.3">
      <c r="B284" s="29">
        <v>3</v>
      </c>
      <c r="C284" s="29" t="s">
        <v>1049</v>
      </c>
      <c r="D284" s="30">
        <v>9</v>
      </c>
      <c r="E284" s="29">
        <v>230</v>
      </c>
      <c r="F284" s="29">
        <v>230</v>
      </c>
      <c r="G284" s="29" t="s">
        <v>1035</v>
      </c>
      <c r="H284" s="29">
        <v>1</v>
      </c>
      <c r="J284" s="29">
        <v>3.7373849999999997</v>
      </c>
      <c r="K284" s="29">
        <v>3.7373849999999997</v>
      </c>
      <c r="L284" s="29" t="s">
        <v>1036</v>
      </c>
      <c r="M284" s="29">
        <v>1</v>
      </c>
      <c r="O284" s="29">
        <v>1</v>
      </c>
      <c r="P284" s="29">
        <v>3.7373849999999997</v>
      </c>
      <c r="Q284" s="29" t="s">
        <v>1037</v>
      </c>
    </row>
    <row r="285" spans="1:18" x14ac:dyDescent="0.3">
      <c r="A285" s="29" t="s">
        <v>408</v>
      </c>
      <c r="B285" s="29">
        <v>1</v>
      </c>
      <c r="C285" s="29" t="s">
        <v>1030</v>
      </c>
      <c r="D285" s="30" t="s">
        <v>1059</v>
      </c>
      <c r="E285" s="29">
        <v>371</v>
      </c>
      <c r="G285" s="29" t="s">
        <v>1031</v>
      </c>
      <c r="H285" s="29">
        <v>1</v>
      </c>
      <c r="I285" s="29">
        <v>28.26</v>
      </c>
      <c r="J285" s="29">
        <v>10.48446</v>
      </c>
      <c r="K285" s="29">
        <v>10.48446</v>
      </c>
      <c r="L285" s="29" t="s">
        <v>1032</v>
      </c>
      <c r="M285" s="29">
        <v>1</v>
      </c>
      <c r="N285" s="29">
        <v>0.371</v>
      </c>
      <c r="P285" s="29">
        <v>10.48446</v>
      </c>
      <c r="Q285" s="29" t="s">
        <v>1033</v>
      </c>
    </row>
    <row r="286" spans="1:18" x14ac:dyDescent="0.3">
      <c r="B286" s="29">
        <v>2</v>
      </c>
      <c r="C286" s="29" t="s">
        <v>1030</v>
      </c>
      <c r="D286" s="30" t="s">
        <v>1059</v>
      </c>
      <c r="E286" s="29">
        <v>500</v>
      </c>
      <c r="G286" s="29" t="s">
        <v>1034</v>
      </c>
      <c r="H286" s="29">
        <v>1</v>
      </c>
      <c r="I286" s="29">
        <v>28.26</v>
      </c>
      <c r="J286" s="29">
        <v>14.13</v>
      </c>
      <c r="K286" s="29">
        <v>14.13</v>
      </c>
      <c r="L286" s="29" t="s">
        <v>1032</v>
      </c>
      <c r="M286" s="29">
        <v>1</v>
      </c>
      <c r="N286" s="29">
        <v>0.5</v>
      </c>
      <c r="P286" s="29">
        <v>14.13</v>
      </c>
      <c r="Q286" s="29" t="s">
        <v>1033</v>
      </c>
    </row>
    <row r="287" spans="1:18" x14ac:dyDescent="0.3">
      <c r="B287" s="29">
        <v>3</v>
      </c>
      <c r="C287" s="29" t="s">
        <v>1049</v>
      </c>
      <c r="D287" s="30">
        <v>9</v>
      </c>
      <c r="E287" s="29">
        <v>230</v>
      </c>
      <c r="F287" s="29">
        <v>230</v>
      </c>
      <c r="G287" s="29" t="s">
        <v>1035</v>
      </c>
      <c r="H287" s="29">
        <v>1</v>
      </c>
      <c r="J287" s="29">
        <v>3.7373849999999997</v>
      </c>
      <c r="K287" s="29">
        <v>3.7373849999999997</v>
      </c>
      <c r="L287" s="29" t="s">
        <v>1036</v>
      </c>
      <c r="M287" s="29">
        <v>1</v>
      </c>
      <c r="O287" s="29">
        <v>1</v>
      </c>
      <c r="P287" s="29">
        <v>3.7373849999999997</v>
      </c>
      <c r="Q287" s="29" t="s">
        <v>1037</v>
      </c>
    </row>
    <row r="288" spans="1:18" x14ac:dyDescent="0.3">
      <c r="B288" s="29">
        <v>4</v>
      </c>
      <c r="C288" s="29" t="s">
        <v>1050</v>
      </c>
      <c r="D288" s="30" t="s">
        <v>1051</v>
      </c>
      <c r="E288" s="29">
        <v>150</v>
      </c>
      <c r="G288" s="29" t="s">
        <v>1035</v>
      </c>
      <c r="H288" s="29">
        <v>2</v>
      </c>
      <c r="I288" s="29">
        <v>2.95</v>
      </c>
      <c r="J288" s="29">
        <v>0.4425</v>
      </c>
      <c r="K288" s="29">
        <v>0.88500000000000001</v>
      </c>
      <c r="L288" s="29" t="s">
        <v>1032</v>
      </c>
      <c r="M288" s="29">
        <v>1</v>
      </c>
      <c r="N288" s="29">
        <v>0.3</v>
      </c>
      <c r="O288" s="29">
        <v>2</v>
      </c>
      <c r="P288" s="29">
        <v>0.88500000000000001</v>
      </c>
      <c r="Q288" s="29" t="s">
        <v>1033</v>
      </c>
    </row>
    <row r="289" spans="1:18" x14ac:dyDescent="0.3">
      <c r="A289" s="29" t="s">
        <v>409</v>
      </c>
      <c r="B289" s="29">
        <v>1</v>
      </c>
      <c r="C289" s="29" t="s">
        <v>1030</v>
      </c>
      <c r="D289" s="30" t="s">
        <v>1059</v>
      </c>
      <c r="E289" s="29">
        <v>371</v>
      </c>
      <c r="G289" s="29" t="s">
        <v>1031</v>
      </c>
      <c r="H289" s="29">
        <v>1</v>
      </c>
      <c r="I289" s="29">
        <v>28.26</v>
      </c>
      <c r="J289" s="29">
        <v>10.48446</v>
      </c>
      <c r="K289" s="29">
        <v>10.48446</v>
      </c>
      <c r="L289" s="29" t="s">
        <v>1032</v>
      </c>
      <c r="M289" s="29">
        <v>1</v>
      </c>
      <c r="N289" s="29">
        <v>0.371</v>
      </c>
      <c r="P289" s="29">
        <v>10.48446</v>
      </c>
      <c r="Q289" s="29" t="s">
        <v>1033</v>
      </c>
    </row>
    <row r="290" spans="1:18" x14ac:dyDescent="0.3">
      <c r="B290" s="29">
        <v>2</v>
      </c>
      <c r="C290" s="29" t="s">
        <v>1030</v>
      </c>
      <c r="D290" s="30" t="s">
        <v>1059</v>
      </c>
      <c r="E290" s="29">
        <v>500</v>
      </c>
      <c r="G290" s="29" t="s">
        <v>1034</v>
      </c>
      <c r="H290" s="29">
        <v>1</v>
      </c>
      <c r="I290" s="29">
        <v>28.26</v>
      </c>
      <c r="J290" s="29">
        <v>14.13</v>
      </c>
      <c r="K290" s="29">
        <v>14.13</v>
      </c>
      <c r="L290" s="29" t="s">
        <v>1032</v>
      </c>
      <c r="M290" s="29">
        <v>1</v>
      </c>
      <c r="N290" s="29">
        <v>0.5</v>
      </c>
      <c r="P290" s="29">
        <v>14.13</v>
      </c>
      <c r="Q290" s="29" t="s">
        <v>1033</v>
      </c>
    </row>
    <row r="291" spans="1:18" x14ac:dyDescent="0.3">
      <c r="B291" s="29">
        <v>3</v>
      </c>
      <c r="C291" s="29" t="s">
        <v>1049</v>
      </c>
      <c r="D291" s="30">
        <v>9</v>
      </c>
      <c r="E291" s="29">
        <v>230</v>
      </c>
      <c r="F291" s="29">
        <v>230</v>
      </c>
      <c r="G291" s="29" t="s">
        <v>1035</v>
      </c>
      <c r="H291" s="29">
        <v>1</v>
      </c>
      <c r="J291" s="29">
        <v>3.7373849999999997</v>
      </c>
      <c r="K291" s="29">
        <v>3.7373849999999997</v>
      </c>
      <c r="L291" s="29" t="s">
        <v>1036</v>
      </c>
      <c r="M291" s="29">
        <v>1</v>
      </c>
      <c r="O291" s="29">
        <v>1</v>
      </c>
      <c r="P291" s="29">
        <v>3.7373849999999997</v>
      </c>
      <c r="Q291" s="29" t="s">
        <v>1037</v>
      </c>
    </row>
    <row r="292" spans="1:18" x14ac:dyDescent="0.3">
      <c r="B292" s="29">
        <v>4</v>
      </c>
      <c r="C292" s="29" t="s">
        <v>1050</v>
      </c>
      <c r="D292" s="30" t="s">
        <v>1051</v>
      </c>
      <c r="E292" s="29">
        <v>150</v>
      </c>
      <c r="G292" s="29" t="s">
        <v>1035</v>
      </c>
      <c r="H292" s="29">
        <v>2</v>
      </c>
      <c r="I292" s="29">
        <v>2.95</v>
      </c>
      <c r="J292" s="29">
        <v>0.4425</v>
      </c>
      <c r="K292" s="29">
        <v>0.88500000000000001</v>
      </c>
      <c r="L292" s="29" t="s">
        <v>1032</v>
      </c>
      <c r="M292" s="29">
        <v>1</v>
      </c>
      <c r="N292" s="29">
        <v>0.3</v>
      </c>
      <c r="O292" s="29">
        <v>2</v>
      </c>
      <c r="P292" s="29">
        <v>0.88500000000000001</v>
      </c>
      <c r="Q292" s="29" t="s">
        <v>1033</v>
      </c>
    </row>
    <row r="293" spans="1:18" x14ac:dyDescent="0.3">
      <c r="A293" s="29" t="s">
        <v>410</v>
      </c>
      <c r="B293" s="29">
        <v>1</v>
      </c>
      <c r="C293" s="29" t="s">
        <v>1030</v>
      </c>
      <c r="D293" s="30" t="s">
        <v>1059</v>
      </c>
      <c r="E293" s="29">
        <v>371</v>
      </c>
      <c r="G293" s="29" t="s">
        <v>1031</v>
      </c>
      <c r="H293" s="29">
        <v>1</v>
      </c>
      <c r="I293" s="29">
        <v>28.26</v>
      </c>
      <c r="J293" s="29">
        <v>10.48446</v>
      </c>
      <c r="K293" s="29">
        <v>10.48446</v>
      </c>
      <c r="L293" s="29" t="s">
        <v>1032</v>
      </c>
      <c r="M293" s="29">
        <v>1</v>
      </c>
      <c r="N293" s="29">
        <v>0.371</v>
      </c>
      <c r="P293" s="29">
        <v>10.48446</v>
      </c>
      <c r="Q293" s="29" t="s">
        <v>1033</v>
      </c>
    </row>
    <row r="294" spans="1:18" x14ac:dyDescent="0.3">
      <c r="B294" s="29">
        <v>2</v>
      </c>
      <c r="C294" s="29" t="s">
        <v>1030</v>
      </c>
      <c r="D294" s="30" t="s">
        <v>1059</v>
      </c>
      <c r="E294" s="29">
        <v>500</v>
      </c>
      <c r="G294" s="29" t="s">
        <v>1034</v>
      </c>
      <c r="H294" s="29">
        <v>1</v>
      </c>
      <c r="I294" s="29">
        <v>28.26</v>
      </c>
      <c r="J294" s="29">
        <v>14.13</v>
      </c>
      <c r="K294" s="29">
        <v>14.13</v>
      </c>
      <c r="L294" s="29" t="s">
        <v>1032</v>
      </c>
      <c r="M294" s="29">
        <v>1</v>
      </c>
      <c r="N294" s="29">
        <v>0.5</v>
      </c>
      <c r="P294" s="29">
        <v>14.13</v>
      </c>
      <c r="Q294" s="29" t="s">
        <v>1033</v>
      </c>
    </row>
    <row r="295" spans="1:18" x14ac:dyDescent="0.3">
      <c r="B295" s="29">
        <v>3</v>
      </c>
      <c r="C295" s="29" t="s">
        <v>1049</v>
      </c>
      <c r="D295" s="30">
        <v>9</v>
      </c>
      <c r="E295" s="29">
        <v>230</v>
      </c>
      <c r="F295" s="29">
        <v>230</v>
      </c>
      <c r="G295" s="29" t="s">
        <v>1035</v>
      </c>
      <c r="H295" s="29">
        <v>1</v>
      </c>
      <c r="J295" s="29">
        <v>3.7373849999999997</v>
      </c>
      <c r="K295" s="29">
        <v>3.7373849999999997</v>
      </c>
      <c r="L295" s="29" t="s">
        <v>1036</v>
      </c>
      <c r="M295" s="29">
        <v>1</v>
      </c>
      <c r="O295" s="29">
        <v>1</v>
      </c>
      <c r="P295" s="29">
        <v>3.7373849999999997</v>
      </c>
      <c r="Q295" s="29" t="s">
        <v>1037</v>
      </c>
    </row>
    <row r="296" spans="1:18" x14ac:dyDescent="0.3">
      <c r="B296" s="29">
        <v>4</v>
      </c>
      <c r="C296" s="29" t="s">
        <v>1060</v>
      </c>
      <c r="D296" s="30">
        <v>9</v>
      </c>
      <c r="E296" s="29">
        <v>280</v>
      </c>
      <c r="F296" s="29">
        <v>280</v>
      </c>
      <c r="G296" s="29" t="s">
        <v>1035</v>
      </c>
      <c r="H296" s="29">
        <v>1</v>
      </c>
      <c r="J296" s="29">
        <v>5.5389599999999994</v>
      </c>
      <c r="K296" s="29">
        <v>5.5389599999999994</v>
      </c>
      <c r="L296" s="29" t="s">
        <v>1036</v>
      </c>
      <c r="M296" s="29">
        <v>1</v>
      </c>
      <c r="O296" s="29">
        <v>1</v>
      </c>
      <c r="P296" s="29">
        <v>5.5389599999999994</v>
      </c>
      <c r="Q296" s="29" t="s">
        <v>1037</v>
      </c>
    </row>
    <row r="297" spans="1:18" x14ac:dyDescent="0.3">
      <c r="B297" s="29">
        <v>5</v>
      </c>
      <c r="C297" s="29" t="s">
        <v>1050</v>
      </c>
      <c r="D297" s="29" t="s">
        <v>1051</v>
      </c>
      <c r="E297" s="29">
        <v>150</v>
      </c>
      <c r="G297" s="29" t="s">
        <v>1035</v>
      </c>
      <c r="H297" s="29">
        <v>2</v>
      </c>
      <c r="I297" s="29">
        <v>2.95</v>
      </c>
      <c r="J297" s="29">
        <v>0.4425</v>
      </c>
      <c r="K297" s="29">
        <v>0.88500000000000001</v>
      </c>
      <c r="L297" s="29" t="s">
        <v>1032</v>
      </c>
      <c r="M297" s="29">
        <v>1</v>
      </c>
      <c r="N297" s="29">
        <v>0.3</v>
      </c>
      <c r="O297" s="29">
        <v>2</v>
      </c>
      <c r="P297" s="29">
        <v>0.88500000000000001</v>
      </c>
      <c r="Q297" s="29" t="s">
        <v>1033</v>
      </c>
    </row>
    <row r="298" spans="1:18" x14ac:dyDescent="0.3">
      <c r="A298" s="29" t="s">
        <v>411</v>
      </c>
      <c r="B298" s="29">
        <v>1</v>
      </c>
      <c r="C298" s="29" t="s">
        <v>1030</v>
      </c>
      <c r="D298" s="30" t="s">
        <v>1059</v>
      </c>
      <c r="E298" s="29">
        <v>371</v>
      </c>
      <c r="G298" s="29" t="s">
        <v>1031</v>
      </c>
      <c r="H298" s="29">
        <v>1</v>
      </c>
      <c r="I298" s="29">
        <v>28.26</v>
      </c>
      <c r="J298" s="29">
        <v>10.48446</v>
      </c>
      <c r="K298" s="29">
        <v>10.48446</v>
      </c>
      <c r="L298" s="29" t="s">
        <v>1032</v>
      </c>
      <c r="M298" s="29">
        <v>1</v>
      </c>
      <c r="N298" s="29">
        <v>0.371</v>
      </c>
      <c r="P298" s="29">
        <v>10.48446</v>
      </c>
      <c r="Q298" s="29" t="s">
        <v>1033</v>
      </c>
    </row>
    <row r="299" spans="1:18" x14ac:dyDescent="0.3">
      <c r="B299" s="29">
        <v>2</v>
      </c>
      <c r="C299" s="29" t="s">
        <v>1030</v>
      </c>
      <c r="D299" s="30" t="s">
        <v>1059</v>
      </c>
      <c r="E299" s="29">
        <v>600</v>
      </c>
      <c r="G299" s="29" t="s">
        <v>1034</v>
      </c>
      <c r="H299" s="29">
        <v>1</v>
      </c>
      <c r="I299" s="29">
        <v>28.26</v>
      </c>
      <c r="J299" s="29">
        <v>16.956</v>
      </c>
      <c r="K299" s="29">
        <v>16.956</v>
      </c>
      <c r="L299" s="29" t="s">
        <v>1032</v>
      </c>
      <c r="M299" s="29">
        <v>1</v>
      </c>
      <c r="N299" s="29">
        <v>0.6</v>
      </c>
      <c r="P299" s="29">
        <v>16.956</v>
      </c>
      <c r="Q299" s="29" t="s">
        <v>1033</v>
      </c>
    </row>
    <row r="300" spans="1:18" x14ac:dyDescent="0.3">
      <c r="B300" s="29">
        <v>3</v>
      </c>
      <c r="C300" s="29" t="s">
        <v>1049</v>
      </c>
      <c r="D300" s="30">
        <v>9</v>
      </c>
      <c r="E300" s="29">
        <v>230</v>
      </c>
      <c r="F300" s="29">
        <v>230</v>
      </c>
      <c r="G300" s="29" t="s">
        <v>1035</v>
      </c>
      <c r="H300" s="29">
        <v>1</v>
      </c>
      <c r="J300" s="29">
        <v>3.7373849999999997</v>
      </c>
      <c r="K300" s="29">
        <v>3.7373849999999997</v>
      </c>
      <c r="L300" s="29" t="s">
        <v>1036</v>
      </c>
      <c r="M300" s="29">
        <v>1</v>
      </c>
      <c r="O300" s="29">
        <v>1</v>
      </c>
      <c r="P300" s="29">
        <v>3.7373849999999997</v>
      </c>
      <c r="Q300" s="29" t="s">
        <v>1037</v>
      </c>
    </row>
    <row r="301" spans="1:18" x14ac:dyDescent="0.3">
      <c r="B301" s="29">
        <v>4</v>
      </c>
      <c r="C301" s="29" t="s">
        <v>1054</v>
      </c>
      <c r="D301" s="29">
        <v>9</v>
      </c>
      <c r="E301" s="29">
        <v>370</v>
      </c>
      <c r="F301" s="29">
        <v>370</v>
      </c>
      <c r="G301" s="29" t="s">
        <v>1035</v>
      </c>
      <c r="H301" s="29">
        <v>1</v>
      </c>
      <c r="J301" s="29">
        <v>9.6719849999999994</v>
      </c>
      <c r="K301" s="29">
        <v>9.6719849999999994</v>
      </c>
      <c r="L301" s="29" t="s">
        <v>1036</v>
      </c>
      <c r="M301" s="29">
        <v>1</v>
      </c>
      <c r="O301" s="29">
        <v>1</v>
      </c>
      <c r="P301" s="29">
        <v>9.6719849999999994</v>
      </c>
      <c r="Q301" s="29" t="s">
        <v>1037</v>
      </c>
      <c r="R301" t="s">
        <v>1129</v>
      </c>
    </row>
    <row r="302" spans="1:18" x14ac:dyDescent="0.3">
      <c r="B302" s="29">
        <v>5</v>
      </c>
      <c r="C302" s="29" t="s">
        <v>1038</v>
      </c>
      <c r="D302" s="30" t="s">
        <v>287</v>
      </c>
      <c r="G302" s="29" t="s">
        <v>1031</v>
      </c>
      <c r="H302" s="29">
        <v>4</v>
      </c>
      <c r="J302" s="29">
        <v>1</v>
      </c>
      <c r="K302" s="29">
        <v>4</v>
      </c>
      <c r="L302" s="29" t="s">
        <v>1039</v>
      </c>
      <c r="M302" s="29">
        <v>1</v>
      </c>
      <c r="O302" s="29">
        <v>4</v>
      </c>
      <c r="P302" s="29">
        <v>4</v>
      </c>
      <c r="Q302" s="29" t="s">
        <v>1040</v>
      </c>
    </row>
    <row r="303" spans="1:18" x14ac:dyDescent="0.3">
      <c r="A303" s="29" t="s">
        <v>412</v>
      </c>
      <c r="B303" s="29">
        <v>1</v>
      </c>
      <c r="C303" s="29" t="s">
        <v>1030</v>
      </c>
      <c r="D303" s="30" t="s">
        <v>1059</v>
      </c>
      <c r="E303" s="29">
        <v>371</v>
      </c>
      <c r="G303" s="29" t="s">
        <v>1031</v>
      </c>
      <c r="H303" s="29">
        <v>1</v>
      </c>
      <c r="I303" s="29">
        <v>28.26</v>
      </c>
      <c r="J303" s="29">
        <v>10.48446</v>
      </c>
      <c r="K303" s="29">
        <v>10.48446</v>
      </c>
      <c r="L303" s="29" t="s">
        <v>1032</v>
      </c>
      <c r="M303" s="29">
        <v>1</v>
      </c>
      <c r="N303" s="29">
        <v>0.371</v>
      </c>
      <c r="P303" s="29">
        <v>10.48446</v>
      </c>
      <c r="Q303" s="29" t="s">
        <v>1033</v>
      </c>
    </row>
    <row r="304" spans="1:18" x14ac:dyDescent="0.3">
      <c r="B304" s="29">
        <v>2</v>
      </c>
      <c r="C304" s="29" t="s">
        <v>1030</v>
      </c>
      <c r="D304" s="30" t="s">
        <v>1059</v>
      </c>
      <c r="E304" s="29">
        <v>600</v>
      </c>
      <c r="G304" s="29" t="s">
        <v>1034</v>
      </c>
      <c r="H304" s="29">
        <v>1</v>
      </c>
      <c r="I304" s="29">
        <v>28.26</v>
      </c>
      <c r="J304" s="29">
        <v>16.956</v>
      </c>
      <c r="K304" s="29">
        <v>16.956</v>
      </c>
      <c r="L304" s="29" t="s">
        <v>1032</v>
      </c>
      <c r="M304" s="29">
        <v>1</v>
      </c>
      <c r="N304" s="29">
        <v>0.6</v>
      </c>
      <c r="P304" s="29">
        <v>16.956</v>
      </c>
      <c r="Q304" s="29" t="s">
        <v>1033</v>
      </c>
    </row>
    <row r="305" spans="1:18" x14ac:dyDescent="0.3">
      <c r="B305" s="29">
        <v>3</v>
      </c>
      <c r="C305" s="29" t="s">
        <v>1049</v>
      </c>
      <c r="D305" s="29">
        <v>9</v>
      </c>
      <c r="E305" s="29">
        <v>230</v>
      </c>
      <c r="F305" s="29">
        <v>230</v>
      </c>
      <c r="G305" s="29" t="s">
        <v>1035</v>
      </c>
      <c r="H305" s="29">
        <v>1</v>
      </c>
      <c r="J305" s="29">
        <v>3.7373849999999997</v>
      </c>
      <c r="K305" s="29">
        <v>3.7373849999999997</v>
      </c>
      <c r="L305" s="29" t="s">
        <v>1036</v>
      </c>
      <c r="M305" s="29">
        <v>1</v>
      </c>
      <c r="O305" s="29">
        <v>1</v>
      </c>
      <c r="P305" s="29">
        <v>3.7373849999999997</v>
      </c>
      <c r="Q305" s="29" t="s">
        <v>1037</v>
      </c>
    </row>
    <row r="306" spans="1:18" x14ac:dyDescent="0.3">
      <c r="B306" s="29">
        <v>4</v>
      </c>
      <c r="C306" s="29" t="s">
        <v>1054</v>
      </c>
      <c r="D306" s="29">
        <v>9</v>
      </c>
      <c r="E306" s="29">
        <v>370</v>
      </c>
      <c r="F306" s="29">
        <v>370</v>
      </c>
      <c r="G306" s="29" t="s">
        <v>1035</v>
      </c>
      <c r="H306" s="29">
        <v>1</v>
      </c>
      <c r="J306" s="29">
        <v>9.6719849999999994</v>
      </c>
      <c r="K306" s="29">
        <v>9.6719849999999994</v>
      </c>
      <c r="L306" s="29" t="s">
        <v>1036</v>
      </c>
      <c r="M306" s="29">
        <v>1</v>
      </c>
      <c r="O306" s="29">
        <v>1</v>
      </c>
      <c r="P306" s="29">
        <v>9.6719849999999994</v>
      </c>
      <c r="Q306" s="29" t="s">
        <v>1037</v>
      </c>
      <c r="R306" t="s">
        <v>1129</v>
      </c>
    </row>
    <row r="307" spans="1:18" x14ac:dyDescent="0.3">
      <c r="B307" s="29">
        <v>5</v>
      </c>
      <c r="C307" s="29" t="s">
        <v>1038</v>
      </c>
      <c r="D307" s="30" t="s">
        <v>287</v>
      </c>
      <c r="G307" s="29" t="s">
        <v>1031</v>
      </c>
      <c r="H307" s="29">
        <v>4</v>
      </c>
      <c r="J307" s="29">
        <v>1</v>
      </c>
      <c r="K307" s="29">
        <v>4</v>
      </c>
      <c r="L307" s="29" t="s">
        <v>1039</v>
      </c>
      <c r="M307" s="29">
        <v>1</v>
      </c>
      <c r="O307" s="29">
        <v>4</v>
      </c>
      <c r="P307" s="29">
        <v>4</v>
      </c>
      <c r="Q307" s="29" t="s">
        <v>1040</v>
      </c>
    </row>
    <row r="308" spans="1:18" x14ac:dyDescent="0.3">
      <c r="B308" s="29">
        <v>6</v>
      </c>
      <c r="C308" s="29" t="s">
        <v>1050</v>
      </c>
      <c r="D308" s="29" t="s">
        <v>1051</v>
      </c>
      <c r="E308" s="29">
        <v>150</v>
      </c>
      <c r="G308" s="29" t="s">
        <v>1035</v>
      </c>
      <c r="H308" s="29">
        <v>2</v>
      </c>
      <c r="I308" s="29">
        <v>2.95</v>
      </c>
      <c r="J308" s="29">
        <v>0.4425</v>
      </c>
      <c r="K308" s="29">
        <v>0.88500000000000001</v>
      </c>
      <c r="L308" s="29" t="s">
        <v>1032</v>
      </c>
      <c r="M308" s="29">
        <v>1</v>
      </c>
      <c r="N308" s="29">
        <v>0.3</v>
      </c>
      <c r="O308" s="29">
        <v>2</v>
      </c>
      <c r="P308" s="29">
        <v>0.88500000000000001</v>
      </c>
      <c r="Q308" s="29" t="s">
        <v>1033</v>
      </c>
    </row>
    <row r="309" spans="1:18" x14ac:dyDescent="0.3">
      <c r="A309" s="29" t="s">
        <v>413</v>
      </c>
      <c r="B309" s="29">
        <v>1</v>
      </c>
      <c r="C309" s="29" t="s">
        <v>1030</v>
      </c>
      <c r="D309" s="30" t="s">
        <v>1059</v>
      </c>
      <c r="E309" s="29">
        <v>371</v>
      </c>
      <c r="G309" s="29" t="s">
        <v>1031</v>
      </c>
      <c r="H309" s="29">
        <v>1</v>
      </c>
      <c r="I309" s="29">
        <v>28.26</v>
      </c>
      <c r="J309" s="29">
        <v>10.48446</v>
      </c>
      <c r="K309" s="29">
        <v>10.48446</v>
      </c>
      <c r="L309" s="29" t="s">
        <v>1032</v>
      </c>
      <c r="M309" s="29">
        <v>1</v>
      </c>
      <c r="N309" s="29">
        <v>0.371</v>
      </c>
      <c r="P309" s="29">
        <v>10.48446</v>
      </c>
      <c r="Q309" s="29" t="s">
        <v>1033</v>
      </c>
    </row>
    <row r="310" spans="1:18" x14ac:dyDescent="0.3">
      <c r="B310" s="29">
        <v>2</v>
      </c>
      <c r="C310" s="29" t="s">
        <v>1030</v>
      </c>
      <c r="D310" s="30" t="s">
        <v>1059</v>
      </c>
      <c r="E310" s="29">
        <v>600</v>
      </c>
      <c r="G310" s="29" t="s">
        <v>1034</v>
      </c>
      <c r="H310" s="29">
        <v>1</v>
      </c>
      <c r="I310" s="29">
        <v>28.26</v>
      </c>
      <c r="J310" s="29">
        <v>16.956</v>
      </c>
      <c r="K310" s="29">
        <v>16.956</v>
      </c>
      <c r="L310" s="29" t="s">
        <v>1032</v>
      </c>
      <c r="M310" s="29">
        <v>1</v>
      </c>
      <c r="N310" s="29">
        <v>0.6</v>
      </c>
      <c r="P310" s="29">
        <v>16.956</v>
      </c>
      <c r="Q310" s="29" t="s">
        <v>1033</v>
      </c>
    </row>
    <row r="311" spans="1:18" x14ac:dyDescent="0.3">
      <c r="B311" s="29">
        <v>3</v>
      </c>
      <c r="C311" s="29" t="s">
        <v>1049</v>
      </c>
      <c r="D311" s="29">
        <v>9</v>
      </c>
      <c r="E311" s="29">
        <v>230</v>
      </c>
      <c r="F311" s="29">
        <v>230</v>
      </c>
      <c r="G311" s="29" t="s">
        <v>1035</v>
      </c>
      <c r="H311" s="29">
        <v>1</v>
      </c>
      <c r="J311" s="29">
        <v>3.7373849999999997</v>
      </c>
      <c r="K311" s="29">
        <v>3.7373849999999997</v>
      </c>
      <c r="L311" s="29" t="s">
        <v>1036</v>
      </c>
      <c r="M311" s="29">
        <v>1</v>
      </c>
      <c r="O311" s="29">
        <v>1</v>
      </c>
      <c r="P311" s="29">
        <v>3.7373849999999997</v>
      </c>
      <c r="Q311" s="29" t="s">
        <v>1037</v>
      </c>
    </row>
    <row r="312" spans="1:18" x14ac:dyDescent="0.3">
      <c r="B312" s="29">
        <v>4</v>
      </c>
      <c r="C312" s="29" t="s">
        <v>1054</v>
      </c>
      <c r="D312" s="29">
        <v>9</v>
      </c>
      <c r="E312" s="29">
        <v>370</v>
      </c>
      <c r="F312" s="29">
        <v>370</v>
      </c>
      <c r="G312" s="29" t="s">
        <v>1035</v>
      </c>
      <c r="H312" s="29">
        <v>1</v>
      </c>
      <c r="J312" s="29">
        <v>9.6719849999999994</v>
      </c>
      <c r="K312" s="29">
        <v>9.6719849999999994</v>
      </c>
      <c r="L312" s="29" t="s">
        <v>1036</v>
      </c>
      <c r="M312" s="29">
        <v>1</v>
      </c>
      <c r="O312" s="29">
        <v>1</v>
      </c>
      <c r="P312" s="29">
        <v>9.6719849999999994</v>
      </c>
      <c r="Q312" s="29" t="s">
        <v>1037</v>
      </c>
      <c r="R312" t="s">
        <v>1129</v>
      </c>
    </row>
    <row r="313" spans="1:18" x14ac:dyDescent="0.3">
      <c r="B313" s="29">
        <v>5</v>
      </c>
      <c r="C313" s="29" t="s">
        <v>1038</v>
      </c>
      <c r="D313" s="30" t="s">
        <v>287</v>
      </c>
      <c r="G313" s="29" t="s">
        <v>1031</v>
      </c>
      <c r="H313" s="29">
        <v>4</v>
      </c>
      <c r="J313" s="29">
        <v>1</v>
      </c>
      <c r="K313" s="29">
        <v>4</v>
      </c>
      <c r="L313" s="29" t="s">
        <v>1039</v>
      </c>
      <c r="M313" s="29">
        <v>1</v>
      </c>
      <c r="O313" s="29">
        <v>4</v>
      </c>
      <c r="P313" s="29">
        <v>4</v>
      </c>
      <c r="Q313" s="29" t="s">
        <v>1040</v>
      </c>
    </row>
    <row r="314" spans="1:18" x14ac:dyDescent="0.3">
      <c r="B314" s="29">
        <v>6</v>
      </c>
      <c r="C314" s="29" t="s">
        <v>1050</v>
      </c>
      <c r="D314" s="30" t="s">
        <v>1051</v>
      </c>
      <c r="E314" s="29">
        <v>150</v>
      </c>
      <c r="G314" s="29" t="s">
        <v>1035</v>
      </c>
      <c r="H314" s="29">
        <v>2</v>
      </c>
      <c r="I314" s="29">
        <v>2.95</v>
      </c>
      <c r="J314" s="29">
        <v>0.4425</v>
      </c>
      <c r="K314" s="29">
        <v>0.88500000000000001</v>
      </c>
      <c r="L314" s="29" t="s">
        <v>1032</v>
      </c>
      <c r="M314" s="29">
        <v>1</v>
      </c>
      <c r="N314" s="29">
        <v>0.3</v>
      </c>
      <c r="O314" s="29">
        <v>2</v>
      </c>
      <c r="P314" s="29">
        <v>0.88500000000000001</v>
      </c>
      <c r="Q314" s="29" t="s">
        <v>1033</v>
      </c>
    </row>
    <row r="315" spans="1:18" x14ac:dyDescent="0.3">
      <c r="A315" s="29" t="s">
        <v>414</v>
      </c>
      <c r="B315" s="29">
        <v>1</v>
      </c>
      <c r="C315" s="29" t="s">
        <v>1030</v>
      </c>
      <c r="D315" s="30" t="s">
        <v>1059</v>
      </c>
      <c r="E315" s="29">
        <v>371</v>
      </c>
      <c r="G315" s="29" t="s">
        <v>1031</v>
      </c>
      <c r="H315" s="29">
        <v>1</v>
      </c>
      <c r="I315" s="29">
        <v>28.26</v>
      </c>
      <c r="J315" s="29">
        <v>10.48446</v>
      </c>
      <c r="K315" s="29">
        <v>10.48446</v>
      </c>
      <c r="L315" s="29" t="s">
        <v>1032</v>
      </c>
      <c r="M315" s="29">
        <v>1</v>
      </c>
      <c r="N315" s="29">
        <v>0.371</v>
      </c>
      <c r="P315" s="29">
        <v>10.48446</v>
      </c>
      <c r="Q315" s="29" t="s">
        <v>1033</v>
      </c>
    </row>
    <row r="316" spans="1:18" x14ac:dyDescent="0.3">
      <c r="B316" s="29">
        <v>2</v>
      </c>
      <c r="C316" s="29" t="s">
        <v>1030</v>
      </c>
      <c r="D316" s="30" t="s">
        <v>1059</v>
      </c>
      <c r="E316" s="29">
        <v>700</v>
      </c>
      <c r="G316" s="29" t="s">
        <v>1034</v>
      </c>
      <c r="H316" s="29">
        <v>1</v>
      </c>
      <c r="I316" s="29">
        <v>28.26</v>
      </c>
      <c r="J316" s="29">
        <v>19.782</v>
      </c>
      <c r="K316" s="29">
        <v>19.782</v>
      </c>
      <c r="L316" s="29" t="s">
        <v>1032</v>
      </c>
      <c r="M316" s="29">
        <v>1</v>
      </c>
      <c r="N316" s="29">
        <v>0.7</v>
      </c>
      <c r="P316" s="29">
        <v>19.782</v>
      </c>
      <c r="Q316" s="29" t="s">
        <v>1033</v>
      </c>
    </row>
    <row r="317" spans="1:18" x14ac:dyDescent="0.3">
      <c r="B317" s="29">
        <v>3</v>
      </c>
      <c r="C317" s="29" t="s">
        <v>1049</v>
      </c>
      <c r="D317" s="30">
        <v>9</v>
      </c>
      <c r="E317" s="29">
        <v>230</v>
      </c>
      <c r="F317" s="29">
        <v>230</v>
      </c>
      <c r="G317" s="29" t="s">
        <v>1035</v>
      </c>
      <c r="H317" s="29">
        <v>1</v>
      </c>
      <c r="J317" s="29">
        <v>3.7373849999999997</v>
      </c>
      <c r="K317" s="29">
        <v>3.7373849999999997</v>
      </c>
      <c r="L317" s="29" t="s">
        <v>1036</v>
      </c>
      <c r="M317" s="29">
        <v>1</v>
      </c>
      <c r="O317" s="29">
        <v>1</v>
      </c>
      <c r="P317" s="29">
        <v>3.7373849999999997</v>
      </c>
      <c r="Q317" s="29" t="s">
        <v>1037</v>
      </c>
    </row>
    <row r="318" spans="1:18" x14ac:dyDescent="0.3">
      <c r="A318" s="29" t="s">
        <v>415</v>
      </c>
      <c r="B318" s="29">
        <v>1</v>
      </c>
      <c r="C318" s="29" t="s">
        <v>1030</v>
      </c>
      <c r="D318" s="30" t="s">
        <v>1059</v>
      </c>
      <c r="E318" s="29">
        <v>371</v>
      </c>
      <c r="G318" s="29" t="s">
        <v>1031</v>
      </c>
      <c r="H318" s="29">
        <v>1</v>
      </c>
      <c r="I318" s="29">
        <v>28.26</v>
      </c>
      <c r="J318" s="29">
        <v>10.48446</v>
      </c>
      <c r="K318" s="29">
        <v>10.48446</v>
      </c>
      <c r="L318" s="29" t="s">
        <v>1032</v>
      </c>
      <c r="M318" s="29">
        <v>1</v>
      </c>
      <c r="N318" s="29">
        <v>0.371</v>
      </c>
      <c r="P318" s="29">
        <v>10.48446</v>
      </c>
      <c r="Q318" s="29" t="s">
        <v>1033</v>
      </c>
    </row>
    <row r="319" spans="1:18" x14ac:dyDescent="0.3">
      <c r="B319" s="29">
        <v>2</v>
      </c>
      <c r="C319" s="29" t="s">
        <v>1030</v>
      </c>
      <c r="D319" s="30" t="s">
        <v>1059</v>
      </c>
      <c r="E319" s="29">
        <v>700</v>
      </c>
      <c r="G319" s="29" t="s">
        <v>1034</v>
      </c>
      <c r="H319" s="29">
        <v>1</v>
      </c>
      <c r="I319" s="29">
        <v>28.26</v>
      </c>
      <c r="J319" s="29">
        <v>19.782</v>
      </c>
      <c r="K319" s="29">
        <v>19.782</v>
      </c>
      <c r="L319" s="29" t="s">
        <v>1032</v>
      </c>
      <c r="M319" s="29">
        <v>1</v>
      </c>
      <c r="N319" s="29">
        <v>0.7</v>
      </c>
      <c r="P319" s="29">
        <v>19.782</v>
      </c>
      <c r="Q319" s="29" t="s">
        <v>1033</v>
      </c>
    </row>
    <row r="320" spans="1:18" x14ac:dyDescent="0.3">
      <c r="B320" s="29">
        <v>3</v>
      </c>
      <c r="C320" s="29" t="s">
        <v>1049</v>
      </c>
      <c r="D320" s="30">
        <v>9</v>
      </c>
      <c r="E320" s="29">
        <v>230</v>
      </c>
      <c r="F320" s="29">
        <v>230</v>
      </c>
      <c r="G320" s="29" t="s">
        <v>1035</v>
      </c>
      <c r="H320" s="29">
        <v>1</v>
      </c>
      <c r="J320" s="29">
        <v>3.7373849999999997</v>
      </c>
      <c r="K320" s="29">
        <v>3.7373849999999997</v>
      </c>
      <c r="L320" s="29" t="s">
        <v>1036</v>
      </c>
      <c r="M320" s="29">
        <v>1</v>
      </c>
      <c r="O320" s="29">
        <v>1</v>
      </c>
      <c r="P320" s="29">
        <v>3.7373849999999997</v>
      </c>
      <c r="Q320" s="29" t="s">
        <v>1037</v>
      </c>
    </row>
    <row r="321" spans="1:18" x14ac:dyDescent="0.3">
      <c r="B321" s="29">
        <v>4</v>
      </c>
      <c r="C321" s="29" t="s">
        <v>1050</v>
      </c>
      <c r="D321" s="29" t="s">
        <v>1051</v>
      </c>
      <c r="E321" s="29">
        <v>150</v>
      </c>
      <c r="G321" s="29" t="s">
        <v>1035</v>
      </c>
      <c r="H321" s="29">
        <v>2</v>
      </c>
      <c r="I321" s="29">
        <v>2.95</v>
      </c>
      <c r="J321" s="29">
        <v>0.4425</v>
      </c>
      <c r="K321" s="29">
        <v>0.88500000000000001</v>
      </c>
      <c r="L321" s="29" t="s">
        <v>1032</v>
      </c>
      <c r="M321" s="29">
        <v>1</v>
      </c>
      <c r="N321" s="29">
        <v>0.3</v>
      </c>
      <c r="O321" s="29">
        <v>2</v>
      </c>
      <c r="P321" s="29">
        <v>0.88500000000000001</v>
      </c>
      <c r="Q321" s="29" t="s">
        <v>1033</v>
      </c>
    </row>
    <row r="322" spans="1:18" x14ac:dyDescent="0.3">
      <c r="A322" s="29" t="s">
        <v>415</v>
      </c>
      <c r="B322" s="29">
        <v>1</v>
      </c>
      <c r="C322" s="29" t="s">
        <v>1030</v>
      </c>
      <c r="D322" s="30" t="s">
        <v>1059</v>
      </c>
      <c r="E322" s="29">
        <v>371</v>
      </c>
      <c r="G322" s="29" t="s">
        <v>1031</v>
      </c>
      <c r="H322" s="29">
        <v>1</v>
      </c>
      <c r="I322" s="29">
        <v>28.26</v>
      </c>
      <c r="J322" s="29">
        <v>10.48446</v>
      </c>
      <c r="K322" s="29">
        <v>10.48446</v>
      </c>
      <c r="L322" s="29" t="s">
        <v>1032</v>
      </c>
      <c r="M322" s="29">
        <v>1</v>
      </c>
      <c r="N322" s="29">
        <v>0.371</v>
      </c>
      <c r="P322" s="29">
        <v>10.48446</v>
      </c>
      <c r="Q322" s="29" t="s">
        <v>1033</v>
      </c>
    </row>
    <row r="323" spans="1:18" x14ac:dyDescent="0.3">
      <c r="B323" s="29">
        <v>2</v>
      </c>
      <c r="C323" s="29" t="s">
        <v>1030</v>
      </c>
      <c r="D323" s="30" t="s">
        <v>1059</v>
      </c>
      <c r="E323" s="29">
        <v>700</v>
      </c>
      <c r="G323" s="29" t="s">
        <v>1034</v>
      </c>
      <c r="H323" s="29">
        <v>1</v>
      </c>
      <c r="I323" s="29">
        <v>28.26</v>
      </c>
      <c r="J323" s="29">
        <v>19.782</v>
      </c>
      <c r="K323" s="29">
        <v>19.782</v>
      </c>
      <c r="L323" s="29" t="s">
        <v>1032</v>
      </c>
      <c r="M323" s="29">
        <v>1</v>
      </c>
      <c r="N323" s="29">
        <v>0.7</v>
      </c>
      <c r="P323" s="29">
        <v>19.782</v>
      </c>
      <c r="Q323" s="29" t="s">
        <v>1033</v>
      </c>
    </row>
    <row r="324" spans="1:18" x14ac:dyDescent="0.3">
      <c r="B324" s="29">
        <v>3</v>
      </c>
      <c r="C324" s="29" t="s">
        <v>1049</v>
      </c>
      <c r="D324" s="30">
        <v>9</v>
      </c>
      <c r="E324" s="29">
        <v>230</v>
      </c>
      <c r="F324" s="29">
        <v>230</v>
      </c>
      <c r="G324" s="29" t="s">
        <v>1035</v>
      </c>
      <c r="H324" s="29">
        <v>1</v>
      </c>
      <c r="J324" s="29">
        <v>3.7373849999999997</v>
      </c>
      <c r="K324" s="29">
        <v>3.7373849999999997</v>
      </c>
      <c r="L324" s="29" t="s">
        <v>1036</v>
      </c>
      <c r="M324" s="29">
        <v>1</v>
      </c>
      <c r="O324" s="29">
        <v>1</v>
      </c>
      <c r="P324" s="29">
        <v>3.7373849999999997</v>
      </c>
      <c r="Q324" s="29" t="s">
        <v>1037</v>
      </c>
    </row>
    <row r="325" spans="1:18" x14ac:dyDescent="0.3">
      <c r="B325" s="29">
        <v>4</v>
      </c>
      <c r="C325" s="29" t="s">
        <v>1050</v>
      </c>
      <c r="D325" s="30" t="s">
        <v>1051</v>
      </c>
      <c r="E325" s="29">
        <v>150</v>
      </c>
      <c r="G325" s="29" t="s">
        <v>1035</v>
      </c>
      <c r="H325" s="29">
        <v>2</v>
      </c>
      <c r="I325" s="29">
        <v>2.95</v>
      </c>
      <c r="J325" s="29">
        <v>0.4425</v>
      </c>
      <c r="K325" s="29">
        <v>0.88500000000000001</v>
      </c>
      <c r="L325" s="29" t="s">
        <v>1032</v>
      </c>
      <c r="M325" s="29">
        <v>1</v>
      </c>
      <c r="N325" s="29">
        <v>0.3</v>
      </c>
      <c r="O325" s="29">
        <v>2</v>
      </c>
      <c r="P325" s="29">
        <v>0.88500000000000001</v>
      </c>
      <c r="Q325" s="29" t="s">
        <v>1033</v>
      </c>
    </row>
    <row r="326" spans="1:18" x14ac:dyDescent="0.3">
      <c r="A326" s="29" t="s">
        <v>416</v>
      </c>
      <c r="B326" s="29">
        <v>1</v>
      </c>
      <c r="C326" s="29" t="s">
        <v>1030</v>
      </c>
      <c r="D326" s="29" t="s">
        <v>1058</v>
      </c>
      <c r="E326" s="29">
        <v>1422.5</v>
      </c>
      <c r="G326" s="29" t="s">
        <v>1031</v>
      </c>
      <c r="H326" s="29">
        <v>1</v>
      </c>
      <c r="I326" s="29">
        <v>16.079999999999998</v>
      </c>
      <c r="J326" s="29">
        <v>22.873799999999999</v>
      </c>
      <c r="K326" s="29">
        <v>22.873799999999999</v>
      </c>
      <c r="L326" s="29" t="s">
        <v>1032</v>
      </c>
      <c r="M326" s="29">
        <v>1</v>
      </c>
      <c r="N326" s="29">
        <v>1.4225000000000001</v>
      </c>
      <c r="P326" s="29">
        <v>22.873799999999999</v>
      </c>
      <c r="Q326" s="29" t="s">
        <v>1033</v>
      </c>
    </row>
    <row r="327" spans="1:18" x14ac:dyDescent="0.3">
      <c r="B327" s="29">
        <v>2</v>
      </c>
      <c r="C327" s="29" t="s">
        <v>1063</v>
      </c>
      <c r="D327" s="30" t="s">
        <v>1064</v>
      </c>
      <c r="E327" s="29">
        <v>500</v>
      </c>
      <c r="G327" s="29" t="s">
        <v>1035</v>
      </c>
      <c r="H327" s="29">
        <v>1</v>
      </c>
      <c r="I327" s="29">
        <v>13.4</v>
      </c>
      <c r="J327" s="29">
        <v>6.7</v>
      </c>
      <c r="K327" s="29">
        <v>6.7</v>
      </c>
      <c r="L327" s="29" t="s">
        <v>1032</v>
      </c>
      <c r="M327" s="29">
        <v>1</v>
      </c>
      <c r="N327" s="29">
        <v>0.5</v>
      </c>
      <c r="O327" s="29">
        <v>1</v>
      </c>
      <c r="P327" s="29">
        <v>6.7</v>
      </c>
      <c r="Q327" s="29" t="s">
        <v>1033</v>
      </c>
    </row>
    <row r="328" spans="1:18" x14ac:dyDescent="0.3">
      <c r="B328" s="29">
        <v>3</v>
      </c>
      <c r="C328" s="29" t="s">
        <v>1041</v>
      </c>
      <c r="D328" s="30">
        <v>9</v>
      </c>
      <c r="E328" s="29">
        <v>260</v>
      </c>
      <c r="F328" s="29">
        <v>260</v>
      </c>
      <c r="G328" s="29" t="s">
        <v>1035</v>
      </c>
      <c r="H328" s="29">
        <v>1</v>
      </c>
      <c r="J328" s="29">
        <v>4.7759399999999994</v>
      </c>
      <c r="K328" s="29">
        <v>4.7759399999999994</v>
      </c>
      <c r="L328" s="29" t="s">
        <v>1036</v>
      </c>
      <c r="M328" s="29">
        <v>1</v>
      </c>
      <c r="O328" s="29">
        <v>1</v>
      </c>
      <c r="P328" s="29">
        <v>4.7759399999999994</v>
      </c>
      <c r="Q328" s="29" t="s">
        <v>1037</v>
      </c>
      <c r="R328" t="s">
        <v>1128</v>
      </c>
    </row>
    <row r="329" spans="1:18" x14ac:dyDescent="0.3">
      <c r="B329" s="29">
        <v>4</v>
      </c>
      <c r="C329" s="29" t="s">
        <v>1038</v>
      </c>
      <c r="D329" s="30" t="s">
        <v>287</v>
      </c>
      <c r="G329" s="29" t="s">
        <v>1031</v>
      </c>
      <c r="H329" s="29">
        <v>4</v>
      </c>
      <c r="J329" s="29">
        <v>1</v>
      </c>
      <c r="K329" s="29">
        <v>4</v>
      </c>
      <c r="L329" s="29" t="s">
        <v>1039</v>
      </c>
      <c r="M329" s="29">
        <v>1</v>
      </c>
      <c r="O329" s="29">
        <v>4</v>
      </c>
      <c r="P329" s="29">
        <v>4</v>
      </c>
      <c r="Q329" s="29" t="s">
        <v>1040</v>
      </c>
    </row>
    <row r="330" spans="1:18" x14ac:dyDescent="0.3">
      <c r="B330" s="29">
        <v>5</v>
      </c>
      <c r="C330" s="29" t="s">
        <v>1065</v>
      </c>
      <c r="D330" s="30">
        <v>6</v>
      </c>
      <c r="E330" s="29">
        <v>85</v>
      </c>
      <c r="F330" s="29">
        <v>185</v>
      </c>
      <c r="G330" s="29" t="s">
        <v>1035</v>
      </c>
      <c r="H330" s="29">
        <v>1</v>
      </c>
      <c r="J330" s="29">
        <v>0.74064750000000001</v>
      </c>
      <c r="K330" s="29">
        <v>0.74064750000000001</v>
      </c>
      <c r="L330" s="29" t="s">
        <v>1036</v>
      </c>
      <c r="M330" s="29">
        <v>1</v>
      </c>
      <c r="O330" s="29">
        <v>1</v>
      </c>
      <c r="P330" s="29">
        <v>0.74064750000000001</v>
      </c>
      <c r="Q330" s="29" t="s">
        <v>1037</v>
      </c>
    </row>
    <row r="331" spans="1:18" x14ac:dyDescent="0.3">
      <c r="B331" s="29">
        <v>6</v>
      </c>
      <c r="C331" s="29" t="s">
        <v>1066</v>
      </c>
      <c r="D331" s="30">
        <v>6</v>
      </c>
      <c r="E331" s="29">
        <v>135</v>
      </c>
      <c r="F331" s="29">
        <v>135</v>
      </c>
      <c r="G331" s="29" t="s">
        <v>1035</v>
      </c>
      <c r="H331" s="29">
        <v>1</v>
      </c>
      <c r="J331" s="29">
        <v>0.85839749999999992</v>
      </c>
      <c r="K331" s="29">
        <v>0.85839749999999992</v>
      </c>
      <c r="L331" s="29" t="s">
        <v>1036</v>
      </c>
      <c r="M331" s="29">
        <v>1</v>
      </c>
      <c r="O331" s="29">
        <v>1</v>
      </c>
      <c r="P331" s="29">
        <v>0.85839749999999992</v>
      </c>
      <c r="Q331" s="29" t="s">
        <v>1037</v>
      </c>
    </row>
    <row r="332" spans="1:18" x14ac:dyDescent="0.3">
      <c r="A332" s="29" t="s">
        <v>417</v>
      </c>
      <c r="B332" s="29">
        <v>1</v>
      </c>
      <c r="C332" s="29" t="s">
        <v>1030</v>
      </c>
      <c r="D332" s="30" t="s">
        <v>1067</v>
      </c>
      <c r="E332" s="29">
        <v>206</v>
      </c>
      <c r="G332" s="29" t="s">
        <v>1031</v>
      </c>
      <c r="H332" s="29">
        <v>1</v>
      </c>
      <c r="I332" s="29">
        <v>7.48</v>
      </c>
      <c r="J332" s="29">
        <v>1.54088</v>
      </c>
      <c r="K332" s="29">
        <v>1.54088</v>
      </c>
      <c r="L332" s="29" t="s">
        <v>1032</v>
      </c>
      <c r="M332" s="29">
        <v>1</v>
      </c>
      <c r="N332" s="29">
        <v>0.20599999999999999</v>
      </c>
      <c r="P332" s="29">
        <v>1.54088</v>
      </c>
      <c r="Q332" s="29" t="s">
        <v>1033</v>
      </c>
    </row>
    <row r="333" spans="1:18" x14ac:dyDescent="0.3">
      <c r="B333" s="29">
        <v>2</v>
      </c>
      <c r="C333" s="29" t="s">
        <v>1030</v>
      </c>
      <c r="D333" s="30" t="s">
        <v>1067</v>
      </c>
      <c r="E333" s="29">
        <v>500</v>
      </c>
      <c r="G333" s="29" t="s">
        <v>1034</v>
      </c>
      <c r="H333" s="29">
        <v>1</v>
      </c>
      <c r="I333" s="29">
        <v>7.48</v>
      </c>
      <c r="J333" s="29">
        <v>3.74</v>
      </c>
      <c r="K333" s="29">
        <v>3.74</v>
      </c>
      <c r="L333" s="29" t="s">
        <v>1032</v>
      </c>
      <c r="M333" s="29">
        <v>1</v>
      </c>
      <c r="N333" s="29">
        <v>0.5</v>
      </c>
      <c r="P333" s="29">
        <v>3.74</v>
      </c>
      <c r="Q333" s="29" t="s">
        <v>1033</v>
      </c>
    </row>
    <row r="334" spans="1:18" x14ac:dyDescent="0.3">
      <c r="B334" s="29">
        <v>3</v>
      </c>
      <c r="C334" s="29" t="s">
        <v>1049</v>
      </c>
      <c r="D334" s="29">
        <v>9</v>
      </c>
      <c r="E334" s="29">
        <v>150</v>
      </c>
      <c r="F334" s="29">
        <v>150</v>
      </c>
      <c r="G334" s="29" t="s">
        <v>1035</v>
      </c>
      <c r="H334" s="29">
        <v>1</v>
      </c>
      <c r="J334" s="29">
        <v>1.5896249999999998</v>
      </c>
      <c r="K334" s="29">
        <v>1.5896249999999998</v>
      </c>
      <c r="L334" s="29" t="s">
        <v>1036</v>
      </c>
      <c r="M334" s="29">
        <v>1</v>
      </c>
      <c r="O334" s="29">
        <v>1</v>
      </c>
      <c r="P334" s="29">
        <v>1.5896249999999998</v>
      </c>
      <c r="Q334" s="29" t="s">
        <v>1037</v>
      </c>
    </row>
    <row r="335" spans="1:18" x14ac:dyDescent="0.3">
      <c r="B335" s="29">
        <v>4</v>
      </c>
      <c r="C335" s="29" t="s">
        <v>1054</v>
      </c>
      <c r="D335" s="30">
        <v>9</v>
      </c>
      <c r="E335" s="29">
        <v>290</v>
      </c>
      <c r="F335" s="29">
        <v>290</v>
      </c>
      <c r="G335" s="29" t="s">
        <v>1035</v>
      </c>
      <c r="H335" s="29">
        <v>1</v>
      </c>
      <c r="J335" s="29">
        <v>5.9416649999999995</v>
      </c>
      <c r="K335" s="29">
        <v>5.9416649999999995</v>
      </c>
      <c r="L335" s="29" t="s">
        <v>1036</v>
      </c>
      <c r="M335" s="29">
        <v>1</v>
      </c>
      <c r="O335" s="29">
        <v>1</v>
      </c>
      <c r="P335" s="29">
        <v>5.9416649999999995</v>
      </c>
      <c r="Q335" s="29" t="s">
        <v>1037</v>
      </c>
      <c r="R335" t="s">
        <v>1127</v>
      </c>
    </row>
    <row r="336" spans="1:18" x14ac:dyDescent="0.3">
      <c r="B336" s="29">
        <v>5</v>
      </c>
      <c r="C336" s="29" t="s">
        <v>1038</v>
      </c>
      <c r="D336" s="30" t="s">
        <v>287</v>
      </c>
      <c r="G336" s="29" t="s">
        <v>1031</v>
      </c>
      <c r="H336" s="29">
        <v>4</v>
      </c>
      <c r="J336" s="29">
        <v>1</v>
      </c>
      <c r="K336" s="29">
        <v>4</v>
      </c>
      <c r="L336" s="29" t="s">
        <v>1039</v>
      </c>
      <c r="M336" s="29">
        <v>1</v>
      </c>
      <c r="O336" s="29">
        <v>4</v>
      </c>
      <c r="P336" s="29">
        <v>4</v>
      </c>
      <c r="Q336" s="29" t="s">
        <v>1040</v>
      </c>
    </row>
    <row r="337" spans="1:18" x14ac:dyDescent="0.3">
      <c r="B337" s="29">
        <v>6</v>
      </c>
      <c r="C337" s="29" t="s">
        <v>1068</v>
      </c>
      <c r="D337" s="29" t="s">
        <v>1069</v>
      </c>
      <c r="G337" s="29" t="s">
        <v>1070</v>
      </c>
      <c r="H337" s="29">
        <v>1</v>
      </c>
      <c r="J337" s="29">
        <v>20</v>
      </c>
      <c r="K337" s="29">
        <v>20</v>
      </c>
      <c r="L337" s="29" t="s">
        <v>1039</v>
      </c>
      <c r="M337" s="29">
        <v>1</v>
      </c>
      <c r="O337" s="29">
        <v>1</v>
      </c>
      <c r="P337" s="29">
        <v>20</v>
      </c>
      <c r="Q337" s="29" t="s">
        <v>1040</v>
      </c>
    </row>
    <row r="338" spans="1:18" x14ac:dyDescent="0.3">
      <c r="A338" s="29" t="s">
        <v>418</v>
      </c>
      <c r="B338" s="29">
        <v>1</v>
      </c>
      <c r="C338" s="29" t="s">
        <v>1030</v>
      </c>
      <c r="D338" s="30" t="s">
        <v>1056</v>
      </c>
      <c r="E338" s="29">
        <v>193</v>
      </c>
      <c r="G338" s="29" t="s">
        <v>1031</v>
      </c>
      <c r="H338" s="29">
        <v>1</v>
      </c>
      <c r="I338" s="29">
        <v>5.44</v>
      </c>
      <c r="J338" s="29">
        <v>1.0499200000000002</v>
      </c>
      <c r="K338" s="29">
        <v>1.0499200000000002</v>
      </c>
      <c r="L338" s="29" t="s">
        <v>1032</v>
      </c>
      <c r="M338" s="29">
        <v>1</v>
      </c>
      <c r="N338" s="29">
        <v>0.193</v>
      </c>
      <c r="P338" s="29">
        <v>1.0499200000000002</v>
      </c>
      <c r="Q338" s="29" t="s">
        <v>1033</v>
      </c>
    </row>
    <row r="339" spans="1:18" x14ac:dyDescent="0.3">
      <c r="B339" s="29">
        <v>2</v>
      </c>
      <c r="C339" s="29" t="s">
        <v>1030</v>
      </c>
      <c r="D339" s="30" t="s">
        <v>1056</v>
      </c>
      <c r="E339" s="29">
        <v>1200</v>
      </c>
      <c r="G339" s="29" t="s">
        <v>1034</v>
      </c>
      <c r="H339" s="29">
        <v>1</v>
      </c>
      <c r="I339" s="29">
        <v>5.44</v>
      </c>
      <c r="J339" s="29">
        <v>6.5280000000000005</v>
      </c>
      <c r="K339" s="29">
        <v>6.5280000000000005</v>
      </c>
      <c r="L339" s="29" t="s">
        <v>1032</v>
      </c>
      <c r="M339" s="29">
        <v>1</v>
      </c>
      <c r="N339" s="29">
        <v>1.2</v>
      </c>
      <c r="P339" s="29">
        <v>6.5280000000000005</v>
      </c>
      <c r="Q339" s="29" t="s">
        <v>1033</v>
      </c>
    </row>
    <row r="340" spans="1:18" x14ac:dyDescent="0.3">
      <c r="B340" s="29">
        <v>3</v>
      </c>
      <c r="C340" s="29" t="s">
        <v>1049</v>
      </c>
      <c r="D340" s="29">
        <v>9</v>
      </c>
      <c r="E340" s="29">
        <v>150</v>
      </c>
      <c r="F340" s="29">
        <v>150</v>
      </c>
      <c r="G340" s="29" t="s">
        <v>1035</v>
      </c>
      <c r="H340" s="29">
        <v>1</v>
      </c>
      <c r="J340" s="29">
        <v>1.5896249999999998</v>
      </c>
      <c r="K340" s="29">
        <v>1.5896249999999998</v>
      </c>
      <c r="L340" s="29" t="s">
        <v>1036</v>
      </c>
      <c r="M340" s="29">
        <v>1</v>
      </c>
      <c r="O340" s="29">
        <v>1</v>
      </c>
      <c r="P340" s="29">
        <v>1.5896249999999998</v>
      </c>
      <c r="Q340" s="29" t="s">
        <v>1037</v>
      </c>
    </row>
    <row r="341" spans="1:18" x14ac:dyDescent="0.3">
      <c r="B341" s="29">
        <v>4</v>
      </c>
      <c r="C341" s="29" t="s">
        <v>1054</v>
      </c>
      <c r="D341" s="30">
        <v>9</v>
      </c>
      <c r="E341" s="29">
        <v>290</v>
      </c>
      <c r="F341" s="29">
        <v>290</v>
      </c>
      <c r="G341" s="29" t="s">
        <v>1035</v>
      </c>
      <c r="H341" s="29">
        <v>1</v>
      </c>
      <c r="J341" s="29">
        <v>5.9416649999999995</v>
      </c>
      <c r="K341" s="29">
        <v>5.9416649999999995</v>
      </c>
      <c r="L341" s="29" t="s">
        <v>1036</v>
      </c>
      <c r="M341" s="29">
        <v>1</v>
      </c>
      <c r="O341" s="29">
        <v>1</v>
      </c>
      <c r="P341" s="29">
        <v>5.9416649999999995</v>
      </c>
      <c r="Q341" s="29" t="s">
        <v>1037</v>
      </c>
      <c r="R341" t="s">
        <v>1127</v>
      </c>
    </row>
    <row r="342" spans="1:18" x14ac:dyDescent="0.3">
      <c r="B342" s="29">
        <v>5</v>
      </c>
      <c r="C342" s="29" t="s">
        <v>1038</v>
      </c>
      <c r="D342" s="30" t="s">
        <v>287</v>
      </c>
      <c r="G342" s="29" t="s">
        <v>1031</v>
      </c>
      <c r="H342" s="29">
        <v>4</v>
      </c>
      <c r="J342" s="29">
        <v>1</v>
      </c>
      <c r="K342" s="29">
        <v>4</v>
      </c>
      <c r="L342" s="29" t="s">
        <v>1039</v>
      </c>
      <c r="M342" s="29">
        <v>1</v>
      </c>
      <c r="O342" s="29">
        <v>4</v>
      </c>
      <c r="P342" s="29">
        <v>4</v>
      </c>
      <c r="Q342" s="29" t="s">
        <v>1040</v>
      </c>
    </row>
    <row r="343" spans="1:18" x14ac:dyDescent="0.3">
      <c r="B343" s="29">
        <v>6</v>
      </c>
      <c r="C343" s="29" t="s">
        <v>1068</v>
      </c>
      <c r="D343" s="29" t="s">
        <v>1069</v>
      </c>
      <c r="G343" s="29" t="s">
        <v>1070</v>
      </c>
      <c r="H343" s="29">
        <v>1</v>
      </c>
      <c r="J343" s="29">
        <v>20</v>
      </c>
      <c r="K343" s="29">
        <v>20</v>
      </c>
      <c r="L343" s="29" t="s">
        <v>1039</v>
      </c>
      <c r="M343" s="29">
        <v>1</v>
      </c>
      <c r="O343" s="29">
        <v>1</v>
      </c>
      <c r="P343" s="29">
        <v>20</v>
      </c>
      <c r="Q343" s="29" t="s">
        <v>1040</v>
      </c>
    </row>
    <row r="344" spans="1:18" x14ac:dyDescent="0.3">
      <c r="A344" s="29" t="s">
        <v>419</v>
      </c>
      <c r="B344" s="29">
        <v>1</v>
      </c>
      <c r="C344" s="29" t="s">
        <v>1030</v>
      </c>
      <c r="D344" s="30" t="s">
        <v>1056</v>
      </c>
      <c r="E344" s="29">
        <v>193</v>
      </c>
      <c r="G344" s="29" t="s">
        <v>1031</v>
      </c>
      <c r="H344" s="29">
        <v>1</v>
      </c>
      <c r="I344" s="29">
        <v>5.44</v>
      </c>
      <c r="J344" s="29">
        <v>1.0499200000000002</v>
      </c>
      <c r="K344" s="29">
        <v>1.0499200000000002</v>
      </c>
      <c r="L344" s="29" t="s">
        <v>1032</v>
      </c>
      <c r="M344" s="29">
        <v>1</v>
      </c>
      <c r="N344" s="29">
        <v>0.193</v>
      </c>
      <c r="P344" s="29">
        <v>1.0499200000000002</v>
      </c>
      <c r="Q344" s="29" t="s">
        <v>1033</v>
      </c>
    </row>
    <row r="345" spans="1:18" x14ac:dyDescent="0.3">
      <c r="B345" s="29">
        <v>2</v>
      </c>
      <c r="C345" s="29" t="s">
        <v>1030</v>
      </c>
      <c r="D345" s="30" t="s">
        <v>1056</v>
      </c>
      <c r="E345" s="29">
        <v>1400</v>
      </c>
      <c r="G345" s="29" t="s">
        <v>1034</v>
      </c>
      <c r="H345" s="29">
        <v>1</v>
      </c>
      <c r="I345" s="29">
        <v>5.44</v>
      </c>
      <c r="J345" s="29">
        <v>7.6159999999999997</v>
      </c>
      <c r="K345" s="29">
        <v>7.6159999999999997</v>
      </c>
      <c r="L345" s="29" t="s">
        <v>1032</v>
      </c>
      <c r="M345" s="29">
        <v>1</v>
      </c>
      <c r="N345" s="29">
        <v>1.4</v>
      </c>
      <c r="P345" s="29">
        <v>7.6159999999999997</v>
      </c>
      <c r="Q345" s="29" t="s">
        <v>1033</v>
      </c>
    </row>
    <row r="346" spans="1:18" x14ac:dyDescent="0.3">
      <c r="B346" s="29">
        <v>3</v>
      </c>
      <c r="C346" s="29" t="s">
        <v>1049</v>
      </c>
      <c r="D346" s="29">
        <v>9</v>
      </c>
      <c r="E346" s="29">
        <v>150</v>
      </c>
      <c r="F346" s="29">
        <v>150</v>
      </c>
      <c r="G346" s="29" t="s">
        <v>1035</v>
      </c>
      <c r="H346" s="29">
        <v>1</v>
      </c>
      <c r="J346" s="29">
        <v>1.5896249999999998</v>
      </c>
      <c r="K346" s="29">
        <v>1.5896249999999998</v>
      </c>
      <c r="L346" s="29" t="s">
        <v>1036</v>
      </c>
      <c r="M346" s="29">
        <v>1</v>
      </c>
      <c r="O346" s="29">
        <v>1</v>
      </c>
      <c r="P346" s="29">
        <v>1.5896249999999998</v>
      </c>
      <c r="Q346" s="29" t="s">
        <v>1037</v>
      </c>
    </row>
    <row r="347" spans="1:18" x14ac:dyDescent="0.3">
      <c r="B347" s="29">
        <v>4</v>
      </c>
      <c r="C347" s="29" t="s">
        <v>1054</v>
      </c>
      <c r="D347" s="29">
        <v>9</v>
      </c>
      <c r="E347" s="29">
        <v>290</v>
      </c>
      <c r="F347" s="29">
        <v>290</v>
      </c>
      <c r="G347" s="29" t="s">
        <v>1035</v>
      </c>
      <c r="H347" s="29">
        <v>1</v>
      </c>
      <c r="J347" s="29">
        <v>5.9416649999999995</v>
      </c>
      <c r="K347" s="29">
        <v>5.9416649999999995</v>
      </c>
      <c r="L347" s="29" t="s">
        <v>1036</v>
      </c>
      <c r="M347" s="29">
        <v>1</v>
      </c>
      <c r="O347" s="29">
        <v>1</v>
      </c>
      <c r="P347" s="29">
        <v>5.9416649999999995</v>
      </c>
      <c r="Q347" s="29" t="s">
        <v>1037</v>
      </c>
      <c r="R347" t="s">
        <v>1127</v>
      </c>
    </row>
    <row r="348" spans="1:18" x14ac:dyDescent="0.3">
      <c r="B348" s="29">
        <v>5</v>
      </c>
      <c r="C348" s="29" t="s">
        <v>1038</v>
      </c>
      <c r="D348" s="30" t="s">
        <v>287</v>
      </c>
      <c r="G348" s="29" t="s">
        <v>1031</v>
      </c>
      <c r="H348" s="29">
        <v>4</v>
      </c>
      <c r="J348" s="29">
        <v>1</v>
      </c>
      <c r="K348" s="29">
        <v>4</v>
      </c>
      <c r="L348" s="29" t="s">
        <v>1039</v>
      </c>
      <c r="M348" s="29">
        <v>1</v>
      </c>
      <c r="O348" s="29">
        <v>4</v>
      </c>
      <c r="P348" s="29">
        <v>4</v>
      </c>
      <c r="Q348" s="29" t="s">
        <v>1040</v>
      </c>
    </row>
    <row r="349" spans="1:18" x14ac:dyDescent="0.3">
      <c r="B349" s="29">
        <v>6</v>
      </c>
      <c r="C349" s="29" t="s">
        <v>1068</v>
      </c>
      <c r="D349" s="29" t="s">
        <v>1069</v>
      </c>
      <c r="G349" s="29" t="s">
        <v>1070</v>
      </c>
      <c r="H349" s="29">
        <v>1</v>
      </c>
      <c r="J349" s="29">
        <v>20</v>
      </c>
      <c r="K349" s="29">
        <v>20</v>
      </c>
      <c r="L349" s="29" t="s">
        <v>1039</v>
      </c>
      <c r="M349" s="29">
        <v>1</v>
      </c>
      <c r="O349" s="29">
        <v>1</v>
      </c>
      <c r="P349" s="29">
        <v>20</v>
      </c>
      <c r="Q349" s="29" t="s">
        <v>1040</v>
      </c>
    </row>
    <row r="350" spans="1:18" x14ac:dyDescent="0.3">
      <c r="A350" s="29" t="s">
        <v>420</v>
      </c>
      <c r="B350" s="29">
        <v>1</v>
      </c>
      <c r="C350" s="29" t="s">
        <v>1030</v>
      </c>
      <c r="D350" s="30" t="s">
        <v>1056</v>
      </c>
      <c r="E350" s="29">
        <v>206</v>
      </c>
      <c r="G350" s="29" t="s">
        <v>1031</v>
      </c>
      <c r="H350" s="29">
        <v>1</v>
      </c>
      <c r="I350" s="29">
        <v>5.44</v>
      </c>
      <c r="J350" s="29">
        <v>1.1206400000000001</v>
      </c>
      <c r="K350" s="29">
        <v>1.1206400000000001</v>
      </c>
      <c r="L350" s="29" t="s">
        <v>1032</v>
      </c>
      <c r="M350" s="29">
        <v>1</v>
      </c>
      <c r="N350" s="29">
        <v>0.20599999999999999</v>
      </c>
      <c r="P350" s="29">
        <v>1.1206400000000001</v>
      </c>
      <c r="Q350" s="29" t="s">
        <v>1033</v>
      </c>
    </row>
    <row r="351" spans="1:18" x14ac:dyDescent="0.3">
      <c r="B351" s="29">
        <v>2</v>
      </c>
      <c r="C351" s="29" t="s">
        <v>1030</v>
      </c>
      <c r="D351" s="30" t="s">
        <v>1056</v>
      </c>
      <c r="E351" s="29">
        <v>200</v>
      </c>
      <c r="G351" s="29" t="s">
        <v>1034</v>
      </c>
      <c r="H351" s="29">
        <v>1</v>
      </c>
      <c r="I351" s="29">
        <v>5.44</v>
      </c>
      <c r="J351" s="29">
        <v>1.0880000000000001</v>
      </c>
      <c r="K351" s="29">
        <v>1.0880000000000001</v>
      </c>
      <c r="L351" s="29" t="s">
        <v>1032</v>
      </c>
      <c r="M351" s="29">
        <v>1</v>
      </c>
      <c r="N351" s="29">
        <v>0.2</v>
      </c>
      <c r="P351" s="29">
        <v>1.0880000000000001</v>
      </c>
      <c r="Q351" s="29" t="s">
        <v>1033</v>
      </c>
    </row>
    <row r="352" spans="1:18" x14ac:dyDescent="0.3">
      <c r="B352" s="29">
        <v>3</v>
      </c>
      <c r="C352" s="29" t="s">
        <v>1049</v>
      </c>
      <c r="D352" s="30">
        <v>9</v>
      </c>
      <c r="E352" s="29">
        <v>150</v>
      </c>
      <c r="F352" s="29">
        <v>150</v>
      </c>
      <c r="G352" s="29" t="s">
        <v>1035</v>
      </c>
      <c r="H352" s="29">
        <v>1</v>
      </c>
      <c r="J352" s="29">
        <v>1.5896249999999998</v>
      </c>
      <c r="K352" s="29">
        <v>1.5896249999999998</v>
      </c>
      <c r="L352" s="29" t="s">
        <v>1036</v>
      </c>
      <c r="M352" s="29">
        <v>1</v>
      </c>
      <c r="O352" s="29">
        <v>1</v>
      </c>
      <c r="P352" s="29">
        <v>1.5896249999999998</v>
      </c>
      <c r="Q352" s="29" t="s">
        <v>1037</v>
      </c>
    </row>
    <row r="353" spans="1:18" x14ac:dyDescent="0.3">
      <c r="B353" s="29">
        <v>4</v>
      </c>
      <c r="C353" s="29" t="s">
        <v>1068</v>
      </c>
      <c r="D353" s="29" t="s">
        <v>1069</v>
      </c>
      <c r="G353" s="29" t="s">
        <v>1070</v>
      </c>
      <c r="H353" s="29">
        <v>1</v>
      </c>
      <c r="J353" s="29">
        <v>20</v>
      </c>
      <c r="K353" s="29">
        <v>20</v>
      </c>
      <c r="L353" s="29" t="s">
        <v>1039</v>
      </c>
      <c r="M353" s="29">
        <v>1</v>
      </c>
      <c r="O353" s="29">
        <v>1</v>
      </c>
      <c r="P353" s="29">
        <v>20</v>
      </c>
      <c r="Q353" s="29" t="s">
        <v>1040</v>
      </c>
    </row>
    <row r="354" spans="1:18" x14ac:dyDescent="0.3">
      <c r="A354" s="29" t="s">
        <v>421</v>
      </c>
      <c r="B354" s="29">
        <v>1</v>
      </c>
      <c r="C354" s="29" t="s">
        <v>1030</v>
      </c>
      <c r="D354" s="30" t="s">
        <v>1056</v>
      </c>
      <c r="E354" s="29">
        <v>206</v>
      </c>
      <c r="G354" s="29" t="s">
        <v>1031</v>
      </c>
      <c r="H354" s="29">
        <v>1</v>
      </c>
      <c r="I354" s="29">
        <v>5.44</v>
      </c>
      <c r="J354" s="29">
        <v>1.1206400000000001</v>
      </c>
      <c r="K354" s="29">
        <v>1.1206400000000001</v>
      </c>
      <c r="L354" s="29" t="s">
        <v>1032</v>
      </c>
      <c r="M354" s="29">
        <v>1</v>
      </c>
      <c r="N354" s="29">
        <v>0.20599999999999999</v>
      </c>
      <c r="P354" s="29">
        <v>1.1206400000000001</v>
      </c>
      <c r="Q354" s="29" t="s">
        <v>1033</v>
      </c>
    </row>
    <row r="355" spans="1:18" x14ac:dyDescent="0.3">
      <c r="B355" s="29">
        <v>2</v>
      </c>
      <c r="C355" s="29" t="s">
        <v>1030</v>
      </c>
      <c r="D355" s="30" t="s">
        <v>1056</v>
      </c>
      <c r="E355" s="29">
        <v>600</v>
      </c>
      <c r="G355" s="29" t="s">
        <v>1034</v>
      </c>
      <c r="H355" s="29">
        <v>1</v>
      </c>
      <c r="I355" s="29">
        <v>5.44</v>
      </c>
      <c r="J355" s="29">
        <v>3.2640000000000002</v>
      </c>
      <c r="K355" s="29">
        <v>3.2640000000000002</v>
      </c>
      <c r="L355" s="29" t="s">
        <v>1032</v>
      </c>
      <c r="M355" s="29">
        <v>1</v>
      </c>
      <c r="N355" s="29">
        <v>0.6</v>
      </c>
      <c r="P355" s="29">
        <v>3.2640000000000002</v>
      </c>
      <c r="Q355" s="29" t="s">
        <v>1033</v>
      </c>
    </row>
    <row r="356" spans="1:18" x14ac:dyDescent="0.3">
      <c r="B356" s="29">
        <v>3</v>
      </c>
      <c r="C356" s="29" t="s">
        <v>1049</v>
      </c>
      <c r="D356" s="29">
        <v>9</v>
      </c>
      <c r="E356" s="29">
        <v>150</v>
      </c>
      <c r="F356" s="29">
        <v>150</v>
      </c>
      <c r="G356" s="29" t="s">
        <v>1035</v>
      </c>
      <c r="H356" s="29">
        <v>1</v>
      </c>
      <c r="J356" s="29">
        <v>1.5896249999999998</v>
      </c>
      <c r="K356" s="29">
        <v>1.5896249999999998</v>
      </c>
      <c r="L356" s="29" t="s">
        <v>1036</v>
      </c>
      <c r="M356" s="29">
        <v>1</v>
      </c>
      <c r="O356" s="29">
        <v>1</v>
      </c>
      <c r="P356" s="29">
        <v>1.5896249999999998</v>
      </c>
      <c r="Q356" s="29" t="s">
        <v>1037</v>
      </c>
    </row>
    <row r="357" spans="1:18" x14ac:dyDescent="0.3">
      <c r="B357" s="29">
        <v>4</v>
      </c>
      <c r="C357" s="29" t="s">
        <v>1054</v>
      </c>
      <c r="D357" s="30">
        <v>9</v>
      </c>
      <c r="E357" s="29">
        <v>290</v>
      </c>
      <c r="F357" s="29">
        <v>290</v>
      </c>
      <c r="G357" s="29" t="s">
        <v>1035</v>
      </c>
      <c r="H357" s="29">
        <v>1</v>
      </c>
      <c r="J357" s="29">
        <v>5.9416649999999995</v>
      </c>
      <c r="K357" s="29">
        <v>5.9416649999999995</v>
      </c>
      <c r="L357" s="29" t="s">
        <v>1036</v>
      </c>
      <c r="M357" s="29">
        <v>1</v>
      </c>
      <c r="O357" s="29">
        <v>1</v>
      </c>
      <c r="P357" s="29">
        <v>5.9416649999999995</v>
      </c>
      <c r="Q357" s="29" t="s">
        <v>1037</v>
      </c>
      <c r="R357" t="s">
        <v>1127</v>
      </c>
    </row>
    <row r="358" spans="1:18" x14ac:dyDescent="0.3">
      <c r="B358" s="29">
        <v>5</v>
      </c>
      <c r="C358" s="29" t="s">
        <v>1038</v>
      </c>
      <c r="D358" s="30" t="s">
        <v>287</v>
      </c>
      <c r="G358" s="29" t="s">
        <v>1031</v>
      </c>
      <c r="H358" s="29">
        <v>4</v>
      </c>
      <c r="J358" s="29">
        <v>1</v>
      </c>
      <c r="K358" s="29">
        <v>4</v>
      </c>
      <c r="L358" s="29" t="s">
        <v>1039</v>
      </c>
      <c r="M358" s="29">
        <v>1</v>
      </c>
      <c r="O358" s="29">
        <v>4</v>
      </c>
      <c r="P358" s="29">
        <v>4</v>
      </c>
      <c r="Q358" s="29" t="s">
        <v>1040</v>
      </c>
    </row>
    <row r="359" spans="1:18" x14ac:dyDescent="0.3">
      <c r="B359" s="29">
        <v>6</v>
      </c>
      <c r="C359" s="29" t="s">
        <v>1068</v>
      </c>
      <c r="D359" s="30" t="s">
        <v>1069</v>
      </c>
      <c r="G359" s="29" t="s">
        <v>1070</v>
      </c>
      <c r="H359" s="29">
        <v>1</v>
      </c>
      <c r="J359" s="29">
        <v>20</v>
      </c>
      <c r="K359" s="29">
        <v>20</v>
      </c>
      <c r="L359" s="29" t="s">
        <v>1039</v>
      </c>
      <c r="M359" s="29">
        <v>1</v>
      </c>
      <c r="O359" s="29">
        <v>1</v>
      </c>
      <c r="P359" s="29">
        <v>20</v>
      </c>
      <c r="Q359" s="29" t="s">
        <v>1040</v>
      </c>
    </row>
    <row r="360" spans="1:18" x14ac:dyDescent="0.3">
      <c r="A360" s="29" t="s">
        <v>422</v>
      </c>
      <c r="B360" s="29">
        <v>1</v>
      </c>
      <c r="C360" s="29" t="s">
        <v>1030</v>
      </c>
      <c r="D360" s="30" t="s">
        <v>1056</v>
      </c>
      <c r="E360" s="29">
        <v>206</v>
      </c>
      <c r="G360" s="29" t="s">
        <v>1031</v>
      </c>
      <c r="H360" s="29">
        <v>1</v>
      </c>
      <c r="I360" s="29">
        <v>5.44</v>
      </c>
      <c r="J360" s="29">
        <v>1.1206400000000001</v>
      </c>
      <c r="K360" s="29">
        <v>1.1206400000000001</v>
      </c>
      <c r="L360" s="29" t="s">
        <v>1032</v>
      </c>
      <c r="M360" s="29">
        <v>1</v>
      </c>
      <c r="N360" s="29">
        <v>0.20599999999999999</v>
      </c>
      <c r="P360" s="29">
        <v>1.1206400000000001</v>
      </c>
      <c r="Q360" s="29" t="s">
        <v>1033</v>
      </c>
    </row>
    <row r="361" spans="1:18" x14ac:dyDescent="0.3">
      <c r="B361" s="29">
        <v>2</v>
      </c>
      <c r="C361" s="29" t="s">
        <v>1030</v>
      </c>
      <c r="D361" s="30" t="s">
        <v>1056</v>
      </c>
      <c r="E361" s="29">
        <v>700</v>
      </c>
      <c r="G361" s="29" t="s">
        <v>1034</v>
      </c>
      <c r="H361" s="29">
        <v>1</v>
      </c>
      <c r="I361" s="29">
        <v>5.44</v>
      </c>
      <c r="J361" s="29">
        <v>3.8079999999999998</v>
      </c>
      <c r="K361" s="29">
        <v>3.8079999999999998</v>
      </c>
      <c r="L361" s="29" t="s">
        <v>1032</v>
      </c>
      <c r="M361" s="29">
        <v>1</v>
      </c>
      <c r="N361" s="29">
        <v>0.7</v>
      </c>
      <c r="P361" s="29">
        <v>3.8079999999999998</v>
      </c>
      <c r="Q361" s="29" t="s">
        <v>1033</v>
      </c>
    </row>
    <row r="362" spans="1:18" x14ac:dyDescent="0.3">
      <c r="B362" s="29">
        <v>3</v>
      </c>
      <c r="C362" s="29" t="s">
        <v>1049</v>
      </c>
      <c r="D362" s="29">
        <v>9</v>
      </c>
      <c r="E362" s="29">
        <v>150</v>
      </c>
      <c r="F362" s="29">
        <v>150</v>
      </c>
      <c r="G362" s="29" t="s">
        <v>1035</v>
      </c>
      <c r="H362" s="29">
        <v>1</v>
      </c>
      <c r="J362" s="29">
        <v>1.5896249999999998</v>
      </c>
      <c r="K362" s="29">
        <v>1.5896249999999998</v>
      </c>
      <c r="L362" s="29" t="s">
        <v>1036</v>
      </c>
      <c r="M362" s="29">
        <v>1</v>
      </c>
      <c r="O362" s="29">
        <v>1</v>
      </c>
      <c r="P362" s="29">
        <v>1.5896249999999998</v>
      </c>
      <c r="Q362" s="29" t="s">
        <v>1037</v>
      </c>
    </row>
    <row r="363" spans="1:18" x14ac:dyDescent="0.3">
      <c r="B363" s="29">
        <v>4</v>
      </c>
      <c r="C363" s="29" t="s">
        <v>1054</v>
      </c>
      <c r="D363" s="29">
        <v>9</v>
      </c>
      <c r="E363" s="29">
        <v>290</v>
      </c>
      <c r="F363" s="29">
        <v>290</v>
      </c>
      <c r="G363" s="29" t="s">
        <v>1035</v>
      </c>
      <c r="H363" s="29">
        <v>1</v>
      </c>
      <c r="J363" s="29">
        <v>5.9416649999999995</v>
      </c>
      <c r="K363" s="29">
        <v>5.9416649999999995</v>
      </c>
      <c r="L363" s="29" t="s">
        <v>1036</v>
      </c>
      <c r="M363" s="29">
        <v>1</v>
      </c>
      <c r="O363" s="29">
        <v>1</v>
      </c>
      <c r="P363" s="29">
        <v>5.9416649999999995</v>
      </c>
      <c r="Q363" s="29" t="s">
        <v>1037</v>
      </c>
      <c r="R363" t="s">
        <v>1127</v>
      </c>
    </row>
    <row r="364" spans="1:18" x14ac:dyDescent="0.3">
      <c r="B364" s="29">
        <v>5</v>
      </c>
      <c r="C364" s="29" t="s">
        <v>1038</v>
      </c>
      <c r="D364" s="30" t="s">
        <v>287</v>
      </c>
      <c r="G364" s="29" t="s">
        <v>1031</v>
      </c>
      <c r="H364" s="29">
        <v>4</v>
      </c>
      <c r="J364" s="29">
        <v>1</v>
      </c>
      <c r="K364" s="29">
        <v>4</v>
      </c>
      <c r="L364" s="29" t="s">
        <v>1039</v>
      </c>
      <c r="M364" s="29">
        <v>1</v>
      </c>
      <c r="O364" s="29">
        <v>4</v>
      </c>
      <c r="P364" s="29">
        <v>4</v>
      </c>
      <c r="Q364" s="29" t="s">
        <v>1040</v>
      </c>
    </row>
    <row r="365" spans="1:18" x14ac:dyDescent="0.3">
      <c r="B365" s="29">
        <v>6</v>
      </c>
      <c r="C365" s="29" t="s">
        <v>1068</v>
      </c>
      <c r="D365" s="30" t="s">
        <v>1069</v>
      </c>
      <c r="G365" s="29" t="s">
        <v>1070</v>
      </c>
      <c r="H365" s="29">
        <v>1</v>
      </c>
      <c r="J365" s="29">
        <v>20</v>
      </c>
      <c r="K365" s="29">
        <v>20</v>
      </c>
      <c r="L365" s="29" t="s">
        <v>1039</v>
      </c>
      <c r="M365" s="29">
        <v>1</v>
      </c>
      <c r="O365" s="29">
        <v>1</v>
      </c>
      <c r="P365" s="29">
        <v>20</v>
      </c>
      <c r="Q365" s="29" t="s">
        <v>1040</v>
      </c>
    </row>
    <row r="366" spans="1:18" x14ac:dyDescent="0.3">
      <c r="A366" s="29" t="s">
        <v>423</v>
      </c>
      <c r="B366" s="29">
        <v>1</v>
      </c>
      <c r="C366" s="29" t="s">
        <v>1071</v>
      </c>
      <c r="D366" s="30">
        <v>6</v>
      </c>
      <c r="E366" s="29">
        <v>125</v>
      </c>
      <c r="F366" s="29">
        <v>80</v>
      </c>
      <c r="G366" s="29" t="s">
        <v>1035</v>
      </c>
      <c r="H366" s="29">
        <v>2</v>
      </c>
      <c r="J366" s="29">
        <v>0.47099999999999997</v>
      </c>
      <c r="K366" s="29">
        <v>0.94199999999999995</v>
      </c>
      <c r="L366" s="29" t="s">
        <v>1036</v>
      </c>
      <c r="M366" s="29">
        <v>1</v>
      </c>
      <c r="O366" s="29">
        <v>2</v>
      </c>
      <c r="P366" s="29">
        <v>0.94199999999999995</v>
      </c>
      <c r="Q366" s="29" t="s">
        <v>1037</v>
      </c>
    </row>
    <row r="367" spans="1:18" x14ac:dyDescent="0.3">
      <c r="B367" s="29">
        <v>2</v>
      </c>
      <c r="C367" s="29" t="s">
        <v>1072</v>
      </c>
      <c r="D367" s="30">
        <v>6</v>
      </c>
      <c r="E367" s="29">
        <v>60</v>
      </c>
      <c r="F367" s="29">
        <v>100</v>
      </c>
      <c r="G367" s="29" t="s">
        <v>1035</v>
      </c>
      <c r="H367" s="29">
        <v>2</v>
      </c>
      <c r="J367" s="29">
        <v>0.28259999999999996</v>
      </c>
      <c r="K367" s="29">
        <v>0.56519999999999992</v>
      </c>
      <c r="L367" s="29" t="s">
        <v>1036</v>
      </c>
      <c r="M367" s="29">
        <v>1</v>
      </c>
      <c r="O367" s="29">
        <v>2</v>
      </c>
      <c r="P367" s="29">
        <v>0.56519999999999992</v>
      </c>
      <c r="Q367" s="29" t="s">
        <v>1037</v>
      </c>
    </row>
    <row r="368" spans="1:18" x14ac:dyDescent="0.3">
      <c r="A368" s="29" t="s">
        <v>424</v>
      </c>
      <c r="B368" s="29">
        <v>1</v>
      </c>
      <c r="C368" s="29" t="s">
        <v>1071</v>
      </c>
      <c r="D368" s="30">
        <v>6</v>
      </c>
      <c r="E368" s="29">
        <v>125</v>
      </c>
      <c r="F368" s="29">
        <v>80</v>
      </c>
      <c r="G368" s="29" t="s">
        <v>1035</v>
      </c>
      <c r="H368" s="29">
        <v>2</v>
      </c>
      <c r="J368" s="29">
        <v>0.47099999999999997</v>
      </c>
      <c r="K368" s="29">
        <v>0.94199999999999995</v>
      </c>
      <c r="L368" s="29" t="s">
        <v>1036</v>
      </c>
      <c r="M368" s="29">
        <v>1</v>
      </c>
      <c r="O368" s="29">
        <v>2</v>
      </c>
      <c r="P368" s="29">
        <v>0.94199999999999995</v>
      </c>
      <c r="Q368" s="29" t="s">
        <v>1037</v>
      </c>
    </row>
    <row r="369" spans="1:18" x14ac:dyDescent="0.3">
      <c r="B369" s="29">
        <v>2</v>
      </c>
      <c r="C369" s="29" t="s">
        <v>1072</v>
      </c>
      <c r="D369" s="29">
        <v>6</v>
      </c>
      <c r="E369" s="29">
        <v>60</v>
      </c>
      <c r="F369" s="29">
        <v>100</v>
      </c>
      <c r="G369" s="29" t="s">
        <v>1035</v>
      </c>
      <c r="H369" s="29">
        <v>2</v>
      </c>
      <c r="J369" s="29">
        <v>0.28259999999999996</v>
      </c>
      <c r="K369" s="29">
        <v>0.56519999999999992</v>
      </c>
      <c r="L369" s="29" t="s">
        <v>1036</v>
      </c>
      <c r="M369" s="29">
        <v>1</v>
      </c>
      <c r="O369" s="29">
        <v>2</v>
      </c>
      <c r="P369" s="29">
        <v>0.56519999999999992</v>
      </c>
      <c r="Q369" s="29" t="s">
        <v>1037</v>
      </c>
    </row>
    <row r="370" spans="1:18" x14ac:dyDescent="0.3">
      <c r="A370" s="29" t="s">
        <v>425</v>
      </c>
      <c r="B370" s="29" t="s">
        <v>1042</v>
      </c>
    </row>
    <row r="371" spans="1:18" x14ac:dyDescent="0.3">
      <c r="A371" s="29" t="s">
        <v>426</v>
      </c>
      <c r="B371" s="29" t="s">
        <v>1042</v>
      </c>
      <c r="D371" s="30"/>
    </row>
    <row r="372" spans="1:18" x14ac:dyDescent="0.3">
      <c r="A372" s="29" t="s">
        <v>427</v>
      </c>
      <c r="B372" s="29" t="s">
        <v>1042</v>
      </c>
      <c r="D372" s="30"/>
    </row>
    <row r="373" spans="1:18" x14ac:dyDescent="0.3">
      <c r="A373" s="29" t="s">
        <v>427</v>
      </c>
      <c r="B373" s="29" t="s">
        <v>1042</v>
      </c>
      <c r="D373" s="30"/>
    </row>
    <row r="374" spans="1:18" x14ac:dyDescent="0.3">
      <c r="A374" s="29" t="s">
        <v>427</v>
      </c>
      <c r="B374" s="29" t="s">
        <v>1042</v>
      </c>
      <c r="D374" s="30"/>
    </row>
    <row r="375" spans="1:18" x14ac:dyDescent="0.3">
      <c r="A375" s="29" t="s">
        <v>428</v>
      </c>
      <c r="B375" s="29" t="s">
        <v>1042</v>
      </c>
      <c r="D375" s="30"/>
    </row>
    <row r="376" spans="1:18" x14ac:dyDescent="0.3">
      <c r="A376" s="29" t="s">
        <v>429</v>
      </c>
      <c r="B376" s="29" t="s">
        <v>1042</v>
      </c>
    </row>
    <row r="377" spans="1:18" x14ac:dyDescent="0.3">
      <c r="A377" s="29" t="s">
        <v>430</v>
      </c>
      <c r="B377" s="29" t="s">
        <v>1042</v>
      </c>
      <c r="D377" s="30"/>
    </row>
    <row r="378" spans="1:18" x14ac:dyDescent="0.3">
      <c r="A378" s="29" t="s">
        <v>431</v>
      </c>
      <c r="B378" s="29" t="s">
        <v>1042</v>
      </c>
      <c r="D378" s="30"/>
    </row>
    <row r="379" spans="1:18" x14ac:dyDescent="0.3">
      <c r="A379" s="29" t="s">
        <v>432</v>
      </c>
      <c r="B379" s="29">
        <v>1</v>
      </c>
      <c r="C379" s="29" t="s">
        <v>1030</v>
      </c>
      <c r="D379" s="30" t="s">
        <v>1053</v>
      </c>
      <c r="E379" s="29">
        <v>181</v>
      </c>
      <c r="G379" s="29" t="s">
        <v>1031</v>
      </c>
      <c r="H379" s="29">
        <v>1</v>
      </c>
      <c r="I379" s="29">
        <v>5.41</v>
      </c>
      <c r="J379" s="29">
        <v>0.97921000000000002</v>
      </c>
      <c r="K379" s="29">
        <v>0.97921000000000002</v>
      </c>
      <c r="L379" s="29" t="s">
        <v>1032</v>
      </c>
      <c r="M379" s="29">
        <v>1</v>
      </c>
      <c r="N379" s="29">
        <v>0.18099999999999999</v>
      </c>
      <c r="P379" s="29">
        <v>0.97921000000000002</v>
      </c>
      <c r="Q379" s="29" t="s">
        <v>1033</v>
      </c>
    </row>
    <row r="380" spans="1:18" x14ac:dyDescent="0.3">
      <c r="B380" s="29">
        <v>2</v>
      </c>
      <c r="C380" s="29" t="s">
        <v>1030</v>
      </c>
      <c r="D380" s="30" t="s">
        <v>1067</v>
      </c>
      <c r="E380" s="29">
        <v>309</v>
      </c>
      <c r="G380" s="29" t="s">
        <v>1034</v>
      </c>
      <c r="H380" s="29">
        <v>1</v>
      </c>
      <c r="I380" s="29">
        <v>7.48</v>
      </c>
      <c r="J380" s="29">
        <v>2.3113200000000003</v>
      </c>
      <c r="K380" s="29">
        <v>2.3113200000000003</v>
      </c>
      <c r="L380" s="29" t="s">
        <v>1032</v>
      </c>
      <c r="M380" s="29">
        <v>1</v>
      </c>
      <c r="N380" s="29">
        <v>0.309</v>
      </c>
      <c r="P380" s="29">
        <v>2.3113200000000003</v>
      </c>
      <c r="Q380" s="29" t="s">
        <v>1033</v>
      </c>
    </row>
    <row r="381" spans="1:18" x14ac:dyDescent="0.3">
      <c r="B381" s="29">
        <v>3</v>
      </c>
      <c r="C381" s="29" t="s">
        <v>1041</v>
      </c>
      <c r="D381" s="30">
        <v>9</v>
      </c>
      <c r="E381" s="29">
        <v>180</v>
      </c>
      <c r="F381" s="29">
        <v>180</v>
      </c>
      <c r="G381" s="29" t="s">
        <v>1035</v>
      </c>
      <c r="H381" s="29">
        <v>1</v>
      </c>
      <c r="J381" s="29">
        <v>2.2890600000000001</v>
      </c>
      <c r="K381" s="29">
        <v>2.2890600000000001</v>
      </c>
      <c r="L381" s="29" t="s">
        <v>1036</v>
      </c>
      <c r="M381" s="29">
        <v>1</v>
      </c>
      <c r="O381" s="29">
        <v>1</v>
      </c>
      <c r="P381" s="29">
        <v>2.2890600000000001</v>
      </c>
      <c r="Q381" s="29" t="s">
        <v>1037</v>
      </c>
      <c r="R381" t="s">
        <v>1130</v>
      </c>
    </row>
    <row r="382" spans="1:18" x14ac:dyDescent="0.3">
      <c r="B382" s="29">
        <v>4</v>
      </c>
      <c r="C382" s="29" t="s">
        <v>1038</v>
      </c>
      <c r="D382" s="30" t="s">
        <v>287</v>
      </c>
      <c r="G382" s="29" t="s">
        <v>1031</v>
      </c>
      <c r="H382" s="29">
        <v>4</v>
      </c>
      <c r="J382" s="29">
        <v>1</v>
      </c>
      <c r="K382" s="29">
        <v>4</v>
      </c>
      <c r="L382" s="29" t="s">
        <v>1039</v>
      </c>
      <c r="M382" s="29">
        <v>1</v>
      </c>
      <c r="O382" s="29">
        <v>4</v>
      </c>
      <c r="P382" s="29">
        <v>4</v>
      </c>
      <c r="Q382" s="29" t="s">
        <v>1040</v>
      </c>
    </row>
    <row r="383" spans="1:18" x14ac:dyDescent="0.3">
      <c r="B383" s="29">
        <v>5</v>
      </c>
      <c r="C383" s="29" t="s">
        <v>1068</v>
      </c>
      <c r="D383" s="29" t="s">
        <v>1073</v>
      </c>
      <c r="G383" s="29" t="s">
        <v>1070</v>
      </c>
      <c r="H383" s="29">
        <v>1</v>
      </c>
      <c r="J383" s="29">
        <v>20</v>
      </c>
      <c r="K383" s="29">
        <v>20</v>
      </c>
      <c r="L383" s="29" t="s">
        <v>1039</v>
      </c>
      <c r="M383" s="29">
        <v>1</v>
      </c>
      <c r="O383" s="29">
        <v>1</v>
      </c>
      <c r="P383" s="29">
        <v>20</v>
      </c>
      <c r="Q383" s="29" t="s">
        <v>1040</v>
      </c>
    </row>
    <row r="384" spans="1:18" x14ac:dyDescent="0.3">
      <c r="B384" s="29">
        <v>6</v>
      </c>
      <c r="C384" s="29" t="s">
        <v>1074</v>
      </c>
      <c r="D384" s="30" t="s">
        <v>1075</v>
      </c>
      <c r="G384" s="29" t="s">
        <v>1070</v>
      </c>
      <c r="H384" s="29">
        <v>2</v>
      </c>
      <c r="J384" s="29">
        <v>1</v>
      </c>
      <c r="K384" s="29">
        <v>2</v>
      </c>
      <c r="L384" s="29" t="s">
        <v>1039</v>
      </c>
      <c r="M384" s="29">
        <v>1</v>
      </c>
      <c r="O384" s="29">
        <v>2</v>
      </c>
      <c r="P384" s="29">
        <v>2</v>
      </c>
      <c r="Q384" s="29" t="s">
        <v>1033</v>
      </c>
    </row>
    <row r="385" spans="1:18" x14ac:dyDescent="0.3">
      <c r="B385" s="29">
        <v>7</v>
      </c>
      <c r="C385" s="29" t="s">
        <v>1076</v>
      </c>
      <c r="D385" s="30" t="s">
        <v>1077</v>
      </c>
      <c r="G385" s="29" t="s">
        <v>1078</v>
      </c>
      <c r="H385" s="29">
        <v>2</v>
      </c>
      <c r="J385" s="29">
        <v>1</v>
      </c>
      <c r="K385" s="29">
        <v>2</v>
      </c>
      <c r="L385" s="29" t="s">
        <v>1039</v>
      </c>
      <c r="M385" s="29">
        <v>1</v>
      </c>
      <c r="O385" s="29">
        <v>2</v>
      </c>
      <c r="P385" s="29">
        <v>2</v>
      </c>
      <c r="Q385" s="29" t="s">
        <v>1033</v>
      </c>
    </row>
    <row r="386" spans="1:18" x14ac:dyDescent="0.3">
      <c r="A386" s="29" t="s">
        <v>433</v>
      </c>
      <c r="B386" s="29">
        <v>1</v>
      </c>
      <c r="C386" s="29" t="s">
        <v>1030</v>
      </c>
      <c r="D386" s="30" t="s">
        <v>1053</v>
      </c>
      <c r="E386" s="29">
        <v>181</v>
      </c>
      <c r="G386" s="29" t="s">
        <v>1031</v>
      </c>
      <c r="H386" s="29">
        <v>1</v>
      </c>
      <c r="I386" s="29">
        <v>5.41</v>
      </c>
      <c r="J386" s="29">
        <v>0.97921000000000002</v>
      </c>
      <c r="K386" s="29">
        <v>0.97921000000000002</v>
      </c>
      <c r="L386" s="29" t="s">
        <v>1032</v>
      </c>
      <c r="M386" s="29">
        <v>1</v>
      </c>
      <c r="N386" s="29">
        <v>0.18099999999999999</v>
      </c>
      <c r="P386" s="29">
        <v>0.97921000000000002</v>
      </c>
      <c r="Q386" s="29" t="s">
        <v>1033</v>
      </c>
    </row>
    <row r="387" spans="1:18" x14ac:dyDescent="0.3">
      <c r="B387" s="29">
        <v>2</v>
      </c>
      <c r="C387" s="29" t="s">
        <v>1030</v>
      </c>
      <c r="D387" s="30" t="s">
        <v>1067</v>
      </c>
      <c r="E387" s="29">
        <v>909</v>
      </c>
      <c r="G387" s="29" t="s">
        <v>1034</v>
      </c>
      <c r="H387" s="29">
        <v>1</v>
      </c>
      <c r="I387" s="29">
        <v>7.48</v>
      </c>
      <c r="J387" s="29">
        <v>6.7993200000000007</v>
      </c>
      <c r="K387" s="29">
        <v>6.7993200000000007</v>
      </c>
      <c r="L387" s="29" t="s">
        <v>1032</v>
      </c>
      <c r="M387" s="29">
        <v>1</v>
      </c>
      <c r="N387" s="29">
        <v>0.90900000000000003</v>
      </c>
      <c r="P387" s="29">
        <v>6.7993200000000007</v>
      </c>
      <c r="Q387" s="29" t="s">
        <v>1033</v>
      </c>
    </row>
    <row r="388" spans="1:18" x14ac:dyDescent="0.3">
      <c r="B388" s="29">
        <v>3</v>
      </c>
      <c r="C388" s="29" t="s">
        <v>1041</v>
      </c>
      <c r="D388" s="30">
        <v>9</v>
      </c>
      <c r="E388" s="29">
        <v>180</v>
      </c>
      <c r="F388" s="29">
        <v>180</v>
      </c>
      <c r="G388" s="29" t="s">
        <v>1035</v>
      </c>
      <c r="H388" s="29">
        <v>1</v>
      </c>
      <c r="J388" s="29">
        <v>2.2890600000000001</v>
      </c>
      <c r="K388" s="29">
        <v>2.2890600000000001</v>
      </c>
      <c r="L388" s="29" t="s">
        <v>1036</v>
      </c>
      <c r="M388" s="29">
        <v>1</v>
      </c>
      <c r="O388" s="29">
        <v>1</v>
      </c>
      <c r="P388" s="29">
        <v>2.2890600000000001</v>
      </c>
      <c r="Q388" s="29" t="s">
        <v>1037</v>
      </c>
      <c r="R388" t="s">
        <v>1130</v>
      </c>
    </row>
    <row r="389" spans="1:18" x14ac:dyDescent="0.3">
      <c r="B389" s="29">
        <v>4</v>
      </c>
      <c r="C389" s="29" t="s">
        <v>1038</v>
      </c>
      <c r="D389" s="30" t="s">
        <v>287</v>
      </c>
      <c r="G389" s="29" t="s">
        <v>1031</v>
      </c>
      <c r="H389" s="29">
        <v>4</v>
      </c>
      <c r="J389" s="29">
        <v>1</v>
      </c>
      <c r="K389" s="29">
        <v>4</v>
      </c>
      <c r="L389" s="29" t="s">
        <v>1039</v>
      </c>
      <c r="M389" s="29">
        <v>1</v>
      </c>
      <c r="O389" s="29">
        <v>4</v>
      </c>
      <c r="P389" s="29">
        <v>4</v>
      </c>
      <c r="Q389" s="29" t="s">
        <v>1040</v>
      </c>
    </row>
    <row r="390" spans="1:18" x14ac:dyDescent="0.3">
      <c r="B390" s="29">
        <v>5</v>
      </c>
      <c r="C390" s="29" t="s">
        <v>1068</v>
      </c>
      <c r="D390" s="29" t="s">
        <v>1073</v>
      </c>
      <c r="G390" s="29" t="s">
        <v>1070</v>
      </c>
      <c r="H390" s="29">
        <v>1</v>
      </c>
      <c r="J390" s="29">
        <v>20</v>
      </c>
      <c r="K390" s="29">
        <v>20</v>
      </c>
      <c r="L390" s="29" t="s">
        <v>1039</v>
      </c>
      <c r="M390" s="29">
        <v>1</v>
      </c>
      <c r="O390" s="29">
        <v>1</v>
      </c>
      <c r="P390" s="29">
        <v>20</v>
      </c>
      <c r="Q390" s="29" t="s">
        <v>1040</v>
      </c>
    </row>
    <row r="391" spans="1:18" x14ac:dyDescent="0.3">
      <c r="B391" s="29">
        <v>6</v>
      </c>
      <c r="C391" s="29" t="s">
        <v>1074</v>
      </c>
      <c r="D391" s="30" t="s">
        <v>1075</v>
      </c>
      <c r="G391" s="29" t="s">
        <v>1070</v>
      </c>
      <c r="H391" s="29">
        <v>2</v>
      </c>
      <c r="J391" s="29">
        <v>1</v>
      </c>
      <c r="K391" s="29">
        <v>2</v>
      </c>
      <c r="L391" s="29" t="s">
        <v>1039</v>
      </c>
      <c r="M391" s="29">
        <v>1</v>
      </c>
      <c r="O391" s="29">
        <v>2</v>
      </c>
      <c r="P391" s="29">
        <v>2</v>
      </c>
      <c r="Q391" s="29" t="s">
        <v>1033</v>
      </c>
    </row>
    <row r="392" spans="1:18" x14ac:dyDescent="0.3">
      <c r="B392" s="29">
        <v>7</v>
      </c>
      <c r="C392" s="29" t="s">
        <v>1076</v>
      </c>
      <c r="D392" s="30" t="s">
        <v>1077</v>
      </c>
      <c r="G392" s="29" t="s">
        <v>1078</v>
      </c>
      <c r="H392" s="29">
        <v>2</v>
      </c>
      <c r="J392" s="29">
        <v>1</v>
      </c>
      <c r="K392" s="29">
        <v>2</v>
      </c>
      <c r="L392" s="29" t="s">
        <v>1039</v>
      </c>
      <c r="M392" s="29">
        <v>1</v>
      </c>
      <c r="O392" s="29">
        <v>2</v>
      </c>
      <c r="P392" s="29">
        <v>2</v>
      </c>
      <c r="Q392" s="29" t="s">
        <v>1033</v>
      </c>
    </row>
    <row r="393" spans="1:18" x14ac:dyDescent="0.3">
      <c r="A393" s="29" t="s">
        <v>434</v>
      </c>
      <c r="B393" s="29">
        <v>1</v>
      </c>
      <c r="C393" s="29" t="s">
        <v>1030</v>
      </c>
      <c r="D393" s="30" t="s">
        <v>1053</v>
      </c>
      <c r="E393" s="29">
        <v>197</v>
      </c>
      <c r="G393" s="29" t="s">
        <v>1031</v>
      </c>
      <c r="H393" s="29">
        <v>1</v>
      </c>
      <c r="I393" s="29">
        <v>5.41</v>
      </c>
      <c r="J393" s="29">
        <v>1.0657700000000001</v>
      </c>
      <c r="K393" s="29">
        <v>1.0657700000000001</v>
      </c>
      <c r="L393" s="29" t="s">
        <v>1032</v>
      </c>
      <c r="M393" s="29">
        <v>1</v>
      </c>
      <c r="N393" s="29">
        <v>0.19700000000000001</v>
      </c>
      <c r="P393" s="29">
        <v>1.0657700000000001</v>
      </c>
      <c r="Q393" s="29" t="s">
        <v>1033</v>
      </c>
    </row>
    <row r="394" spans="1:18" x14ac:dyDescent="0.3">
      <c r="B394" s="29">
        <v>2</v>
      </c>
      <c r="C394" s="29" t="s">
        <v>1030</v>
      </c>
      <c r="D394" s="30" t="s">
        <v>1067</v>
      </c>
      <c r="E394" s="29">
        <v>609</v>
      </c>
      <c r="G394" s="29" t="s">
        <v>1034</v>
      </c>
      <c r="H394" s="29">
        <v>1</v>
      </c>
      <c r="I394" s="29">
        <v>7.48</v>
      </c>
      <c r="J394" s="29">
        <v>4.55532</v>
      </c>
      <c r="K394" s="29">
        <v>4.55532</v>
      </c>
      <c r="L394" s="29" t="s">
        <v>1032</v>
      </c>
      <c r="M394" s="29">
        <v>1</v>
      </c>
      <c r="N394" s="29">
        <v>0.60899999999999999</v>
      </c>
      <c r="P394" s="29">
        <v>4.55532</v>
      </c>
      <c r="Q394" s="29" t="s">
        <v>1033</v>
      </c>
    </row>
    <row r="395" spans="1:18" x14ac:dyDescent="0.3">
      <c r="B395" s="29">
        <v>3</v>
      </c>
      <c r="C395" s="29" t="s">
        <v>1041</v>
      </c>
      <c r="D395" s="30">
        <v>9</v>
      </c>
      <c r="E395" s="29">
        <v>180</v>
      </c>
      <c r="F395" s="29">
        <v>180</v>
      </c>
      <c r="G395" s="29" t="s">
        <v>1035</v>
      </c>
      <c r="H395" s="29">
        <v>1</v>
      </c>
      <c r="J395" s="29">
        <v>2.2890600000000001</v>
      </c>
      <c r="K395" s="29">
        <v>2.2890600000000001</v>
      </c>
      <c r="L395" s="29" t="s">
        <v>1036</v>
      </c>
      <c r="M395" s="29">
        <v>1</v>
      </c>
      <c r="O395" s="29">
        <v>1</v>
      </c>
      <c r="P395" s="29">
        <v>2.2890600000000001</v>
      </c>
      <c r="Q395" s="29" t="s">
        <v>1037</v>
      </c>
      <c r="R395" t="s">
        <v>1130</v>
      </c>
    </row>
    <row r="396" spans="1:18" x14ac:dyDescent="0.3">
      <c r="B396" s="29">
        <v>4</v>
      </c>
      <c r="C396" s="29" t="s">
        <v>1038</v>
      </c>
      <c r="D396" s="30" t="s">
        <v>287</v>
      </c>
      <c r="G396" s="29" t="s">
        <v>1031</v>
      </c>
      <c r="H396" s="29">
        <v>4</v>
      </c>
      <c r="J396" s="29">
        <v>1</v>
      </c>
      <c r="K396" s="29">
        <v>4</v>
      </c>
      <c r="L396" s="29" t="s">
        <v>1039</v>
      </c>
      <c r="M396" s="29">
        <v>1</v>
      </c>
      <c r="O396" s="29">
        <v>4</v>
      </c>
      <c r="P396" s="29">
        <v>4</v>
      </c>
      <c r="Q396" s="29" t="s">
        <v>1040</v>
      </c>
    </row>
    <row r="397" spans="1:18" x14ac:dyDescent="0.3">
      <c r="B397" s="29">
        <v>5</v>
      </c>
      <c r="C397" s="29" t="s">
        <v>1068</v>
      </c>
      <c r="D397" s="29" t="s">
        <v>1073</v>
      </c>
      <c r="G397" s="29" t="s">
        <v>1070</v>
      </c>
      <c r="H397" s="29">
        <v>1</v>
      </c>
      <c r="J397" s="29">
        <v>20</v>
      </c>
      <c r="K397" s="29">
        <v>20</v>
      </c>
      <c r="L397" s="29" t="s">
        <v>1039</v>
      </c>
      <c r="M397" s="29">
        <v>1</v>
      </c>
      <c r="O397" s="29">
        <v>1</v>
      </c>
      <c r="P397" s="29">
        <v>20</v>
      </c>
      <c r="Q397" s="29" t="s">
        <v>1040</v>
      </c>
    </row>
    <row r="398" spans="1:18" x14ac:dyDescent="0.3">
      <c r="B398" s="29">
        <v>6</v>
      </c>
      <c r="C398" s="29" t="s">
        <v>1074</v>
      </c>
      <c r="D398" s="29" t="s">
        <v>1075</v>
      </c>
      <c r="G398" s="29" t="s">
        <v>1070</v>
      </c>
      <c r="H398" s="29">
        <v>2</v>
      </c>
      <c r="J398" s="29">
        <v>1</v>
      </c>
      <c r="K398" s="29">
        <v>2</v>
      </c>
      <c r="L398" s="29" t="s">
        <v>1039</v>
      </c>
      <c r="M398" s="29">
        <v>1</v>
      </c>
      <c r="O398" s="29">
        <v>2</v>
      </c>
      <c r="P398" s="29">
        <v>2</v>
      </c>
      <c r="Q398" s="29" t="s">
        <v>1033</v>
      </c>
    </row>
    <row r="399" spans="1:18" x14ac:dyDescent="0.3">
      <c r="B399" s="29">
        <v>7</v>
      </c>
      <c r="C399" s="29" t="s">
        <v>1076</v>
      </c>
      <c r="D399" s="29" t="s">
        <v>1077</v>
      </c>
      <c r="G399" s="29" t="s">
        <v>1078</v>
      </c>
      <c r="H399" s="29">
        <v>2</v>
      </c>
      <c r="J399" s="29">
        <v>1</v>
      </c>
      <c r="K399" s="29">
        <v>2</v>
      </c>
      <c r="L399" s="29" t="s">
        <v>1039</v>
      </c>
      <c r="M399" s="29">
        <v>1</v>
      </c>
      <c r="O399" s="29">
        <v>2</v>
      </c>
      <c r="P399" s="29">
        <v>2</v>
      </c>
      <c r="Q399" s="29" t="s">
        <v>1033</v>
      </c>
    </row>
    <row r="400" spans="1:18" x14ac:dyDescent="0.3">
      <c r="A400" s="29" t="s">
        <v>435</v>
      </c>
      <c r="B400" s="29">
        <v>1</v>
      </c>
      <c r="C400" s="29" t="s">
        <v>1030</v>
      </c>
      <c r="D400" s="29" t="s">
        <v>1079</v>
      </c>
      <c r="E400" s="29">
        <v>1262</v>
      </c>
      <c r="G400" s="29" t="s">
        <v>1031</v>
      </c>
      <c r="H400" s="29">
        <v>1</v>
      </c>
      <c r="I400" s="29">
        <v>73.86</v>
      </c>
      <c r="J400" s="29">
        <v>93.211320000000001</v>
      </c>
      <c r="K400" s="29">
        <v>93.211320000000001</v>
      </c>
      <c r="L400" s="29" t="s">
        <v>1032</v>
      </c>
      <c r="M400" s="29">
        <v>1</v>
      </c>
      <c r="N400" s="29">
        <v>1.262</v>
      </c>
      <c r="P400" s="29">
        <v>93.211320000000001</v>
      </c>
      <c r="Q400" s="29" t="s">
        <v>1033</v>
      </c>
    </row>
    <row r="401" spans="1:17" x14ac:dyDescent="0.3">
      <c r="B401" s="29">
        <v>2</v>
      </c>
      <c r="C401" s="29" t="s">
        <v>1063</v>
      </c>
      <c r="D401" s="29" t="s">
        <v>1080</v>
      </c>
      <c r="E401" s="29">
        <v>600</v>
      </c>
      <c r="G401" s="29" t="s">
        <v>1035</v>
      </c>
      <c r="H401" s="29">
        <v>1</v>
      </c>
      <c r="I401" s="29">
        <v>30.3</v>
      </c>
      <c r="J401" s="29">
        <v>18.18</v>
      </c>
      <c r="K401" s="29">
        <v>18.18</v>
      </c>
      <c r="L401" s="29" t="s">
        <v>1032</v>
      </c>
      <c r="M401" s="29">
        <v>1</v>
      </c>
      <c r="N401" s="29">
        <v>0.6</v>
      </c>
      <c r="O401" s="29">
        <v>1</v>
      </c>
      <c r="P401" s="29">
        <v>18.18</v>
      </c>
      <c r="Q401" s="29" t="s">
        <v>1033</v>
      </c>
    </row>
    <row r="402" spans="1:17" x14ac:dyDescent="0.3">
      <c r="B402" s="29">
        <v>3</v>
      </c>
      <c r="C402" s="29" t="s">
        <v>1081</v>
      </c>
      <c r="D402" s="29">
        <v>19</v>
      </c>
      <c r="E402" s="29">
        <v>240</v>
      </c>
      <c r="F402" s="29">
        <v>190</v>
      </c>
      <c r="G402" s="29" t="s">
        <v>1035</v>
      </c>
      <c r="H402" s="29">
        <v>1</v>
      </c>
      <c r="J402" s="29">
        <v>6.80124</v>
      </c>
      <c r="K402" s="29">
        <v>6.80124</v>
      </c>
      <c r="L402" s="29" t="s">
        <v>1036</v>
      </c>
      <c r="M402" s="29">
        <v>1</v>
      </c>
      <c r="O402" s="29">
        <v>1</v>
      </c>
      <c r="P402" s="29">
        <v>6.80124</v>
      </c>
      <c r="Q402" s="29" t="s">
        <v>1037</v>
      </c>
    </row>
    <row r="403" spans="1:17" x14ac:dyDescent="0.3">
      <c r="B403" s="29">
        <v>4</v>
      </c>
      <c r="C403" s="29" t="s">
        <v>1082</v>
      </c>
      <c r="D403" s="29">
        <v>6</v>
      </c>
      <c r="E403" s="29">
        <v>260</v>
      </c>
      <c r="F403" s="29">
        <v>250</v>
      </c>
      <c r="G403" s="29" t="s">
        <v>1035</v>
      </c>
      <c r="H403" s="29">
        <v>1</v>
      </c>
      <c r="J403" s="29">
        <v>3.0614999999999997</v>
      </c>
      <c r="K403" s="29">
        <v>3.0614999999999997</v>
      </c>
      <c r="L403" s="29" t="s">
        <v>1036</v>
      </c>
      <c r="M403" s="29">
        <v>1</v>
      </c>
      <c r="O403" s="29">
        <v>1</v>
      </c>
      <c r="P403" s="29">
        <v>3.0614999999999997</v>
      </c>
      <c r="Q403" s="29" t="s">
        <v>1037</v>
      </c>
    </row>
    <row r="404" spans="1:17" x14ac:dyDescent="0.3">
      <c r="B404" s="29">
        <v>5</v>
      </c>
      <c r="C404" s="29" t="s">
        <v>1083</v>
      </c>
      <c r="D404" s="29">
        <v>19</v>
      </c>
      <c r="E404" s="29">
        <v>500</v>
      </c>
      <c r="F404" s="29">
        <v>500</v>
      </c>
      <c r="G404" s="29" t="s">
        <v>1035</v>
      </c>
      <c r="H404" s="29">
        <v>1</v>
      </c>
      <c r="J404" s="29">
        <v>37.287500000000001</v>
      </c>
      <c r="K404" s="29">
        <v>37.287500000000001</v>
      </c>
      <c r="L404" s="29" t="s">
        <v>1036</v>
      </c>
      <c r="M404" s="29">
        <v>1</v>
      </c>
      <c r="O404" s="29">
        <v>1</v>
      </c>
      <c r="P404" s="29">
        <v>37.287500000000001</v>
      </c>
      <c r="Q404" s="29" t="s">
        <v>1037</v>
      </c>
    </row>
    <row r="405" spans="1:17" x14ac:dyDescent="0.3">
      <c r="B405" s="29">
        <v>6</v>
      </c>
      <c r="C405" s="29" t="s">
        <v>1084</v>
      </c>
      <c r="D405" s="29">
        <v>19</v>
      </c>
      <c r="E405" s="29">
        <v>345</v>
      </c>
      <c r="F405" s="29">
        <v>345</v>
      </c>
      <c r="G405" s="29" t="s">
        <v>1035</v>
      </c>
      <c r="H405" s="29">
        <v>1</v>
      </c>
      <c r="J405" s="29">
        <v>17.752578749999998</v>
      </c>
      <c r="K405" s="29">
        <v>17.752578749999998</v>
      </c>
      <c r="L405" s="29" t="s">
        <v>1036</v>
      </c>
      <c r="M405" s="29">
        <v>1</v>
      </c>
      <c r="O405" s="29">
        <v>1</v>
      </c>
      <c r="P405" s="29">
        <v>17.752578749999998</v>
      </c>
      <c r="Q405" s="29" t="s">
        <v>1037</v>
      </c>
    </row>
    <row r="406" spans="1:17" x14ac:dyDescent="0.3">
      <c r="A406" s="29" t="s">
        <v>436</v>
      </c>
      <c r="B406" s="29">
        <v>1</v>
      </c>
      <c r="C406" s="29" t="s">
        <v>1030</v>
      </c>
      <c r="D406" s="29" t="s">
        <v>1058</v>
      </c>
      <c r="E406" s="29">
        <v>251</v>
      </c>
      <c r="G406" s="29" t="s">
        <v>1031</v>
      </c>
      <c r="H406" s="29">
        <v>1</v>
      </c>
      <c r="I406" s="29">
        <v>16.079999999999998</v>
      </c>
      <c r="J406" s="29">
        <v>4.0360799999999992</v>
      </c>
      <c r="K406" s="29">
        <v>4.0360799999999992</v>
      </c>
      <c r="L406" s="29" t="s">
        <v>1032</v>
      </c>
      <c r="M406" s="29">
        <v>1</v>
      </c>
      <c r="N406" s="29">
        <v>0.251</v>
      </c>
      <c r="P406" s="29">
        <v>4.0360799999999992</v>
      </c>
      <c r="Q406" s="29" t="s">
        <v>1033</v>
      </c>
    </row>
    <row r="407" spans="1:17" x14ac:dyDescent="0.3">
      <c r="B407" s="29">
        <v>2</v>
      </c>
      <c r="C407" s="29" t="s">
        <v>1063</v>
      </c>
      <c r="D407" s="29" t="s">
        <v>1064</v>
      </c>
      <c r="E407" s="29">
        <v>400</v>
      </c>
      <c r="G407" s="29" t="s">
        <v>1035</v>
      </c>
      <c r="H407" s="29">
        <v>1</v>
      </c>
      <c r="I407" s="29">
        <v>13.4</v>
      </c>
      <c r="J407" s="29">
        <v>5.36</v>
      </c>
      <c r="K407" s="29">
        <v>5.36</v>
      </c>
      <c r="L407" s="29" t="s">
        <v>1032</v>
      </c>
      <c r="M407" s="29">
        <v>1</v>
      </c>
      <c r="N407" s="29">
        <v>0.4</v>
      </c>
      <c r="O407" s="29">
        <v>1</v>
      </c>
      <c r="P407" s="29">
        <v>5.36</v>
      </c>
      <c r="Q407" s="29" t="s">
        <v>1033</v>
      </c>
    </row>
    <row r="408" spans="1:17" x14ac:dyDescent="0.3">
      <c r="B408" s="29">
        <v>3</v>
      </c>
      <c r="C408" s="29" t="s">
        <v>1081</v>
      </c>
      <c r="D408" s="29">
        <v>12</v>
      </c>
      <c r="E408" s="29">
        <v>170</v>
      </c>
      <c r="F408" s="29">
        <v>120</v>
      </c>
      <c r="G408" s="29" t="s">
        <v>1035</v>
      </c>
      <c r="H408" s="29">
        <v>1</v>
      </c>
      <c r="J408" s="29">
        <v>1.9216799999999998</v>
      </c>
      <c r="K408" s="29">
        <v>1.9216799999999998</v>
      </c>
      <c r="L408" s="29" t="s">
        <v>1036</v>
      </c>
      <c r="M408" s="29">
        <v>1</v>
      </c>
      <c r="O408" s="29">
        <v>1</v>
      </c>
      <c r="P408" s="29">
        <v>1.9216799999999998</v>
      </c>
      <c r="Q408" s="29" t="s">
        <v>1037</v>
      </c>
    </row>
    <row r="409" spans="1:17" x14ac:dyDescent="0.3">
      <c r="B409" s="29">
        <v>4</v>
      </c>
      <c r="C409" s="29" t="s">
        <v>1082</v>
      </c>
      <c r="D409" s="29">
        <v>6</v>
      </c>
      <c r="E409" s="29">
        <v>185</v>
      </c>
      <c r="F409" s="29">
        <v>85</v>
      </c>
      <c r="G409" s="29" t="s">
        <v>1035</v>
      </c>
      <c r="H409" s="29">
        <v>1</v>
      </c>
      <c r="J409" s="29">
        <v>0.74064750000000001</v>
      </c>
      <c r="K409" s="29">
        <v>0.74064750000000001</v>
      </c>
      <c r="L409" s="29" t="s">
        <v>1036</v>
      </c>
      <c r="M409" s="29">
        <v>1</v>
      </c>
      <c r="O409" s="29">
        <v>1</v>
      </c>
      <c r="P409" s="29">
        <v>0.74064750000000001</v>
      </c>
      <c r="Q409" s="29" t="s">
        <v>1037</v>
      </c>
    </row>
    <row r="410" spans="1:17" x14ac:dyDescent="0.3">
      <c r="B410" s="29">
        <v>5</v>
      </c>
      <c r="C410" s="29" t="s">
        <v>1083</v>
      </c>
      <c r="D410" s="30">
        <v>12</v>
      </c>
      <c r="E410" s="29">
        <v>260</v>
      </c>
      <c r="F410" s="29">
        <v>260</v>
      </c>
      <c r="G410" s="29" t="s">
        <v>1035</v>
      </c>
      <c r="H410" s="29">
        <v>1</v>
      </c>
      <c r="J410" s="29">
        <v>6.3679199999999998</v>
      </c>
      <c r="K410" s="29">
        <v>6.3679199999999998</v>
      </c>
      <c r="L410" s="29" t="s">
        <v>1036</v>
      </c>
      <c r="M410" s="29">
        <v>1</v>
      </c>
      <c r="O410" s="29">
        <v>1</v>
      </c>
      <c r="P410" s="29">
        <v>6.3679199999999998</v>
      </c>
      <c r="Q410" s="29" t="s">
        <v>1037</v>
      </c>
    </row>
    <row r="411" spans="1:17" x14ac:dyDescent="0.3">
      <c r="B411" s="29">
        <v>6</v>
      </c>
      <c r="C411" s="29" t="s">
        <v>1084</v>
      </c>
      <c r="D411" s="30">
        <v>12</v>
      </c>
      <c r="E411" s="29">
        <v>135</v>
      </c>
      <c r="F411" s="29">
        <v>135</v>
      </c>
      <c r="G411" s="29" t="s">
        <v>1035</v>
      </c>
      <c r="H411" s="29">
        <v>1</v>
      </c>
      <c r="J411" s="29">
        <v>1.7167949999999998</v>
      </c>
      <c r="K411" s="29">
        <v>1.7167949999999998</v>
      </c>
      <c r="L411" s="29" t="s">
        <v>1036</v>
      </c>
      <c r="M411" s="29">
        <v>1</v>
      </c>
      <c r="O411" s="29">
        <v>1</v>
      </c>
      <c r="P411" s="29">
        <v>1.7167949999999998</v>
      </c>
      <c r="Q411" s="29" t="s">
        <v>1037</v>
      </c>
    </row>
    <row r="412" spans="1:17" x14ac:dyDescent="0.3">
      <c r="A412" s="29" t="s">
        <v>437</v>
      </c>
      <c r="B412" s="29">
        <v>1</v>
      </c>
      <c r="C412" s="29" t="s">
        <v>1030</v>
      </c>
      <c r="D412" s="30" t="s">
        <v>1058</v>
      </c>
      <c r="E412" s="29">
        <v>2251</v>
      </c>
      <c r="G412" s="29" t="s">
        <v>1031</v>
      </c>
      <c r="H412" s="29">
        <v>1</v>
      </c>
      <c r="I412" s="29">
        <v>16.079999999999998</v>
      </c>
      <c r="J412" s="29">
        <v>36.196079999999995</v>
      </c>
      <c r="K412" s="29">
        <v>36.196079999999995</v>
      </c>
      <c r="L412" s="29" t="s">
        <v>1032</v>
      </c>
      <c r="M412" s="29">
        <v>1</v>
      </c>
      <c r="N412" s="29">
        <v>2.2509999999999999</v>
      </c>
      <c r="P412" s="29">
        <v>36.196079999999995</v>
      </c>
      <c r="Q412" s="29" t="s">
        <v>1033</v>
      </c>
    </row>
    <row r="413" spans="1:17" x14ac:dyDescent="0.3">
      <c r="B413" s="29">
        <v>2</v>
      </c>
      <c r="C413" s="29" t="s">
        <v>1063</v>
      </c>
      <c r="D413" s="30" t="s">
        <v>1064</v>
      </c>
      <c r="E413" s="29">
        <v>500</v>
      </c>
      <c r="G413" s="29" t="s">
        <v>1035</v>
      </c>
      <c r="H413" s="29">
        <v>1</v>
      </c>
      <c r="I413" s="29">
        <v>13.4</v>
      </c>
      <c r="J413" s="29">
        <v>6.7</v>
      </c>
      <c r="K413" s="29">
        <v>6.7</v>
      </c>
      <c r="L413" s="29" t="s">
        <v>1032</v>
      </c>
      <c r="M413" s="29">
        <v>1</v>
      </c>
      <c r="N413" s="29">
        <v>0.5</v>
      </c>
      <c r="O413" s="29">
        <v>1</v>
      </c>
      <c r="P413" s="29">
        <v>6.7</v>
      </c>
      <c r="Q413" s="29" t="s">
        <v>1033</v>
      </c>
    </row>
    <row r="414" spans="1:17" x14ac:dyDescent="0.3">
      <c r="B414" s="29">
        <v>3</v>
      </c>
      <c r="C414" s="29" t="s">
        <v>1081</v>
      </c>
      <c r="D414" s="29">
        <v>12</v>
      </c>
      <c r="E414" s="29">
        <v>170</v>
      </c>
      <c r="F414" s="29">
        <v>120</v>
      </c>
      <c r="G414" s="29" t="s">
        <v>1035</v>
      </c>
      <c r="H414" s="29">
        <v>1</v>
      </c>
      <c r="J414" s="29">
        <v>1.9216799999999998</v>
      </c>
      <c r="K414" s="29">
        <v>1.9216799999999998</v>
      </c>
      <c r="L414" s="29" t="s">
        <v>1036</v>
      </c>
      <c r="M414" s="29">
        <v>1</v>
      </c>
      <c r="O414" s="29">
        <v>1</v>
      </c>
      <c r="P414" s="29">
        <v>1.9216799999999998</v>
      </c>
      <c r="Q414" s="29" t="s">
        <v>1037</v>
      </c>
    </row>
    <row r="415" spans="1:17" x14ac:dyDescent="0.3">
      <c r="B415" s="29">
        <v>4</v>
      </c>
      <c r="C415" s="29" t="s">
        <v>1082</v>
      </c>
      <c r="D415" s="30">
        <v>6</v>
      </c>
      <c r="E415" s="29">
        <v>185</v>
      </c>
      <c r="F415" s="29">
        <v>85</v>
      </c>
      <c r="G415" s="29" t="s">
        <v>1035</v>
      </c>
      <c r="H415" s="29">
        <v>1</v>
      </c>
      <c r="J415" s="29">
        <v>0.74064750000000001</v>
      </c>
      <c r="K415" s="29">
        <v>0.74064750000000001</v>
      </c>
      <c r="L415" s="29" t="s">
        <v>1036</v>
      </c>
      <c r="M415" s="29">
        <v>1</v>
      </c>
      <c r="O415" s="29">
        <v>1</v>
      </c>
      <c r="P415" s="29">
        <v>0.74064750000000001</v>
      </c>
      <c r="Q415" s="29" t="s">
        <v>1037</v>
      </c>
    </row>
    <row r="416" spans="1:17" x14ac:dyDescent="0.3">
      <c r="B416" s="29">
        <v>5</v>
      </c>
      <c r="C416" s="29" t="s">
        <v>1083</v>
      </c>
      <c r="D416" s="30">
        <v>12</v>
      </c>
      <c r="E416" s="29">
        <v>260</v>
      </c>
      <c r="F416" s="29">
        <v>260</v>
      </c>
      <c r="G416" s="29" t="s">
        <v>1035</v>
      </c>
      <c r="H416" s="29">
        <v>1</v>
      </c>
      <c r="J416" s="29">
        <v>6.3679199999999998</v>
      </c>
      <c r="K416" s="29">
        <v>6.3679199999999998</v>
      </c>
      <c r="L416" s="29" t="s">
        <v>1036</v>
      </c>
      <c r="M416" s="29">
        <v>1</v>
      </c>
      <c r="O416" s="29">
        <v>1</v>
      </c>
      <c r="P416" s="29">
        <v>6.3679199999999998</v>
      </c>
      <c r="Q416" s="29" t="s">
        <v>1037</v>
      </c>
    </row>
    <row r="417" spans="1:17" x14ac:dyDescent="0.3">
      <c r="B417" s="29">
        <v>6</v>
      </c>
      <c r="C417" s="29" t="s">
        <v>1084</v>
      </c>
      <c r="D417" s="29">
        <v>12</v>
      </c>
      <c r="E417" s="29">
        <v>135</v>
      </c>
      <c r="F417" s="29">
        <v>135</v>
      </c>
      <c r="G417" s="29" t="s">
        <v>1035</v>
      </c>
      <c r="H417" s="29">
        <v>1</v>
      </c>
      <c r="J417" s="29">
        <v>1.7167949999999998</v>
      </c>
      <c r="K417" s="29">
        <v>1.7167949999999998</v>
      </c>
      <c r="L417" s="29" t="s">
        <v>1036</v>
      </c>
      <c r="M417" s="29">
        <v>1</v>
      </c>
      <c r="O417" s="29">
        <v>1</v>
      </c>
      <c r="P417" s="29">
        <v>1.7167949999999998</v>
      </c>
      <c r="Q417" s="29" t="s">
        <v>1037</v>
      </c>
    </row>
    <row r="418" spans="1:17" x14ac:dyDescent="0.3">
      <c r="A418" s="29" t="s">
        <v>438</v>
      </c>
      <c r="B418" s="29">
        <v>1</v>
      </c>
      <c r="C418" s="29" t="s">
        <v>1030</v>
      </c>
      <c r="D418" s="30" t="s">
        <v>1058</v>
      </c>
      <c r="E418" s="29">
        <v>2251</v>
      </c>
      <c r="G418" s="29" t="s">
        <v>1031</v>
      </c>
      <c r="H418" s="29">
        <v>1</v>
      </c>
      <c r="I418" s="29">
        <v>16.079999999999998</v>
      </c>
      <c r="J418" s="29">
        <v>36.196079999999995</v>
      </c>
      <c r="K418" s="29">
        <v>36.196079999999995</v>
      </c>
      <c r="L418" s="29" t="s">
        <v>1032</v>
      </c>
      <c r="M418" s="29">
        <v>1</v>
      </c>
      <c r="N418" s="29">
        <v>2.2509999999999999</v>
      </c>
      <c r="P418" s="29">
        <v>36.196079999999995</v>
      </c>
      <c r="Q418" s="29" t="s">
        <v>1033</v>
      </c>
    </row>
    <row r="419" spans="1:17" x14ac:dyDescent="0.3">
      <c r="B419" s="29">
        <v>2</v>
      </c>
      <c r="C419" s="29" t="s">
        <v>1063</v>
      </c>
      <c r="D419" s="30" t="s">
        <v>1064</v>
      </c>
      <c r="E419" s="29">
        <v>1000</v>
      </c>
      <c r="G419" s="29" t="s">
        <v>1035</v>
      </c>
      <c r="H419" s="29">
        <v>1</v>
      </c>
      <c r="I419" s="29">
        <v>13.4</v>
      </c>
      <c r="J419" s="29">
        <v>13.4</v>
      </c>
      <c r="K419" s="29">
        <v>13.4</v>
      </c>
      <c r="L419" s="29" t="s">
        <v>1032</v>
      </c>
      <c r="M419" s="29">
        <v>1</v>
      </c>
      <c r="N419" s="29">
        <v>1</v>
      </c>
      <c r="O419" s="29">
        <v>1</v>
      </c>
      <c r="P419" s="29">
        <v>13.4</v>
      </c>
      <c r="Q419" s="29" t="s">
        <v>1033</v>
      </c>
    </row>
    <row r="420" spans="1:17" x14ac:dyDescent="0.3">
      <c r="B420" s="29">
        <v>3</v>
      </c>
      <c r="C420" s="29" t="s">
        <v>1081</v>
      </c>
      <c r="D420" s="29">
        <v>12</v>
      </c>
      <c r="E420" s="29">
        <v>170</v>
      </c>
      <c r="F420" s="29">
        <v>120</v>
      </c>
      <c r="G420" s="29" t="s">
        <v>1035</v>
      </c>
      <c r="H420" s="29">
        <v>1</v>
      </c>
      <c r="J420" s="29">
        <v>1.9216799999999998</v>
      </c>
      <c r="K420" s="29">
        <v>1.9216799999999998</v>
      </c>
      <c r="L420" s="29" t="s">
        <v>1036</v>
      </c>
      <c r="M420" s="29">
        <v>1</v>
      </c>
      <c r="O420" s="29">
        <v>1</v>
      </c>
      <c r="P420" s="29">
        <v>1.9216799999999998</v>
      </c>
      <c r="Q420" s="29" t="s">
        <v>1037</v>
      </c>
    </row>
    <row r="421" spans="1:17" x14ac:dyDescent="0.3">
      <c r="B421" s="29">
        <v>4</v>
      </c>
      <c r="C421" s="29" t="s">
        <v>1082</v>
      </c>
      <c r="D421" s="30">
        <v>6</v>
      </c>
      <c r="E421" s="29">
        <v>185</v>
      </c>
      <c r="F421" s="29">
        <v>85</v>
      </c>
      <c r="G421" s="29" t="s">
        <v>1035</v>
      </c>
      <c r="H421" s="29">
        <v>1</v>
      </c>
      <c r="J421" s="29">
        <v>0.74064750000000001</v>
      </c>
      <c r="K421" s="29">
        <v>0.74064750000000001</v>
      </c>
      <c r="L421" s="29" t="s">
        <v>1036</v>
      </c>
      <c r="M421" s="29">
        <v>1</v>
      </c>
      <c r="O421" s="29">
        <v>1</v>
      </c>
      <c r="P421" s="29">
        <v>0.74064750000000001</v>
      </c>
      <c r="Q421" s="29" t="s">
        <v>1037</v>
      </c>
    </row>
    <row r="422" spans="1:17" x14ac:dyDescent="0.3">
      <c r="B422" s="29">
        <v>5</v>
      </c>
      <c r="C422" s="29" t="s">
        <v>1083</v>
      </c>
      <c r="D422" s="30">
        <v>12</v>
      </c>
      <c r="E422" s="29">
        <v>260</v>
      </c>
      <c r="F422" s="29">
        <v>260</v>
      </c>
      <c r="G422" s="29" t="s">
        <v>1035</v>
      </c>
      <c r="H422" s="29">
        <v>1</v>
      </c>
      <c r="J422" s="29">
        <v>6.3679199999999998</v>
      </c>
      <c r="K422" s="29">
        <v>6.3679199999999998</v>
      </c>
      <c r="L422" s="29" t="s">
        <v>1036</v>
      </c>
      <c r="M422" s="29">
        <v>1</v>
      </c>
      <c r="O422" s="29">
        <v>1</v>
      </c>
      <c r="P422" s="29">
        <v>6.3679199999999998</v>
      </c>
      <c r="Q422" s="29" t="s">
        <v>1037</v>
      </c>
    </row>
    <row r="423" spans="1:17" x14ac:dyDescent="0.3">
      <c r="B423" s="29">
        <v>6</v>
      </c>
      <c r="C423" s="29" t="s">
        <v>1084</v>
      </c>
      <c r="D423" s="29">
        <v>12</v>
      </c>
      <c r="E423" s="29">
        <v>135</v>
      </c>
      <c r="F423" s="29">
        <v>135</v>
      </c>
      <c r="G423" s="29" t="s">
        <v>1035</v>
      </c>
      <c r="H423" s="29">
        <v>1</v>
      </c>
      <c r="J423" s="29">
        <v>1.7167949999999998</v>
      </c>
      <c r="K423" s="29">
        <v>1.7167949999999998</v>
      </c>
      <c r="L423" s="29" t="s">
        <v>1036</v>
      </c>
      <c r="M423" s="29">
        <v>1</v>
      </c>
      <c r="O423" s="29">
        <v>1</v>
      </c>
      <c r="P423" s="29">
        <v>1.7167949999999998</v>
      </c>
      <c r="Q423" s="29" t="s">
        <v>1037</v>
      </c>
    </row>
    <row r="424" spans="1:17" x14ac:dyDescent="0.3">
      <c r="A424" s="29" t="s">
        <v>439</v>
      </c>
      <c r="B424" s="29">
        <v>1</v>
      </c>
      <c r="C424" s="29" t="s">
        <v>1030</v>
      </c>
      <c r="D424" s="30" t="s">
        <v>1048</v>
      </c>
      <c r="E424" s="29">
        <v>368</v>
      </c>
      <c r="G424" s="29" t="s">
        <v>1031</v>
      </c>
      <c r="H424" s="29">
        <v>1</v>
      </c>
      <c r="I424" s="29">
        <v>42.55</v>
      </c>
      <c r="J424" s="29">
        <v>15.658399999999999</v>
      </c>
      <c r="K424" s="29">
        <v>15.658399999999999</v>
      </c>
      <c r="L424" s="29" t="s">
        <v>1032</v>
      </c>
      <c r="M424" s="29">
        <v>1</v>
      </c>
      <c r="N424" s="29">
        <v>0.36799999999999999</v>
      </c>
      <c r="P424" s="29">
        <v>15.658399999999999</v>
      </c>
      <c r="Q424" s="29" t="s">
        <v>1033</v>
      </c>
    </row>
    <row r="425" spans="1:17" x14ac:dyDescent="0.3">
      <c r="B425" s="29">
        <v>2</v>
      </c>
      <c r="C425" s="29" t="s">
        <v>1063</v>
      </c>
      <c r="D425" s="30" t="s">
        <v>1080</v>
      </c>
      <c r="E425" s="29">
        <v>400</v>
      </c>
      <c r="G425" s="29" t="s">
        <v>1035</v>
      </c>
      <c r="H425" s="29">
        <v>1</v>
      </c>
      <c r="I425" s="29">
        <v>30.3</v>
      </c>
      <c r="J425" s="29">
        <v>12.120000000000001</v>
      </c>
      <c r="K425" s="29">
        <v>12.120000000000001</v>
      </c>
      <c r="L425" s="29" t="s">
        <v>1032</v>
      </c>
      <c r="M425" s="29">
        <v>1</v>
      </c>
      <c r="N425" s="29">
        <v>0.4</v>
      </c>
      <c r="O425" s="29">
        <v>1</v>
      </c>
      <c r="P425" s="29">
        <v>12.120000000000001</v>
      </c>
      <c r="Q425" s="29" t="s">
        <v>1033</v>
      </c>
    </row>
    <row r="426" spans="1:17" x14ac:dyDescent="0.3">
      <c r="B426" s="29">
        <v>3</v>
      </c>
      <c r="C426" s="29" t="s">
        <v>1081</v>
      </c>
      <c r="D426" s="29">
        <v>16</v>
      </c>
      <c r="E426" s="29">
        <v>210</v>
      </c>
      <c r="F426" s="29">
        <v>150</v>
      </c>
      <c r="G426" s="29" t="s">
        <v>1035</v>
      </c>
      <c r="H426" s="29">
        <v>1</v>
      </c>
      <c r="J426" s="29">
        <v>3.9563999999999999</v>
      </c>
      <c r="K426" s="29">
        <v>3.9563999999999999</v>
      </c>
      <c r="L426" s="29" t="s">
        <v>1036</v>
      </c>
      <c r="M426" s="29">
        <v>1</v>
      </c>
      <c r="O426" s="29">
        <v>1</v>
      </c>
      <c r="P426" s="29">
        <v>3.9563999999999999</v>
      </c>
      <c r="Q426" s="29" t="s">
        <v>1037</v>
      </c>
    </row>
    <row r="427" spans="1:17" x14ac:dyDescent="0.3">
      <c r="B427" s="29">
        <v>4</v>
      </c>
      <c r="C427" s="29" t="s">
        <v>1082</v>
      </c>
      <c r="D427" s="30">
        <v>6</v>
      </c>
      <c r="E427" s="29">
        <v>260</v>
      </c>
      <c r="F427" s="29">
        <v>110</v>
      </c>
      <c r="G427" s="29" t="s">
        <v>1035</v>
      </c>
      <c r="H427" s="29">
        <v>1</v>
      </c>
      <c r="J427" s="29">
        <v>1.3470599999999999</v>
      </c>
      <c r="K427" s="29">
        <v>1.3470599999999999</v>
      </c>
      <c r="L427" s="29" t="s">
        <v>1036</v>
      </c>
      <c r="M427" s="29">
        <v>1</v>
      </c>
      <c r="O427" s="29">
        <v>1</v>
      </c>
      <c r="P427" s="29">
        <v>1.3470599999999999</v>
      </c>
      <c r="Q427" s="29" t="s">
        <v>1037</v>
      </c>
    </row>
    <row r="428" spans="1:17" x14ac:dyDescent="0.3">
      <c r="B428" s="29">
        <v>5</v>
      </c>
      <c r="C428" s="29" t="s">
        <v>1083</v>
      </c>
      <c r="D428" s="30">
        <v>16</v>
      </c>
      <c r="E428" s="29">
        <v>380</v>
      </c>
      <c r="F428" s="29">
        <v>380</v>
      </c>
      <c r="G428" s="29" t="s">
        <v>1035</v>
      </c>
      <c r="H428" s="29">
        <v>1</v>
      </c>
      <c r="J428" s="29">
        <v>18.13664</v>
      </c>
      <c r="K428" s="29">
        <v>18.13664</v>
      </c>
      <c r="L428" s="29" t="s">
        <v>1036</v>
      </c>
      <c r="M428" s="29">
        <v>1</v>
      </c>
      <c r="O428" s="29">
        <v>1</v>
      </c>
      <c r="P428" s="29">
        <v>18.13664</v>
      </c>
      <c r="Q428" s="29" t="s">
        <v>1037</v>
      </c>
    </row>
    <row r="429" spans="1:17" x14ac:dyDescent="0.3">
      <c r="B429" s="29">
        <v>6</v>
      </c>
      <c r="C429" s="29" t="s">
        <v>1084</v>
      </c>
      <c r="D429" s="30">
        <v>16</v>
      </c>
      <c r="E429" s="29">
        <v>240</v>
      </c>
      <c r="F429" s="29">
        <v>240</v>
      </c>
      <c r="G429" s="29" t="s">
        <v>1035</v>
      </c>
      <c r="H429" s="29">
        <v>1</v>
      </c>
      <c r="J429" s="29">
        <v>7.2345600000000001</v>
      </c>
      <c r="K429" s="29">
        <v>7.2345600000000001</v>
      </c>
      <c r="L429" s="29" t="s">
        <v>1036</v>
      </c>
      <c r="M429" s="29">
        <v>1</v>
      </c>
      <c r="O429" s="29">
        <v>1</v>
      </c>
      <c r="P429" s="29">
        <v>7.2345600000000001</v>
      </c>
      <c r="Q429" s="29" t="s">
        <v>1037</v>
      </c>
    </row>
    <row r="430" spans="1:17" x14ac:dyDescent="0.3">
      <c r="A430" s="29" t="s">
        <v>440</v>
      </c>
      <c r="B430" s="29">
        <v>1</v>
      </c>
      <c r="C430" s="29" t="s">
        <v>1030</v>
      </c>
      <c r="D430" s="30" t="s">
        <v>1079</v>
      </c>
      <c r="E430" s="29">
        <v>811</v>
      </c>
      <c r="G430" s="29" t="s">
        <v>1031</v>
      </c>
      <c r="H430" s="29">
        <v>1</v>
      </c>
      <c r="I430" s="29">
        <v>73.86</v>
      </c>
      <c r="J430" s="29">
        <v>59.900460000000002</v>
      </c>
      <c r="K430" s="29">
        <v>59.900460000000002</v>
      </c>
      <c r="L430" s="29" t="s">
        <v>1032</v>
      </c>
      <c r="M430" s="29">
        <v>1</v>
      </c>
      <c r="N430" s="29">
        <v>0.81100000000000005</v>
      </c>
      <c r="P430" s="29">
        <v>59.900460000000002</v>
      </c>
      <c r="Q430" s="29" t="s">
        <v>1033</v>
      </c>
    </row>
    <row r="431" spans="1:17" x14ac:dyDescent="0.3">
      <c r="B431" s="29">
        <v>2</v>
      </c>
      <c r="C431" s="29" t="s">
        <v>1030</v>
      </c>
      <c r="D431" s="30" t="s">
        <v>1079</v>
      </c>
      <c r="E431" s="29">
        <v>1222</v>
      </c>
      <c r="G431" s="29" t="s">
        <v>1034</v>
      </c>
      <c r="H431" s="29">
        <v>1</v>
      </c>
      <c r="I431" s="29">
        <v>73.86</v>
      </c>
      <c r="J431" s="29">
        <v>90.256919999999994</v>
      </c>
      <c r="K431" s="29">
        <v>90.256919999999994</v>
      </c>
      <c r="L431" s="29" t="s">
        <v>1032</v>
      </c>
      <c r="M431" s="29">
        <v>1</v>
      </c>
      <c r="N431" s="29">
        <v>1.222</v>
      </c>
      <c r="P431" s="29">
        <v>90.256919999999994</v>
      </c>
      <c r="Q431" s="29" t="s">
        <v>1033</v>
      </c>
    </row>
    <row r="432" spans="1:17" x14ac:dyDescent="0.3">
      <c r="B432" s="29">
        <v>3</v>
      </c>
      <c r="C432" s="29" t="s">
        <v>1085</v>
      </c>
      <c r="D432" s="30">
        <v>6</v>
      </c>
      <c r="E432" s="29">
        <v>340</v>
      </c>
      <c r="F432" s="29">
        <v>340</v>
      </c>
      <c r="G432" s="29" t="s">
        <v>1035</v>
      </c>
      <c r="H432" s="29">
        <v>1</v>
      </c>
      <c r="J432" s="29">
        <v>5.4447599999999996</v>
      </c>
      <c r="K432" s="29">
        <v>5.4447599999999996</v>
      </c>
      <c r="L432" s="29" t="s">
        <v>1036</v>
      </c>
      <c r="M432" s="29">
        <v>1</v>
      </c>
      <c r="O432" s="29">
        <v>1</v>
      </c>
      <c r="P432" s="29">
        <v>5.4447599999999996</v>
      </c>
      <c r="Q432" s="29" t="s">
        <v>1037</v>
      </c>
    </row>
    <row r="433" spans="1:17" x14ac:dyDescent="0.3">
      <c r="A433" s="29" t="s">
        <v>441</v>
      </c>
      <c r="B433" s="29">
        <v>1</v>
      </c>
      <c r="C433" s="29" t="s">
        <v>1030</v>
      </c>
      <c r="D433" s="30" t="s">
        <v>1079</v>
      </c>
      <c r="E433" s="29">
        <v>913</v>
      </c>
      <c r="G433" s="29" t="s">
        <v>1031</v>
      </c>
      <c r="H433" s="29">
        <v>1</v>
      </c>
      <c r="I433" s="29">
        <v>73.86</v>
      </c>
      <c r="J433" s="29">
        <v>67.434179999999998</v>
      </c>
      <c r="K433" s="29">
        <v>67.434179999999998</v>
      </c>
      <c r="L433" s="29" t="s">
        <v>1032</v>
      </c>
      <c r="M433" s="29">
        <v>1</v>
      </c>
      <c r="N433" s="29">
        <v>0.91300000000000003</v>
      </c>
      <c r="P433" s="29">
        <v>67.434179999999998</v>
      </c>
      <c r="Q433" s="29" t="s">
        <v>1033</v>
      </c>
    </row>
    <row r="434" spans="1:17" x14ac:dyDescent="0.3">
      <c r="B434" s="29">
        <v>2</v>
      </c>
      <c r="C434" s="29" t="s">
        <v>1030</v>
      </c>
      <c r="D434" s="30" t="s">
        <v>1079</v>
      </c>
      <c r="E434" s="29">
        <v>1297</v>
      </c>
      <c r="G434" s="29" t="s">
        <v>1034</v>
      </c>
      <c r="H434" s="29">
        <v>1</v>
      </c>
      <c r="I434" s="29">
        <v>73.86</v>
      </c>
      <c r="J434" s="29">
        <v>95.796419999999998</v>
      </c>
      <c r="K434" s="29">
        <v>95.796419999999998</v>
      </c>
      <c r="L434" s="29" t="s">
        <v>1032</v>
      </c>
      <c r="M434" s="29">
        <v>1</v>
      </c>
      <c r="N434" s="29">
        <v>1.2969999999999999</v>
      </c>
      <c r="P434" s="29">
        <v>95.796419999999998</v>
      </c>
      <c r="Q434" s="29" t="s">
        <v>1033</v>
      </c>
    </row>
    <row r="435" spans="1:17" x14ac:dyDescent="0.3">
      <c r="B435" s="29">
        <v>3</v>
      </c>
      <c r="C435" s="29" t="s">
        <v>1085</v>
      </c>
      <c r="D435" s="30">
        <v>6</v>
      </c>
      <c r="E435" s="29">
        <v>340</v>
      </c>
      <c r="F435" s="29">
        <v>340</v>
      </c>
      <c r="G435" s="29" t="s">
        <v>1035</v>
      </c>
      <c r="H435" s="29">
        <v>1</v>
      </c>
      <c r="J435" s="29">
        <v>5.4447599999999996</v>
      </c>
      <c r="K435" s="29">
        <v>5.4447599999999996</v>
      </c>
      <c r="L435" s="29" t="s">
        <v>1036</v>
      </c>
      <c r="M435" s="29">
        <v>1</v>
      </c>
      <c r="O435" s="29">
        <v>1</v>
      </c>
      <c r="P435" s="29">
        <v>5.4447599999999996</v>
      </c>
      <c r="Q435" s="29" t="s">
        <v>1037</v>
      </c>
    </row>
    <row r="436" spans="1:17" x14ac:dyDescent="0.3">
      <c r="A436" s="29" t="s">
        <v>442</v>
      </c>
      <c r="B436" s="29">
        <v>1</v>
      </c>
      <c r="C436" s="29" t="s">
        <v>1030</v>
      </c>
      <c r="D436" s="30" t="s">
        <v>1053</v>
      </c>
      <c r="E436" s="29">
        <v>206</v>
      </c>
      <c r="G436" s="29" t="s">
        <v>1031</v>
      </c>
      <c r="H436" s="29">
        <v>1</v>
      </c>
      <c r="I436" s="29">
        <v>5.41</v>
      </c>
      <c r="J436" s="29">
        <v>1.11446</v>
      </c>
      <c r="K436" s="29">
        <v>1.11446</v>
      </c>
      <c r="L436" s="29" t="s">
        <v>1032</v>
      </c>
      <c r="M436" s="29">
        <v>1</v>
      </c>
      <c r="N436" s="29">
        <v>0.20599999999999999</v>
      </c>
      <c r="P436" s="29">
        <v>1.11446</v>
      </c>
      <c r="Q436" s="29" t="s">
        <v>1033</v>
      </c>
    </row>
    <row r="437" spans="1:17" x14ac:dyDescent="0.3">
      <c r="B437" s="29">
        <v>2</v>
      </c>
      <c r="C437" s="29" t="s">
        <v>1030</v>
      </c>
      <c r="D437" s="30" t="s">
        <v>1053</v>
      </c>
      <c r="E437" s="29">
        <v>370</v>
      </c>
      <c r="G437" s="29" t="s">
        <v>1034</v>
      </c>
      <c r="H437" s="29">
        <v>1</v>
      </c>
      <c r="I437" s="29">
        <v>5.41</v>
      </c>
      <c r="J437" s="29">
        <v>2.0017</v>
      </c>
      <c r="K437" s="29">
        <v>2.0017</v>
      </c>
      <c r="L437" s="29" t="s">
        <v>1032</v>
      </c>
      <c r="M437" s="29">
        <v>1</v>
      </c>
      <c r="N437" s="29">
        <v>0.37</v>
      </c>
      <c r="P437" s="29">
        <v>2.0017</v>
      </c>
      <c r="Q437" s="29" t="s">
        <v>1033</v>
      </c>
    </row>
    <row r="438" spans="1:17" x14ac:dyDescent="0.3">
      <c r="B438" s="29">
        <v>3</v>
      </c>
      <c r="C438" s="29" t="s">
        <v>1085</v>
      </c>
      <c r="D438" s="30">
        <v>6</v>
      </c>
      <c r="E438" s="29">
        <v>70</v>
      </c>
      <c r="F438" s="29">
        <v>70</v>
      </c>
      <c r="G438" s="29" t="s">
        <v>1035</v>
      </c>
      <c r="H438" s="29">
        <v>1</v>
      </c>
      <c r="J438" s="29">
        <v>0.23079</v>
      </c>
      <c r="K438" s="29">
        <v>0.23079</v>
      </c>
      <c r="L438" s="29" t="s">
        <v>1036</v>
      </c>
      <c r="M438" s="29">
        <v>1</v>
      </c>
      <c r="O438" s="29">
        <v>1</v>
      </c>
      <c r="P438" s="29">
        <v>0.23079</v>
      </c>
      <c r="Q438" s="29" t="s">
        <v>1037</v>
      </c>
    </row>
    <row r="439" spans="1:17" x14ac:dyDescent="0.3">
      <c r="A439" s="29" t="s">
        <v>443</v>
      </c>
      <c r="B439" s="29">
        <v>1</v>
      </c>
      <c r="C439" s="29" t="s">
        <v>1030</v>
      </c>
      <c r="D439" s="30" t="s">
        <v>1053</v>
      </c>
      <c r="E439" s="29">
        <v>206</v>
      </c>
      <c r="G439" s="29" t="s">
        <v>1031</v>
      </c>
      <c r="H439" s="29">
        <v>1</v>
      </c>
      <c r="I439" s="29">
        <v>5.41</v>
      </c>
      <c r="J439" s="29">
        <v>1.11446</v>
      </c>
      <c r="K439" s="29">
        <v>1.11446</v>
      </c>
      <c r="L439" s="29" t="s">
        <v>1032</v>
      </c>
      <c r="M439" s="29">
        <v>1</v>
      </c>
      <c r="N439" s="29">
        <v>0.20599999999999999</v>
      </c>
      <c r="P439" s="29">
        <v>1.11446</v>
      </c>
      <c r="Q439" s="29" t="s">
        <v>1033</v>
      </c>
    </row>
    <row r="440" spans="1:17" x14ac:dyDescent="0.3">
      <c r="B440" s="29">
        <v>2</v>
      </c>
      <c r="C440" s="29" t="s">
        <v>1030</v>
      </c>
      <c r="D440" s="30" t="s">
        <v>1053</v>
      </c>
      <c r="E440" s="29">
        <v>470</v>
      </c>
      <c r="G440" s="29" t="s">
        <v>1034</v>
      </c>
      <c r="H440" s="29">
        <v>1</v>
      </c>
      <c r="I440" s="29">
        <v>5.41</v>
      </c>
      <c r="J440" s="29">
        <v>2.5427</v>
      </c>
      <c r="K440" s="29">
        <v>2.5427</v>
      </c>
      <c r="L440" s="29" t="s">
        <v>1032</v>
      </c>
      <c r="M440" s="29">
        <v>1</v>
      </c>
      <c r="N440" s="29">
        <v>0.47</v>
      </c>
      <c r="P440" s="29">
        <v>2.5427</v>
      </c>
      <c r="Q440" s="29" t="s">
        <v>1033</v>
      </c>
    </row>
    <row r="441" spans="1:17" x14ac:dyDescent="0.3">
      <c r="B441" s="29">
        <v>3</v>
      </c>
      <c r="C441" s="29" t="s">
        <v>1085</v>
      </c>
      <c r="D441" s="30">
        <v>6</v>
      </c>
      <c r="E441" s="29">
        <v>70</v>
      </c>
      <c r="F441" s="29">
        <v>70</v>
      </c>
      <c r="G441" s="29" t="s">
        <v>1035</v>
      </c>
      <c r="H441" s="29">
        <v>1</v>
      </c>
      <c r="J441" s="29">
        <v>0.23079</v>
      </c>
      <c r="K441" s="29">
        <v>0.23079</v>
      </c>
      <c r="L441" s="29" t="s">
        <v>1036</v>
      </c>
      <c r="M441" s="29">
        <v>1</v>
      </c>
      <c r="O441" s="29">
        <v>1</v>
      </c>
      <c r="P441" s="29">
        <v>0.23079</v>
      </c>
      <c r="Q441" s="29" t="s">
        <v>1037</v>
      </c>
    </row>
    <row r="442" spans="1:17" x14ac:dyDescent="0.3">
      <c r="A442" s="29" t="s">
        <v>443</v>
      </c>
      <c r="B442" s="29">
        <v>1</v>
      </c>
      <c r="C442" s="29" t="s">
        <v>1030</v>
      </c>
      <c r="D442" s="30" t="s">
        <v>1053</v>
      </c>
      <c r="E442" s="29">
        <v>206</v>
      </c>
      <c r="G442" s="29" t="s">
        <v>1031</v>
      </c>
      <c r="H442" s="29">
        <v>1</v>
      </c>
      <c r="I442" s="29">
        <v>5.41</v>
      </c>
      <c r="J442" s="29">
        <v>1.11446</v>
      </c>
      <c r="K442" s="29">
        <v>1.11446</v>
      </c>
      <c r="L442" s="29" t="s">
        <v>1032</v>
      </c>
      <c r="M442" s="29">
        <v>1</v>
      </c>
      <c r="N442" s="29">
        <v>0.20599999999999999</v>
      </c>
      <c r="P442" s="29">
        <v>1.11446</v>
      </c>
      <c r="Q442" s="29" t="s">
        <v>1033</v>
      </c>
    </row>
    <row r="443" spans="1:17" x14ac:dyDescent="0.3">
      <c r="B443" s="29">
        <v>2</v>
      </c>
      <c r="C443" s="29" t="s">
        <v>1030</v>
      </c>
      <c r="D443" s="30" t="s">
        <v>1053</v>
      </c>
      <c r="E443" s="29">
        <v>470</v>
      </c>
      <c r="G443" s="29" t="s">
        <v>1034</v>
      </c>
      <c r="H443" s="29">
        <v>1</v>
      </c>
      <c r="I443" s="29">
        <v>5.41</v>
      </c>
      <c r="J443" s="29">
        <v>2.5427</v>
      </c>
      <c r="K443" s="29">
        <v>2.5427</v>
      </c>
      <c r="L443" s="29" t="s">
        <v>1032</v>
      </c>
      <c r="M443" s="29">
        <v>1</v>
      </c>
      <c r="N443" s="29">
        <v>0.47</v>
      </c>
      <c r="P443" s="29">
        <v>2.5427</v>
      </c>
      <c r="Q443" s="29" t="s">
        <v>1033</v>
      </c>
    </row>
    <row r="444" spans="1:17" x14ac:dyDescent="0.3">
      <c r="B444" s="29">
        <v>3</v>
      </c>
      <c r="C444" s="29" t="s">
        <v>1085</v>
      </c>
      <c r="D444" s="30">
        <v>6</v>
      </c>
      <c r="E444" s="29">
        <v>70</v>
      </c>
      <c r="F444" s="29">
        <v>70</v>
      </c>
      <c r="G444" s="29" t="s">
        <v>1035</v>
      </c>
      <c r="H444" s="29">
        <v>1</v>
      </c>
      <c r="J444" s="29">
        <v>0.23079</v>
      </c>
      <c r="K444" s="29">
        <v>0.23079</v>
      </c>
      <c r="L444" s="29" t="s">
        <v>1036</v>
      </c>
      <c r="M444" s="29">
        <v>1</v>
      </c>
      <c r="O444" s="29">
        <v>1</v>
      </c>
      <c r="P444" s="29">
        <v>0.23079</v>
      </c>
      <c r="Q444" s="29" t="s">
        <v>1037</v>
      </c>
    </row>
    <row r="445" spans="1:17" x14ac:dyDescent="0.3">
      <c r="A445" s="29" t="s">
        <v>444</v>
      </c>
      <c r="B445" s="29">
        <v>1</v>
      </c>
      <c r="C445" s="29" t="s">
        <v>1030</v>
      </c>
      <c r="D445" s="30" t="s">
        <v>1056</v>
      </c>
      <c r="E445" s="29">
        <v>259</v>
      </c>
      <c r="G445" s="29" t="s">
        <v>1031</v>
      </c>
      <c r="H445" s="29">
        <v>1</v>
      </c>
      <c r="I445" s="29">
        <v>5.44</v>
      </c>
      <c r="J445" s="29">
        <v>1.4089600000000002</v>
      </c>
      <c r="K445" s="29">
        <v>1.4089600000000002</v>
      </c>
      <c r="L445" s="29" t="s">
        <v>1032</v>
      </c>
      <c r="M445" s="29">
        <v>1</v>
      </c>
      <c r="N445" s="29">
        <v>0.25900000000000001</v>
      </c>
      <c r="P445" s="29">
        <v>1.4089600000000002</v>
      </c>
      <c r="Q445" s="29" t="s">
        <v>1033</v>
      </c>
    </row>
    <row r="446" spans="1:17" x14ac:dyDescent="0.3">
      <c r="B446" s="29">
        <v>2</v>
      </c>
      <c r="C446" s="29" t="s">
        <v>1030</v>
      </c>
      <c r="D446" s="30" t="s">
        <v>1056</v>
      </c>
      <c r="E446" s="29">
        <v>356</v>
      </c>
      <c r="G446" s="29" t="s">
        <v>1034</v>
      </c>
      <c r="H446" s="29">
        <v>1</v>
      </c>
      <c r="I446" s="29">
        <v>5.44</v>
      </c>
      <c r="J446" s="29">
        <v>1.9366400000000001</v>
      </c>
      <c r="K446" s="29">
        <v>1.9366400000000001</v>
      </c>
      <c r="L446" s="29" t="s">
        <v>1032</v>
      </c>
      <c r="M446" s="29">
        <v>1</v>
      </c>
      <c r="N446" s="29">
        <v>0.35599999999999998</v>
      </c>
      <c r="P446" s="29">
        <v>1.9366400000000001</v>
      </c>
      <c r="Q446" s="29" t="s">
        <v>1033</v>
      </c>
    </row>
    <row r="447" spans="1:17" x14ac:dyDescent="0.3">
      <c r="B447" s="29">
        <v>3</v>
      </c>
      <c r="C447" s="29" t="s">
        <v>1085</v>
      </c>
      <c r="D447" s="30">
        <v>6</v>
      </c>
      <c r="E447" s="29">
        <v>80</v>
      </c>
      <c r="F447" s="29">
        <v>80</v>
      </c>
      <c r="G447" s="29" t="s">
        <v>1035</v>
      </c>
      <c r="H447" s="29">
        <v>1</v>
      </c>
      <c r="J447" s="29">
        <v>0.30143999999999999</v>
      </c>
      <c r="K447" s="29">
        <v>0.30143999999999999</v>
      </c>
      <c r="L447" s="29" t="s">
        <v>1036</v>
      </c>
      <c r="M447" s="29">
        <v>1</v>
      </c>
      <c r="O447" s="29">
        <v>1</v>
      </c>
      <c r="P447" s="29">
        <v>0.30143999999999999</v>
      </c>
      <c r="Q447" s="29" t="s">
        <v>1037</v>
      </c>
    </row>
    <row r="448" spans="1:17" x14ac:dyDescent="0.3">
      <c r="A448" s="29" t="s">
        <v>445</v>
      </c>
      <c r="B448" s="29">
        <v>1</v>
      </c>
      <c r="C448" s="29" t="s">
        <v>1030</v>
      </c>
      <c r="D448" s="30" t="s">
        <v>1056</v>
      </c>
      <c r="E448" s="29">
        <v>259</v>
      </c>
      <c r="G448" s="29" t="s">
        <v>1031</v>
      </c>
      <c r="H448" s="29">
        <v>1</v>
      </c>
      <c r="I448" s="29">
        <v>5.44</v>
      </c>
      <c r="J448" s="29">
        <v>1.4089600000000002</v>
      </c>
      <c r="K448" s="29">
        <v>1.4089600000000002</v>
      </c>
      <c r="L448" s="29" t="s">
        <v>1032</v>
      </c>
      <c r="M448" s="29">
        <v>1</v>
      </c>
      <c r="N448" s="29">
        <v>0.25900000000000001</v>
      </c>
      <c r="P448" s="29">
        <v>1.4089600000000002</v>
      </c>
      <c r="Q448" s="29" t="s">
        <v>1033</v>
      </c>
    </row>
    <row r="449" spans="1:17" x14ac:dyDescent="0.3">
      <c r="B449" s="29">
        <v>2</v>
      </c>
      <c r="C449" s="29" t="s">
        <v>1030</v>
      </c>
      <c r="D449" s="30" t="s">
        <v>1056</v>
      </c>
      <c r="E449" s="29">
        <v>456</v>
      </c>
      <c r="G449" s="29" t="s">
        <v>1034</v>
      </c>
      <c r="H449" s="29">
        <v>1</v>
      </c>
      <c r="I449" s="29">
        <v>5.44</v>
      </c>
      <c r="J449" s="29">
        <v>2.4806400000000002</v>
      </c>
      <c r="K449" s="29">
        <v>2.4806400000000002</v>
      </c>
      <c r="L449" s="29" t="s">
        <v>1032</v>
      </c>
      <c r="M449" s="29">
        <v>1</v>
      </c>
      <c r="N449" s="29">
        <v>0.45600000000000002</v>
      </c>
      <c r="P449" s="29">
        <v>2.4806400000000002</v>
      </c>
      <c r="Q449" s="29" t="s">
        <v>1033</v>
      </c>
    </row>
    <row r="450" spans="1:17" x14ac:dyDescent="0.3">
      <c r="B450" s="29">
        <v>3</v>
      </c>
      <c r="C450" s="29" t="s">
        <v>1085</v>
      </c>
      <c r="D450" s="30">
        <v>6</v>
      </c>
      <c r="E450" s="29">
        <v>80</v>
      </c>
      <c r="F450" s="29">
        <v>80</v>
      </c>
      <c r="G450" s="29" t="s">
        <v>1035</v>
      </c>
      <c r="H450" s="29">
        <v>1</v>
      </c>
      <c r="J450" s="29">
        <v>0.30143999999999999</v>
      </c>
      <c r="K450" s="29">
        <v>0.30143999999999999</v>
      </c>
      <c r="L450" s="29" t="s">
        <v>1036</v>
      </c>
      <c r="M450" s="29">
        <v>1</v>
      </c>
      <c r="O450" s="29">
        <v>1</v>
      </c>
      <c r="P450" s="29">
        <v>0.30143999999999999</v>
      </c>
      <c r="Q450" s="29" t="s">
        <v>1037</v>
      </c>
    </row>
    <row r="451" spans="1:17" x14ac:dyDescent="0.3">
      <c r="A451" s="29" t="s">
        <v>446</v>
      </c>
      <c r="B451" s="29">
        <v>1</v>
      </c>
      <c r="C451" s="29" t="s">
        <v>1030</v>
      </c>
      <c r="D451" s="30" t="s">
        <v>1056</v>
      </c>
      <c r="E451" s="29">
        <v>259</v>
      </c>
      <c r="G451" s="29" t="s">
        <v>1031</v>
      </c>
      <c r="H451" s="29">
        <v>1</v>
      </c>
      <c r="I451" s="29">
        <v>5.44</v>
      </c>
      <c r="J451" s="29">
        <v>1.4089600000000002</v>
      </c>
      <c r="K451" s="29">
        <v>1.4089600000000002</v>
      </c>
      <c r="L451" s="29" t="s">
        <v>1032</v>
      </c>
      <c r="M451" s="29">
        <v>1</v>
      </c>
      <c r="N451" s="29">
        <v>0.25900000000000001</v>
      </c>
      <c r="P451" s="29">
        <v>1.4089600000000002</v>
      </c>
      <c r="Q451" s="29" t="s">
        <v>1033</v>
      </c>
    </row>
    <row r="452" spans="1:17" x14ac:dyDescent="0.3">
      <c r="B452" s="29">
        <v>2</v>
      </c>
      <c r="C452" s="29" t="s">
        <v>1030</v>
      </c>
      <c r="D452" s="30" t="s">
        <v>1056</v>
      </c>
      <c r="E452" s="29">
        <v>556</v>
      </c>
      <c r="G452" s="29" t="s">
        <v>1034</v>
      </c>
      <c r="H452" s="29">
        <v>1</v>
      </c>
      <c r="I452" s="29">
        <v>5.44</v>
      </c>
      <c r="J452" s="29">
        <v>3.0246400000000007</v>
      </c>
      <c r="K452" s="29">
        <v>3.0246400000000007</v>
      </c>
      <c r="L452" s="29" t="s">
        <v>1032</v>
      </c>
      <c r="M452" s="29">
        <v>1</v>
      </c>
      <c r="N452" s="29">
        <v>0.55600000000000005</v>
      </c>
      <c r="P452" s="29">
        <v>3.0246400000000007</v>
      </c>
      <c r="Q452" s="29" t="s">
        <v>1033</v>
      </c>
    </row>
    <row r="453" spans="1:17" x14ac:dyDescent="0.3">
      <c r="B453" s="29">
        <v>3</v>
      </c>
      <c r="C453" s="29" t="s">
        <v>1085</v>
      </c>
      <c r="D453" s="30">
        <v>6</v>
      </c>
      <c r="E453" s="29">
        <v>80</v>
      </c>
      <c r="F453" s="29">
        <v>80</v>
      </c>
      <c r="G453" s="29" t="s">
        <v>1035</v>
      </c>
      <c r="H453" s="29">
        <v>1</v>
      </c>
      <c r="J453" s="29">
        <v>0.30143999999999999</v>
      </c>
      <c r="K453" s="29">
        <v>0.30143999999999999</v>
      </c>
      <c r="L453" s="29" t="s">
        <v>1036</v>
      </c>
      <c r="M453" s="29">
        <v>1</v>
      </c>
      <c r="O453" s="29">
        <v>1</v>
      </c>
      <c r="P453" s="29">
        <v>0.30143999999999999</v>
      </c>
      <c r="Q453" s="29" t="s">
        <v>1037</v>
      </c>
    </row>
    <row r="454" spans="1:17" x14ac:dyDescent="0.3">
      <c r="A454" s="29" t="s">
        <v>447</v>
      </c>
      <c r="B454" s="29">
        <v>1</v>
      </c>
      <c r="C454" s="29" t="s">
        <v>1030</v>
      </c>
      <c r="D454" s="30" t="s">
        <v>1056</v>
      </c>
      <c r="E454" s="29">
        <v>259</v>
      </c>
      <c r="G454" s="29" t="s">
        <v>1031</v>
      </c>
      <c r="H454" s="29">
        <v>1</v>
      </c>
      <c r="I454" s="29">
        <v>5.44</v>
      </c>
      <c r="J454" s="29">
        <v>1.4089600000000002</v>
      </c>
      <c r="K454" s="29">
        <v>1.4089600000000002</v>
      </c>
      <c r="L454" s="29" t="s">
        <v>1032</v>
      </c>
      <c r="M454" s="29">
        <v>1</v>
      </c>
      <c r="N454" s="29">
        <v>0.25900000000000001</v>
      </c>
      <c r="P454" s="29">
        <v>1.4089600000000002</v>
      </c>
      <c r="Q454" s="29" t="s">
        <v>1033</v>
      </c>
    </row>
    <row r="455" spans="1:17" x14ac:dyDescent="0.3">
      <c r="B455" s="29">
        <v>2</v>
      </c>
      <c r="C455" s="29" t="s">
        <v>1030</v>
      </c>
      <c r="D455" s="30" t="s">
        <v>1056</v>
      </c>
      <c r="E455" s="29">
        <v>856</v>
      </c>
      <c r="G455" s="29" t="s">
        <v>1034</v>
      </c>
      <c r="H455" s="29">
        <v>1</v>
      </c>
      <c r="I455" s="29">
        <v>5.44</v>
      </c>
      <c r="J455" s="29">
        <v>4.6566400000000003</v>
      </c>
      <c r="K455" s="29">
        <v>4.6566400000000003</v>
      </c>
      <c r="L455" s="29" t="s">
        <v>1032</v>
      </c>
      <c r="M455" s="29">
        <v>1</v>
      </c>
      <c r="N455" s="29">
        <v>0.85599999999999998</v>
      </c>
      <c r="P455" s="29">
        <v>4.6566400000000003</v>
      </c>
      <c r="Q455" s="29" t="s">
        <v>1033</v>
      </c>
    </row>
    <row r="456" spans="1:17" x14ac:dyDescent="0.3">
      <c r="B456" s="29">
        <v>3</v>
      </c>
      <c r="C456" s="29" t="s">
        <v>1085</v>
      </c>
      <c r="D456" s="30">
        <v>6</v>
      </c>
      <c r="E456" s="29">
        <v>80</v>
      </c>
      <c r="F456" s="29">
        <v>80</v>
      </c>
      <c r="G456" s="29" t="s">
        <v>1035</v>
      </c>
      <c r="H456" s="29">
        <v>1</v>
      </c>
      <c r="J456" s="29">
        <v>0.30143999999999999</v>
      </c>
      <c r="K456" s="29">
        <v>0.30143999999999999</v>
      </c>
      <c r="L456" s="29" t="s">
        <v>1036</v>
      </c>
      <c r="M456" s="29">
        <v>1</v>
      </c>
      <c r="O456" s="29">
        <v>1</v>
      </c>
      <c r="P456" s="29">
        <v>0.30143999999999999</v>
      </c>
      <c r="Q456" s="29" t="s">
        <v>1037</v>
      </c>
    </row>
    <row r="457" spans="1:17" x14ac:dyDescent="0.3">
      <c r="A457" s="29" t="s">
        <v>448</v>
      </c>
      <c r="B457" s="29">
        <v>1</v>
      </c>
      <c r="C457" s="29" t="s">
        <v>1030</v>
      </c>
      <c r="D457" s="30" t="s">
        <v>1057</v>
      </c>
      <c r="E457" s="29">
        <v>310</v>
      </c>
      <c r="G457" s="29" t="s">
        <v>1031</v>
      </c>
      <c r="H457" s="29">
        <v>1</v>
      </c>
      <c r="I457" s="29">
        <v>11.29</v>
      </c>
      <c r="J457" s="29">
        <v>3.4998999999999998</v>
      </c>
      <c r="K457" s="29">
        <v>3.4998999999999998</v>
      </c>
      <c r="L457" s="29" t="s">
        <v>1032</v>
      </c>
      <c r="M457" s="29">
        <v>1</v>
      </c>
      <c r="N457" s="29">
        <v>0.31</v>
      </c>
      <c r="P457" s="29">
        <v>3.4998999999999998</v>
      </c>
      <c r="Q457" s="29" t="s">
        <v>1033</v>
      </c>
    </row>
    <row r="458" spans="1:17" x14ac:dyDescent="0.3">
      <c r="B458" s="29">
        <v>2</v>
      </c>
      <c r="C458" s="29" t="s">
        <v>1030</v>
      </c>
      <c r="D458" s="30" t="s">
        <v>1057</v>
      </c>
      <c r="E458" s="29">
        <v>443</v>
      </c>
      <c r="G458" s="29" t="s">
        <v>1034</v>
      </c>
      <c r="H458" s="29">
        <v>1</v>
      </c>
      <c r="I458" s="29">
        <v>11.29</v>
      </c>
      <c r="J458" s="29">
        <v>5.0014699999999994</v>
      </c>
      <c r="K458" s="29">
        <v>5.0014699999999994</v>
      </c>
      <c r="L458" s="29" t="s">
        <v>1032</v>
      </c>
      <c r="M458" s="29">
        <v>1</v>
      </c>
      <c r="N458" s="29">
        <v>0.443</v>
      </c>
      <c r="P458" s="29">
        <v>5.0014699999999994</v>
      </c>
      <c r="Q458" s="29" t="s">
        <v>1033</v>
      </c>
    </row>
    <row r="459" spans="1:17" x14ac:dyDescent="0.3">
      <c r="B459" s="29">
        <v>3</v>
      </c>
      <c r="C459" s="29" t="s">
        <v>1085</v>
      </c>
      <c r="D459" s="30">
        <v>6</v>
      </c>
      <c r="E459" s="29">
        <v>110</v>
      </c>
      <c r="F459" s="29">
        <v>110</v>
      </c>
      <c r="G459" s="29" t="s">
        <v>1035</v>
      </c>
      <c r="H459" s="29">
        <v>1</v>
      </c>
      <c r="J459" s="29">
        <v>0.56991000000000003</v>
      </c>
      <c r="K459" s="29">
        <v>0.56991000000000003</v>
      </c>
      <c r="L459" s="29" t="s">
        <v>1036</v>
      </c>
      <c r="M459" s="29">
        <v>1</v>
      </c>
      <c r="O459" s="29">
        <v>1</v>
      </c>
      <c r="P459" s="29">
        <v>0.56991000000000003</v>
      </c>
      <c r="Q459" s="29" t="s">
        <v>1037</v>
      </c>
    </row>
    <row r="460" spans="1:17" x14ac:dyDescent="0.3">
      <c r="A460" s="29" t="s">
        <v>448</v>
      </c>
      <c r="B460" s="29">
        <v>1</v>
      </c>
      <c r="C460" s="29" t="s">
        <v>1030</v>
      </c>
      <c r="D460" s="30" t="s">
        <v>1057</v>
      </c>
      <c r="E460" s="29">
        <v>310</v>
      </c>
      <c r="G460" s="29" t="s">
        <v>1031</v>
      </c>
      <c r="H460" s="29">
        <v>1</v>
      </c>
      <c r="I460" s="29">
        <v>11.29</v>
      </c>
      <c r="J460" s="29">
        <v>3.4998999999999998</v>
      </c>
      <c r="K460" s="29">
        <v>3.4998999999999998</v>
      </c>
      <c r="L460" s="29" t="s">
        <v>1032</v>
      </c>
      <c r="M460" s="29">
        <v>1</v>
      </c>
      <c r="N460" s="29">
        <v>0.31</v>
      </c>
      <c r="P460" s="29">
        <v>3.4998999999999998</v>
      </c>
      <c r="Q460" s="29" t="s">
        <v>1033</v>
      </c>
    </row>
    <row r="461" spans="1:17" x14ac:dyDescent="0.3">
      <c r="B461" s="29">
        <v>2</v>
      </c>
      <c r="C461" s="29" t="s">
        <v>1030</v>
      </c>
      <c r="D461" s="30" t="s">
        <v>1057</v>
      </c>
      <c r="E461" s="29">
        <v>443</v>
      </c>
      <c r="G461" s="29" t="s">
        <v>1034</v>
      </c>
      <c r="H461" s="29">
        <v>1</v>
      </c>
      <c r="I461" s="29">
        <v>11.29</v>
      </c>
      <c r="J461" s="29">
        <v>5.0014699999999994</v>
      </c>
      <c r="K461" s="29">
        <v>5.0014699999999994</v>
      </c>
      <c r="L461" s="29" t="s">
        <v>1032</v>
      </c>
      <c r="M461" s="29">
        <v>1</v>
      </c>
      <c r="N461" s="29">
        <v>0.443</v>
      </c>
      <c r="P461" s="29">
        <v>5.0014699999999994</v>
      </c>
      <c r="Q461" s="29" t="s">
        <v>1033</v>
      </c>
    </row>
    <row r="462" spans="1:17" x14ac:dyDescent="0.3">
      <c r="B462" s="29">
        <v>3</v>
      </c>
      <c r="C462" s="29" t="s">
        <v>1085</v>
      </c>
      <c r="D462" s="30">
        <v>6</v>
      </c>
      <c r="E462" s="29">
        <v>110</v>
      </c>
      <c r="F462" s="29">
        <v>110</v>
      </c>
      <c r="G462" s="29" t="s">
        <v>1035</v>
      </c>
      <c r="H462" s="29">
        <v>1</v>
      </c>
      <c r="J462" s="29">
        <v>0.56991000000000003</v>
      </c>
      <c r="K462" s="29">
        <v>0.56991000000000003</v>
      </c>
      <c r="L462" s="29" t="s">
        <v>1036</v>
      </c>
      <c r="M462" s="29">
        <v>1</v>
      </c>
      <c r="O462" s="29">
        <v>1</v>
      </c>
      <c r="P462" s="29">
        <v>0.56991000000000003</v>
      </c>
      <c r="Q462" s="29" t="s">
        <v>1037</v>
      </c>
    </row>
    <row r="463" spans="1:17" x14ac:dyDescent="0.3">
      <c r="A463" s="29" t="s">
        <v>449</v>
      </c>
      <c r="B463" s="29">
        <v>1</v>
      </c>
      <c r="C463" s="29" t="s">
        <v>1030</v>
      </c>
      <c r="D463" s="30" t="s">
        <v>1057</v>
      </c>
      <c r="E463" s="29">
        <v>310</v>
      </c>
      <c r="G463" s="29" t="s">
        <v>1031</v>
      </c>
      <c r="H463" s="29">
        <v>1</v>
      </c>
      <c r="I463" s="29">
        <v>11.29</v>
      </c>
      <c r="J463" s="29">
        <v>3.4998999999999998</v>
      </c>
      <c r="K463" s="29">
        <v>3.4998999999999998</v>
      </c>
      <c r="L463" s="29" t="s">
        <v>1032</v>
      </c>
      <c r="M463" s="29">
        <v>1</v>
      </c>
      <c r="N463" s="29">
        <v>0.31</v>
      </c>
      <c r="P463" s="29">
        <v>3.4998999999999998</v>
      </c>
      <c r="Q463" s="29" t="s">
        <v>1033</v>
      </c>
    </row>
    <row r="464" spans="1:17" x14ac:dyDescent="0.3">
      <c r="B464" s="29">
        <v>2</v>
      </c>
      <c r="C464" s="29" t="s">
        <v>1030</v>
      </c>
      <c r="D464" s="30" t="s">
        <v>1057</v>
      </c>
      <c r="E464" s="29">
        <v>743</v>
      </c>
      <c r="G464" s="29" t="s">
        <v>1034</v>
      </c>
      <c r="H464" s="29">
        <v>1</v>
      </c>
      <c r="I464" s="29">
        <v>11.29</v>
      </c>
      <c r="J464" s="29">
        <v>8.3884699999999999</v>
      </c>
      <c r="K464" s="29">
        <v>8.3884699999999999</v>
      </c>
      <c r="L464" s="29" t="s">
        <v>1032</v>
      </c>
      <c r="M464" s="29">
        <v>1</v>
      </c>
      <c r="N464" s="29">
        <v>0.74299999999999999</v>
      </c>
      <c r="P464" s="29">
        <v>8.3884699999999999</v>
      </c>
      <c r="Q464" s="29" t="s">
        <v>1033</v>
      </c>
    </row>
    <row r="465" spans="1:17" x14ac:dyDescent="0.3">
      <c r="B465" s="29">
        <v>3</v>
      </c>
      <c r="C465" s="29" t="s">
        <v>1085</v>
      </c>
      <c r="D465" s="30">
        <v>6</v>
      </c>
      <c r="E465" s="29">
        <v>110</v>
      </c>
      <c r="F465" s="29">
        <v>110</v>
      </c>
      <c r="G465" s="29" t="s">
        <v>1035</v>
      </c>
      <c r="H465" s="29">
        <v>1</v>
      </c>
      <c r="J465" s="29">
        <v>0.56991000000000003</v>
      </c>
      <c r="K465" s="29">
        <v>0.56991000000000003</v>
      </c>
      <c r="L465" s="29" t="s">
        <v>1036</v>
      </c>
      <c r="M465" s="29">
        <v>1</v>
      </c>
      <c r="O465" s="29">
        <v>1</v>
      </c>
      <c r="P465" s="29">
        <v>0.56991000000000003</v>
      </c>
      <c r="Q465" s="29" t="s">
        <v>1037</v>
      </c>
    </row>
    <row r="466" spans="1:17" x14ac:dyDescent="0.3">
      <c r="A466" s="29" t="s">
        <v>450</v>
      </c>
      <c r="B466" s="29">
        <v>1</v>
      </c>
      <c r="C466" s="29" t="s">
        <v>1030</v>
      </c>
      <c r="D466" s="30" t="s">
        <v>1057</v>
      </c>
      <c r="E466" s="29">
        <v>310</v>
      </c>
      <c r="G466" s="29" t="s">
        <v>1031</v>
      </c>
      <c r="H466" s="29">
        <v>1</v>
      </c>
      <c r="I466" s="29">
        <v>11.29</v>
      </c>
      <c r="J466" s="29">
        <v>3.4998999999999998</v>
      </c>
      <c r="K466" s="29">
        <v>3.4998999999999998</v>
      </c>
      <c r="L466" s="29" t="s">
        <v>1032</v>
      </c>
      <c r="M466" s="29">
        <v>1</v>
      </c>
      <c r="N466" s="29">
        <v>0.31</v>
      </c>
      <c r="P466" s="29">
        <v>3.4998999999999998</v>
      </c>
      <c r="Q466" s="29" t="s">
        <v>1033</v>
      </c>
    </row>
    <row r="467" spans="1:17" x14ac:dyDescent="0.3">
      <c r="B467" s="29">
        <v>2</v>
      </c>
      <c r="C467" s="29" t="s">
        <v>1030</v>
      </c>
      <c r="D467" s="30" t="s">
        <v>1057</v>
      </c>
      <c r="E467" s="29">
        <v>943</v>
      </c>
      <c r="G467" s="29" t="s">
        <v>1034</v>
      </c>
      <c r="H467" s="29">
        <v>1</v>
      </c>
      <c r="I467" s="29">
        <v>11.29</v>
      </c>
      <c r="J467" s="29">
        <v>10.646469999999999</v>
      </c>
      <c r="K467" s="29">
        <v>10.646469999999999</v>
      </c>
      <c r="L467" s="29" t="s">
        <v>1032</v>
      </c>
      <c r="M467" s="29">
        <v>1</v>
      </c>
      <c r="N467" s="29">
        <v>0.94299999999999995</v>
      </c>
      <c r="P467" s="29">
        <v>10.646469999999999</v>
      </c>
      <c r="Q467" s="29" t="s">
        <v>1033</v>
      </c>
    </row>
    <row r="468" spans="1:17" x14ac:dyDescent="0.3">
      <c r="B468" s="29">
        <v>3</v>
      </c>
      <c r="C468" s="29" t="s">
        <v>1085</v>
      </c>
      <c r="D468" s="30">
        <v>6</v>
      </c>
      <c r="E468" s="29">
        <v>110</v>
      </c>
      <c r="F468" s="29">
        <v>110</v>
      </c>
      <c r="G468" s="29" t="s">
        <v>1035</v>
      </c>
      <c r="H468" s="29">
        <v>1</v>
      </c>
      <c r="J468" s="29">
        <v>0.56991000000000003</v>
      </c>
      <c r="K468" s="29">
        <v>0.56991000000000003</v>
      </c>
      <c r="L468" s="29" t="s">
        <v>1036</v>
      </c>
      <c r="M468" s="29">
        <v>1</v>
      </c>
      <c r="O468" s="29">
        <v>1</v>
      </c>
      <c r="P468" s="29">
        <v>0.56991000000000003</v>
      </c>
      <c r="Q468" s="29" t="s">
        <v>1037</v>
      </c>
    </row>
    <row r="469" spans="1:17" x14ac:dyDescent="0.3">
      <c r="A469" s="29" t="s">
        <v>451</v>
      </c>
      <c r="B469" s="29">
        <v>1</v>
      </c>
      <c r="C469" s="29" t="s">
        <v>1030</v>
      </c>
      <c r="D469" s="30" t="s">
        <v>1057</v>
      </c>
      <c r="E469" s="29">
        <v>310</v>
      </c>
      <c r="G469" s="29" t="s">
        <v>1031</v>
      </c>
      <c r="H469" s="29">
        <v>1</v>
      </c>
      <c r="I469" s="29">
        <v>11.29</v>
      </c>
      <c r="J469" s="29">
        <v>3.4998999999999998</v>
      </c>
      <c r="K469" s="29">
        <v>3.4998999999999998</v>
      </c>
      <c r="L469" s="29" t="s">
        <v>1032</v>
      </c>
      <c r="M469" s="29">
        <v>1</v>
      </c>
      <c r="N469" s="29">
        <v>0.31</v>
      </c>
      <c r="P469" s="29">
        <v>3.4998999999999998</v>
      </c>
      <c r="Q469" s="29" t="s">
        <v>1033</v>
      </c>
    </row>
    <row r="470" spans="1:17" x14ac:dyDescent="0.3">
      <c r="B470" s="29">
        <v>2</v>
      </c>
      <c r="C470" s="29" t="s">
        <v>1030</v>
      </c>
      <c r="D470" s="30" t="s">
        <v>1057</v>
      </c>
      <c r="E470" s="29">
        <v>1543</v>
      </c>
      <c r="G470" s="29" t="s">
        <v>1034</v>
      </c>
      <c r="H470" s="29">
        <v>1</v>
      </c>
      <c r="I470" s="29">
        <v>11.29</v>
      </c>
      <c r="J470" s="29">
        <v>17.420469999999998</v>
      </c>
      <c r="K470" s="29">
        <v>17.420469999999998</v>
      </c>
      <c r="L470" s="29" t="s">
        <v>1032</v>
      </c>
      <c r="M470" s="29">
        <v>1</v>
      </c>
      <c r="N470" s="29">
        <v>1.5429999999999999</v>
      </c>
      <c r="P470" s="29">
        <v>17.420469999999998</v>
      </c>
      <c r="Q470" s="29" t="s">
        <v>1033</v>
      </c>
    </row>
    <row r="471" spans="1:17" x14ac:dyDescent="0.3">
      <c r="B471" s="29">
        <v>3</v>
      </c>
      <c r="C471" s="29" t="s">
        <v>1085</v>
      </c>
      <c r="D471" s="30">
        <v>6</v>
      </c>
      <c r="E471" s="29">
        <v>110</v>
      </c>
      <c r="F471" s="29">
        <v>110</v>
      </c>
      <c r="G471" s="29" t="s">
        <v>1035</v>
      </c>
      <c r="H471" s="29">
        <v>1</v>
      </c>
      <c r="J471" s="29">
        <v>0.56991000000000003</v>
      </c>
      <c r="K471" s="29">
        <v>0.56991000000000003</v>
      </c>
      <c r="L471" s="29" t="s">
        <v>1036</v>
      </c>
      <c r="M471" s="29">
        <v>1</v>
      </c>
      <c r="O471" s="29">
        <v>1</v>
      </c>
      <c r="P471" s="29">
        <v>0.56991000000000003</v>
      </c>
      <c r="Q471" s="29" t="s">
        <v>1037</v>
      </c>
    </row>
    <row r="472" spans="1:17" x14ac:dyDescent="0.3">
      <c r="A472" s="29" t="s">
        <v>452</v>
      </c>
      <c r="B472" s="29">
        <v>1</v>
      </c>
      <c r="C472" s="29" t="s">
        <v>1030</v>
      </c>
      <c r="D472" s="30" t="s">
        <v>1057</v>
      </c>
      <c r="E472" s="29">
        <v>310</v>
      </c>
      <c r="G472" s="29" t="s">
        <v>1031</v>
      </c>
      <c r="H472" s="29">
        <v>1</v>
      </c>
      <c r="I472" s="29">
        <v>11.29</v>
      </c>
      <c r="J472" s="29">
        <v>3.4998999999999998</v>
      </c>
      <c r="K472" s="29">
        <v>3.4998999999999998</v>
      </c>
      <c r="L472" s="29" t="s">
        <v>1032</v>
      </c>
      <c r="M472" s="29">
        <v>1</v>
      </c>
      <c r="N472" s="29">
        <v>0.31</v>
      </c>
      <c r="P472" s="29">
        <v>3.4998999999999998</v>
      </c>
      <c r="Q472" s="29" t="s">
        <v>1033</v>
      </c>
    </row>
    <row r="473" spans="1:17" x14ac:dyDescent="0.3">
      <c r="B473" s="29">
        <v>2</v>
      </c>
      <c r="C473" s="29" t="s">
        <v>1030</v>
      </c>
      <c r="D473" s="30" t="s">
        <v>1057</v>
      </c>
      <c r="E473" s="29">
        <v>1643</v>
      </c>
      <c r="G473" s="29" t="s">
        <v>1034</v>
      </c>
      <c r="H473" s="29">
        <v>1</v>
      </c>
      <c r="I473" s="29">
        <v>11.29</v>
      </c>
      <c r="J473" s="29">
        <v>18.549469999999999</v>
      </c>
      <c r="K473" s="29">
        <v>18.549469999999999</v>
      </c>
      <c r="L473" s="29" t="s">
        <v>1032</v>
      </c>
      <c r="M473" s="29">
        <v>1</v>
      </c>
      <c r="N473" s="29">
        <v>1.643</v>
      </c>
      <c r="P473" s="29">
        <v>18.549469999999999</v>
      </c>
      <c r="Q473" s="29" t="s">
        <v>1033</v>
      </c>
    </row>
    <row r="474" spans="1:17" x14ac:dyDescent="0.3">
      <c r="B474" s="29">
        <v>3</v>
      </c>
      <c r="C474" s="29" t="s">
        <v>1085</v>
      </c>
      <c r="D474" s="30">
        <v>6</v>
      </c>
      <c r="E474" s="29">
        <v>110</v>
      </c>
      <c r="F474" s="29">
        <v>110</v>
      </c>
      <c r="G474" s="29" t="s">
        <v>1035</v>
      </c>
      <c r="H474" s="29">
        <v>1</v>
      </c>
      <c r="J474" s="29">
        <v>0.56991000000000003</v>
      </c>
      <c r="K474" s="29">
        <v>0.56991000000000003</v>
      </c>
      <c r="L474" s="29" t="s">
        <v>1036</v>
      </c>
      <c r="M474" s="29">
        <v>1</v>
      </c>
      <c r="O474" s="29">
        <v>1</v>
      </c>
      <c r="P474" s="29">
        <v>0.56991000000000003</v>
      </c>
      <c r="Q474" s="29" t="s">
        <v>1037</v>
      </c>
    </row>
    <row r="475" spans="1:17" x14ac:dyDescent="0.3">
      <c r="A475" s="29" t="s">
        <v>453</v>
      </c>
      <c r="B475" s="29">
        <v>1</v>
      </c>
      <c r="C475" s="29" t="s">
        <v>1030</v>
      </c>
      <c r="D475" s="30" t="s">
        <v>1058</v>
      </c>
      <c r="E475" s="29">
        <v>413</v>
      </c>
      <c r="G475" s="29" t="s">
        <v>1031</v>
      </c>
      <c r="H475" s="29">
        <v>1</v>
      </c>
      <c r="I475" s="29">
        <v>16.079999999999998</v>
      </c>
      <c r="J475" s="29">
        <v>6.6410399999999994</v>
      </c>
      <c r="K475" s="29">
        <v>6.6410399999999994</v>
      </c>
      <c r="L475" s="29" t="s">
        <v>1032</v>
      </c>
      <c r="M475" s="29">
        <v>1</v>
      </c>
      <c r="N475" s="29">
        <v>0.41299999999999998</v>
      </c>
      <c r="P475" s="29">
        <v>6.6410399999999994</v>
      </c>
      <c r="Q475" s="29" t="s">
        <v>1033</v>
      </c>
    </row>
    <row r="476" spans="1:17" x14ac:dyDescent="0.3">
      <c r="B476" s="29">
        <v>2</v>
      </c>
      <c r="C476" s="29" t="s">
        <v>1030</v>
      </c>
      <c r="D476" s="30" t="s">
        <v>1058</v>
      </c>
      <c r="E476" s="29">
        <v>416</v>
      </c>
      <c r="G476" s="29" t="s">
        <v>1034</v>
      </c>
      <c r="H476" s="29">
        <v>1</v>
      </c>
      <c r="I476" s="29">
        <v>16.079999999999998</v>
      </c>
      <c r="J476" s="29">
        <v>6.6892799999999992</v>
      </c>
      <c r="K476" s="29">
        <v>6.6892799999999992</v>
      </c>
      <c r="L476" s="29" t="s">
        <v>1032</v>
      </c>
      <c r="M476" s="29">
        <v>1</v>
      </c>
      <c r="N476" s="29">
        <v>0.41599999999999998</v>
      </c>
      <c r="P476" s="29">
        <v>6.6892799999999992</v>
      </c>
      <c r="Q476" s="29" t="s">
        <v>1033</v>
      </c>
    </row>
    <row r="477" spans="1:17" x14ac:dyDescent="0.3">
      <c r="B477" s="29">
        <v>3</v>
      </c>
      <c r="C477" s="29" t="s">
        <v>1085</v>
      </c>
      <c r="D477" s="30">
        <v>6</v>
      </c>
      <c r="E477" s="29">
        <v>140</v>
      </c>
      <c r="F477" s="29">
        <v>140</v>
      </c>
      <c r="G477" s="29" t="s">
        <v>1035</v>
      </c>
      <c r="H477" s="29">
        <v>1</v>
      </c>
      <c r="J477" s="29">
        <v>0.92315999999999998</v>
      </c>
      <c r="K477" s="29">
        <v>0.92315999999999998</v>
      </c>
      <c r="L477" s="29" t="s">
        <v>1036</v>
      </c>
      <c r="M477" s="29">
        <v>1</v>
      </c>
      <c r="O477" s="29">
        <v>1</v>
      </c>
      <c r="P477" s="29">
        <v>0.92315999999999998</v>
      </c>
      <c r="Q477" s="29" t="s">
        <v>1037</v>
      </c>
    </row>
    <row r="478" spans="1:17" x14ac:dyDescent="0.3">
      <c r="A478" s="29" t="s">
        <v>454</v>
      </c>
      <c r="B478" s="29">
        <v>1</v>
      </c>
      <c r="C478" s="29" t="s">
        <v>1030</v>
      </c>
      <c r="D478" s="30" t="s">
        <v>1058</v>
      </c>
      <c r="E478" s="29">
        <v>413</v>
      </c>
      <c r="G478" s="29" t="s">
        <v>1031</v>
      </c>
      <c r="H478" s="29">
        <v>1</v>
      </c>
      <c r="I478" s="29">
        <v>16.079999999999998</v>
      </c>
      <c r="J478" s="29">
        <v>6.6410399999999994</v>
      </c>
      <c r="K478" s="29">
        <v>6.6410399999999994</v>
      </c>
      <c r="L478" s="29" t="s">
        <v>1032</v>
      </c>
      <c r="M478" s="29">
        <v>1</v>
      </c>
      <c r="N478" s="29">
        <v>0.41299999999999998</v>
      </c>
      <c r="P478" s="29">
        <v>6.6410399999999994</v>
      </c>
      <c r="Q478" s="29" t="s">
        <v>1033</v>
      </c>
    </row>
    <row r="479" spans="1:17" x14ac:dyDescent="0.3">
      <c r="B479" s="29">
        <v>2</v>
      </c>
      <c r="C479" s="29" t="s">
        <v>1030</v>
      </c>
      <c r="D479" s="30" t="s">
        <v>1058</v>
      </c>
      <c r="E479" s="29">
        <v>616</v>
      </c>
      <c r="G479" s="29" t="s">
        <v>1034</v>
      </c>
      <c r="H479" s="29">
        <v>1</v>
      </c>
      <c r="I479" s="29">
        <v>16.079999999999998</v>
      </c>
      <c r="J479" s="29">
        <v>9.9052799999999994</v>
      </c>
      <c r="K479" s="29">
        <v>9.9052799999999994</v>
      </c>
      <c r="L479" s="29" t="s">
        <v>1032</v>
      </c>
      <c r="M479" s="29">
        <v>1</v>
      </c>
      <c r="N479" s="29">
        <v>0.61599999999999999</v>
      </c>
      <c r="P479" s="29">
        <v>9.9052799999999994</v>
      </c>
      <c r="Q479" s="29" t="s">
        <v>1033</v>
      </c>
    </row>
    <row r="480" spans="1:17" x14ac:dyDescent="0.3">
      <c r="B480" s="29">
        <v>3</v>
      </c>
      <c r="C480" s="29" t="s">
        <v>1085</v>
      </c>
      <c r="D480" s="30">
        <v>6</v>
      </c>
      <c r="E480" s="29">
        <v>140</v>
      </c>
      <c r="F480" s="29">
        <v>140</v>
      </c>
      <c r="G480" s="29" t="s">
        <v>1035</v>
      </c>
      <c r="H480" s="29">
        <v>1</v>
      </c>
      <c r="J480" s="29">
        <v>0.92315999999999998</v>
      </c>
      <c r="K480" s="29">
        <v>0.92315999999999998</v>
      </c>
      <c r="L480" s="29" t="s">
        <v>1036</v>
      </c>
      <c r="M480" s="29">
        <v>1</v>
      </c>
      <c r="O480" s="29">
        <v>1</v>
      </c>
      <c r="P480" s="29">
        <v>0.92315999999999998</v>
      </c>
      <c r="Q480" s="29" t="s">
        <v>1037</v>
      </c>
    </row>
    <row r="481" spans="1:17" x14ac:dyDescent="0.3">
      <c r="A481" s="29" t="s">
        <v>455</v>
      </c>
      <c r="B481" s="29">
        <v>1</v>
      </c>
      <c r="C481" s="29" t="s">
        <v>1030</v>
      </c>
      <c r="D481" s="30" t="s">
        <v>1058</v>
      </c>
      <c r="E481" s="29">
        <v>413</v>
      </c>
      <c r="G481" s="29" t="s">
        <v>1031</v>
      </c>
      <c r="H481" s="29">
        <v>1</v>
      </c>
      <c r="I481" s="29">
        <v>16.079999999999998</v>
      </c>
      <c r="J481" s="29">
        <v>6.6410399999999994</v>
      </c>
      <c r="K481" s="29">
        <v>6.6410399999999994</v>
      </c>
      <c r="L481" s="29" t="s">
        <v>1032</v>
      </c>
      <c r="M481" s="29">
        <v>1</v>
      </c>
      <c r="N481" s="29">
        <v>0.41299999999999998</v>
      </c>
      <c r="P481" s="29">
        <v>6.6410399999999994</v>
      </c>
      <c r="Q481" s="29" t="s">
        <v>1033</v>
      </c>
    </row>
    <row r="482" spans="1:17" x14ac:dyDescent="0.3">
      <c r="B482" s="29">
        <v>2</v>
      </c>
      <c r="C482" s="29" t="s">
        <v>1030</v>
      </c>
      <c r="D482" s="30" t="s">
        <v>1058</v>
      </c>
      <c r="E482" s="29">
        <v>716</v>
      </c>
      <c r="G482" s="29" t="s">
        <v>1034</v>
      </c>
      <c r="H482" s="29">
        <v>1</v>
      </c>
      <c r="I482" s="29">
        <v>16.079999999999998</v>
      </c>
      <c r="J482" s="29">
        <v>11.513279999999998</v>
      </c>
      <c r="K482" s="29">
        <v>11.513279999999998</v>
      </c>
      <c r="L482" s="29" t="s">
        <v>1032</v>
      </c>
      <c r="M482" s="29">
        <v>1</v>
      </c>
      <c r="N482" s="29">
        <v>0.71599999999999997</v>
      </c>
      <c r="P482" s="29">
        <v>11.513279999999998</v>
      </c>
      <c r="Q482" s="29" t="s">
        <v>1033</v>
      </c>
    </row>
    <row r="483" spans="1:17" x14ac:dyDescent="0.3">
      <c r="B483" s="29">
        <v>3</v>
      </c>
      <c r="C483" s="29" t="s">
        <v>1085</v>
      </c>
      <c r="D483" s="30">
        <v>6</v>
      </c>
      <c r="E483" s="29">
        <v>140</v>
      </c>
      <c r="F483" s="29">
        <v>140</v>
      </c>
      <c r="G483" s="29" t="s">
        <v>1035</v>
      </c>
      <c r="H483" s="29">
        <v>1</v>
      </c>
      <c r="J483" s="29">
        <v>0.92315999999999998</v>
      </c>
      <c r="K483" s="29">
        <v>0.92315999999999998</v>
      </c>
      <c r="L483" s="29" t="s">
        <v>1036</v>
      </c>
      <c r="M483" s="29">
        <v>1</v>
      </c>
      <c r="O483" s="29">
        <v>1</v>
      </c>
      <c r="P483" s="29">
        <v>0.92315999999999998</v>
      </c>
      <c r="Q483" s="29" t="s">
        <v>1037</v>
      </c>
    </row>
    <row r="484" spans="1:17" x14ac:dyDescent="0.3">
      <c r="A484" s="29" t="s">
        <v>455</v>
      </c>
      <c r="B484" s="29">
        <v>1</v>
      </c>
      <c r="C484" s="29" t="s">
        <v>1030</v>
      </c>
      <c r="D484" s="30" t="s">
        <v>1058</v>
      </c>
      <c r="E484" s="29">
        <v>413</v>
      </c>
      <c r="G484" s="29" t="s">
        <v>1031</v>
      </c>
      <c r="H484" s="29">
        <v>1</v>
      </c>
      <c r="I484" s="29">
        <v>16.079999999999998</v>
      </c>
      <c r="J484" s="29">
        <v>6.6410399999999994</v>
      </c>
      <c r="K484" s="29">
        <v>6.6410399999999994</v>
      </c>
      <c r="L484" s="29" t="s">
        <v>1032</v>
      </c>
      <c r="M484" s="29">
        <v>1</v>
      </c>
      <c r="N484" s="29">
        <v>0.41299999999999998</v>
      </c>
      <c r="P484" s="29">
        <v>6.6410399999999994</v>
      </c>
      <c r="Q484" s="29" t="s">
        <v>1033</v>
      </c>
    </row>
    <row r="485" spans="1:17" x14ac:dyDescent="0.3">
      <c r="B485" s="29">
        <v>2</v>
      </c>
      <c r="C485" s="29" t="s">
        <v>1030</v>
      </c>
      <c r="D485" s="30" t="s">
        <v>1058</v>
      </c>
      <c r="E485" s="29">
        <v>716</v>
      </c>
      <c r="G485" s="29" t="s">
        <v>1034</v>
      </c>
      <c r="H485" s="29">
        <v>1</v>
      </c>
      <c r="I485" s="29">
        <v>16.079999999999998</v>
      </c>
      <c r="J485" s="29">
        <v>11.513279999999998</v>
      </c>
      <c r="K485" s="29">
        <v>11.513279999999998</v>
      </c>
      <c r="L485" s="29" t="s">
        <v>1032</v>
      </c>
      <c r="M485" s="29">
        <v>1</v>
      </c>
      <c r="N485" s="29">
        <v>0.71599999999999997</v>
      </c>
      <c r="P485" s="29">
        <v>11.513279999999998</v>
      </c>
      <c r="Q485" s="29" t="s">
        <v>1033</v>
      </c>
    </row>
    <row r="486" spans="1:17" x14ac:dyDescent="0.3">
      <c r="B486" s="29">
        <v>3</v>
      </c>
      <c r="C486" s="29" t="s">
        <v>1085</v>
      </c>
      <c r="D486" s="30">
        <v>6</v>
      </c>
      <c r="E486" s="29">
        <v>140</v>
      </c>
      <c r="F486" s="29">
        <v>140</v>
      </c>
      <c r="G486" s="29" t="s">
        <v>1035</v>
      </c>
      <c r="H486" s="29">
        <v>1</v>
      </c>
      <c r="J486" s="29">
        <v>0.92315999999999998</v>
      </c>
      <c r="K486" s="29">
        <v>0.92315999999999998</v>
      </c>
      <c r="L486" s="29" t="s">
        <v>1036</v>
      </c>
      <c r="M486" s="29">
        <v>1</v>
      </c>
      <c r="O486" s="29">
        <v>1</v>
      </c>
      <c r="P486" s="29">
        <v>0.92315999999999998</v>
      </c>
      <c r="Q486" s="29" t="s">
        <v>1037</v>
      </c>
    </row>
    <row r="487" spans="1:17" x14ac:dyDescent="0.3">
      <c r="A487" s="29" t="s">
        <v>456</v>
      </c>
      <c r="B487" s="29">
        <v>1</v>
      </c>
      <c r="C487" s="29" t="s">
        <v>1030</v>
      </c>
      <c r="D487" s="30" t="s">
        <v>1059</v>
      </c>
      <c r="E487" s="29">
        <v>514</v>
      </c>
      <c r="G487" s="29" t="s">
        <v>1031</v>
      </c>
      <c r="H487" s="29">
        <v>1</v>
      </c>
      <c r="I487" s="29">
        <v>28.26</v>
      </c>
      <c r="J487" s="29">
        <v>14.525640000000001</v>
      </c>
      <c r="K487" s="29">
        <v>14.525640000000001</v>
      </c>
      <c r="L487" s="29" t="s">
        <v>1032</v>
      </c>
      <c r="M487" s="29">
        <v>1</v>
      </c>
      <c r="N487" s="29">
        <v>0.51400000000000001</v>
      </c>
      <c r="P487" s="29">
        <v>14.525640000000001</v>
      </c>
      <c r="Q487" s="29" t="s">
        <v>1033</v>
      </c>
    </row>
    <row r="488" spans="1:17" x14ac:dyDescent="0.3">
      <c r="B488" s="29">
        <v>2</v>
      </c>
      <c r="C488" s="29" t="s">
        <v>1030</v>
      </c>
      <c r="D488" s="30" t="s">
        <v>1059</v>
      </c>
      <c r="E488" s="29">
        <v>490</v>
      </c>
      <c r="G488" s="29" t="s">
        <v>1034</v>
      </c>
      <c r="H488" s="29">
        <v>1</v>
      </c>
      <c r="I488" s="29">
        <v>28.26</v>
      </c>
      <c r="J488" s="29">
        <v>13.8474</v>
      </c>
      <c r="K488" s="29">
        <v>13.8474</v>
      </c>
      <c r="L488" s="29" t="s">
        <v>1032</v>
      </c>
      <c r="M488" s="29">
        <v>1</v>
      </c>
      <c r="N488" s="29">
        <v>0.49</v>
      </c>
      <c r="P488" s="29">
        <v>13.8474</v>
      </c>
      <c r="Q488" s="29" t="s">
        <v>1033</v>
      </c>
    </row>
    <row r="489" spans="1:17" x14ac:dyDescent="0.3">
      <c r="B489" s="29">
        <v>3</v>
      </c>
      <c r="C489" s="29" t="s">
        <v>1085</v>
      </c>
      <c r="D489" s="30">
        <v>6</v>
      </c>
      <c r="E489" s="29">
        <v>190</v>
      </c>
      <c r="F489" s="29">
        <v>190</v>
      </c>
      <c r="G489" s="29" t="s">
        <v>1035</v>
      </c>
      <c r="H489" s="29">
        <v>1</v>
      </c>
      <c r="J489" s="29">
        <v>1.70031</v>
      </c>
      <c r="K489" s="29">
        <v>1.70031</v>
      </c>
      <c r="L489" s="29" t="s">
        <v>1036</v>
      </c>
      <c r="M489" s="29">
        <v>1</v>
      </c>
      <c r="O489" s="29">
        <v>1</v>
      </c>
      <c r="P489" s="29">
        <v>1.70031</v>
      </c>
      <c r="Q489" s="29" t="s">
        <v>1037</v>
      </c>
    </row>
    <row r="490" spans="1:17" x14ac:dyDescent="0.3">
      <c r="A490" s="29" t="s">
        <v>457</v>
      </c>
      <c r="B490" s="29">
        <v>1</v>
      </c>
      <c r="C490" s="29" t="s">
        <v>1030</v>
      </c>
      <c r="D490" s="30" t="s">
        <v>1059</v>
      </c>
      <c r="E490" s="29">
        <v>514</v>
      </c>
      <c r="G490" s="29" t="s">
        <v>1031</v>
      </c>
      <c r="H490" s="29">
        <v>1</v>
      </c>
      <c r="I490" s="29">
        <v>28.26</v>
      </c>
      <c r="J490" s="29">
        <v>14.525640000000001</v>
      </c>
      <c r="K490" s="29">
        <v>14.525640000000001</v>
      </c>
      <c r="L490" s="29" t="s">
        <v>1032</v>
      </c>
      <c r="M490" s="29">
        <v>1</v>
      </c>
      <c r="N490" s="29">
        <v>0.51400000000000001</v>
      </c>
      <c r="P490" s="29">
        <v>14.525640000000001</v>
      </c>
      <c r="Q490" s="29" t="s">
        <v>1033</v>
      </c>
    </row>
    <row r="491" spans="1:17" x14ac:dyDescent="0.3">
      <c r="B491" s="29">
        <v>2</v>
      </c>
      <c r="C491" s="29" t="s">
        <v>1030</v>
      </c>
      <c r="D491" s="30" t="s">
        <v>1059</v>
      </c>
      <c r="E491" s="29">
        <v>590</v>
      </c>
      <c r="G491" s="29" t="s">
        <v>1034</v>
      </c>
      <c r="H491" s="29">
        <v>1</v>
      </c>
      <c r="I491" s="29">
        <v>28.26</v>
      </c>
      <c r="J491" s="29">
        <v>16.673400000000001</v>
      </c>
      <c r="K491" s="29">
        <v>16.673400000000001</v>
      </c>
      <c r="L491" s="29" t="s">
        <v>1032</v>
      </c>
      <c r="M491" s="29">
        <v>1</v>
      </c>
      <c r="N491" s="29">
        <v>0.59</v>
      </c>
      <c r="P491" s="29">
        <v>16.673400000000001</v>
      </c>
      <c r="Q491" s="29" t="s">
        <v>1033</v>
      </c>
    </row>
    <row r="492" spans="1:17" x14ac:dyDescent="0.3">
      <c r="B492" s="29">
        <v>3</v>
      </c>
      <c r="C492" s="29" t="s">
        <v>1085</v>
      </c>
      <c r="D492" s="30">
        <v>6</v>
      </c>
      <c r="E492" s="29">
        <v>190</v>
      </c>
      <c r="F492" s="29">
        <v>190</v>
      </c>
      <c r="G492" s="29" t="s">
        <v>1035</v>
      </c>
      <c r="H492" s="29">
        <v>1</v>
      </c>
      <c r="J492" s="29">
        <v>1.70031</v>
      </c>
      <c r="K492" s="29">
        <v>1.70031</v>
      </c>
      <c r="L492" s="29" t="s">
        <v>1036</v>
      </c>
      <c r="M492" s="29">
        <v>1</v>
      </c>
      <c r="O492" s="29">
        <v>1</v>
      </c>
      <c r="P492" s="29">
        <v>1.70031</v>
      </c>
      <c r="Q492" s="29" t="s">
        <v>1037</v>
      </c>
    </row>
    <row r="493" spans="1:17" x14ac:dyDescent="0.3">
      <c r="A493" s="29" t="s">
        <v>458</v>
      </c>
      <c r="B493" s="29">
        <v>1</v>
      </c>
      <c r="C493" s="29" t="s">
        <v>1030</v>
      </c>
      <c r="D493" s="30" t="s">
        <v>1059</v>
      </c>
      <c r="E493" s="29">
        <v>514</v>
      </c>
      <c r="G493" s="29" t="s">
        <v>1031</v>
      </c>
      <c r="H493" s="29">
        <v>1</v>
      </c>
      <c r="I493" s="29">
        <v>28.26</v>
      </c>
      <c r="J493" s="29">
        <v>14.525640000000001</v>
      </c>
      <c r="K493" s="29">
        <v>14.525640000000001</v>
      </c>
      <c r="L493" s="29" t="s">
        <v>1032</v>
      </c>
      <c r="M493" s="29">
        <v>1</v>
      </c>
      <c r="N493" s="29">
        <v>0.51400000000000001</v>
      </c>
      <c r="P493" s="29">
        <v>14.525640000000001</v>
      </c>
      <c r="Q493" s="29" t="s">
        <v>1033</v>
      </c>
    </row>
    <row r="494" spans="1:17" x14ac:dyDescent="0.3">
      <c r="B494" s="29">
        <v>2</v>
      </c>
      <c r="C494" s="29" t="s">
        <v>1030</v>
      </c>
      <c r="D494" s="30" t="s">
        <v>1059</v>
      </c>
      <c r="E494" s="29">
        <v>690</v>
      </c>
      <c r="G494" s="29" t="s">
        <v>1034</v>
      </c>
      <c r="H494" s="29">
        <v>1</v>
      </c>
      <c r="I494" s="29">
        <v>28.26</v>
      </c>
      <c r="J494" s="29">
        <v>19.499399999999998</v>
      </c>
      <c r="K494" s="29">
        <v>19.499399999999998</v>
      </c>
      <c r="L494" s="29" t="s">
        <v>1032</v>
      </c>
      <c r="M494" s="29">
        <v>1</v>
      </c>
      <c r="N494" s="29">
        <v>0.69</v>
      </c>
      <c r="P494" s="29">
        <v>19.499399999999998</v>
      </c>
      <c r="Q494" s="29" t="s">
        <v>1033</v>
      </c>
    </row>
    <row r="495" spans="1:17" x14ac:dyDescent="0.3">
      <c r="B495" s="29">
        <v>3</v>
      </c>
      <c r="C495" s="29" t="s">
        <v>1085</v>
      </c>
      <c r="D495" s="30">
        <v>6</v>
      </c>
      <c r="E495" s="29">
        <v>190</v>
      </c>
      <c r="F495" s="29">
        <v>190</v>
      </c>
      <c r="G495" s="29" t="s">
        <v>1035</v>
      </c>
      <c r="H495" s="29">
        <v>1</v>
      </c>
      <c r="J495" s="29">
        <v>1.70031</v>
      </c>
      <c r="K495" s="29">
        <v>1.70031</v>
      </c>
      <c r="L495" s="29" t="s">
        <v>1036</v>
      </c>
      <c r="M495" s="29">
        <v>1</v>
      </c>
      <c r="O495" s="29">
        <v>1</v>
      </c>
      <c r="P495" s="29">
        <v>1.70031</v>
      </c>
      <c r="Q495" s="29" t="s">
        <v>1037</v>
      </c>
    </row>
    <row r="496" spans="1:17" x14ac:dyDescent="0.3">
      <c r="A496" s="29" t="s">
        <v>459</v>
      </c>
      <c r="B496" s="29">
        <v>1</v>
      </c>
      <c r="C496" s="29" t="s">
        <v>1030</v>
      </c>
      <c r="D496" s="30" t="s">
        <v>1059</v>
      </c>
      <c r="E496" s="29">
        <v>514</v>
      </c>
      <c r="G496" s="29" t="s">
        <v>1031</v>
      </c>
      <c r="H496" s="29">
        <v>1</v>
      </c>
      <c r="I496" s="29">
        <v>28.26</v>
      </c>
      <c r="J496" s="29">
        <v>14.525640000000001</v>
      </c>
      <c r="K496" s="29">
        <v>14.525640000000001</v>
      </c>
      <c r="L496" s="29" t="s">
        <v>1032</v>
      </c>
      <c r="M496" s="29">
        <v>1</v>
      </c>
      <c r="N496" s="29">
        <v>0.51400000000000001</v>
      </c>
      <c r="P496" s="29">
        <v>14.525640000000001</v>
      </c>
      <c r="Q496" s="29" t="s">
        <v>1033</v>
      </c>
    </row>
    <row r="497" spans="1:17" x14ac:dyDescent="0.3">
      <c r="B497" s="29">
        <v>2</v>
      </c>
      <c r="C497" s="29" t="s">
        <v>1030</v>
      </c>
      <c r="D497" s="30" t="s">
        <v>1059</v>
      </c>
      <c r="E497" s="29">
        <v>1190</v>
      </c>
      <c r="G497" s="29" t="s">
        <v>1034</v>
      </c>
      <c r="H497" s="29">
        <v>1</v>
      </c>
      <c r="I497" s="29">
        <v>28.26</v>
      </c>
      <c r="J497" s="29">
        <v>33.629399999999997</v>
      </c>
      <c r="K497" s="29">
        <v>33.629399999999997</v>
      </c>
      <c r="L497" s="29" t="s">
        <v>1032</v>
      </c>
      <c r="M497" s="29">
        <v>1</v>
      </c>
      <c r="N497" s="29">
        <v>1.19</v>
      </c>
      <c r="P497" s="29">
        <v>33.629399999999997</v>
      </c>
      <c r="Q497" s="29" t="s">
        <v>1033</v>
      </c>
    </row>
    <row r="498" spans="1:17" x14ac:dyDescent="0.3">
      <c r="B498" s="29">
        <v>3</v>
      </c>
      <c r="C498" s="29" t="s">
        <v>1085</v>
      </c>
      <c r="D498" s="29">
        <v>6</v>
      </c>
      <c r="E498" s="29">
        <v>190</v>
      </c>
      <c r="F498" s="29">
        <v>190</v>
      </c>
      <c r="G498" s="29" t="s">
        <v>1035</v>
      </c>
      <c r="H498" s="29">
        <v>1</v>
      </c>
      <c r="J498" s="29">
        <v>1.70031</v>
      </c>
      <c r="K498" s="29">
        <v>1.70031</v>
      </c>
      <c r="L498" s="29" t="s">
        <v>1036</v>
      </c>
      <c r="M498" s="29">
        <v>1</v>
      </c>
      <c r="O498" s="29">
        <v>1</v>
      </c>
      <c r="P498" s="29">
        <v>1.70031</v>
      </c>
      <c r="Q498" s="29" t="s">
        <v>1037</v>
      </c>
    </row>
    <row r="499" spans="1:17" x14ac:dyDescent="0.3">
      <c r="A499" s="29" t="s">
        <v>460</v>
      </c>
      <c r="B499" s="29">
        <v>1</v>
      </c>
      <c r="C499" s="29" t="s">
        <v>1063</v>
      </c>
      <c r="D499" s="29" t="s">
        <v>1064</v>
      </c>
      <c r="E499" s="29">
        <v>800</v>
      </c>
      <c r="G499" s="29" t="s">
        <v>1035</v>
      </c>
      <c r="H499" s="29">
        <v>1</v>
      </c>
      <c r="I499" s="29">
        <v>13.4</v>
      </c>
      <c r="J499" s="29">
        <v>10.72</v>
      </c>
      <c r="K499" s="29">
        <v>10.72</v>
      </c>
      <c r="L499" s="29" t="s">
        <v>1032</v>
      </c>
      <c r="M499" s="29">
        <v>1</v>
      </c>
      <c r="N499" s="29">
        <v>0.8</v>
      </c>
      <c r="O499" s="29">
        <v>1</v>
      </c>
      <c r="P499" s="29">
        <v>10.72</v>
      </c>
      <c r="Q499" s="29" t="s">
        <v>1033</v>
      </c>
    </row>
    <row r="500" spans="1:17" x14ac:dyDescent="0.3">
      <c r="A500" s="29" t="s">
        <v>461</v>
      </c>
      <c r="B500" s="29">
        <v>1</v>
      </c>
      <c r="C500" s="29" t="s">
        <v>1050</v>
      </c>
      <c r="D500" s="29" t="s">
        <v>1086</v>
      </c>
      <c r="E500" s="29">
        <v>400</v>
      </c>
      <c r="G500" s="29" t="s">
        <v>1035</v>
      </c>
      <c r="H500" s="29">
        <v>1</v>
      </c>
      <c r="I500" s="29">
        <v>4.43</v>
      </c>
      <c r="J500" s="29">
        <v>1.772</v>
      </c>
      <c r="K500" s="29">
        <v>1.772</v>
      </c>
      <c r="L500" s="29" t="s">
        <v>1032</v>
      </c>
      <c r="M500" s="29">
        <v>1</v>
      </c>
      <c r="N500" s="29">
        <v>0.4</v>
      </c>
      <c r="O500" s="29">
        <v>1</v>
      </c>
      <c r="P500" s="29">
        <v>1.772</v>
      </c>
      <c r="Q500" s="29" t="s">
        <v>1033</v>
      </c>
    </row>
    <row r="501" spans="1:17" x14ac:dyDescent="0.3">
      <c r="A501" s="29" t="s">
        <v>461</v>
      </c>
      <c r="B501" s="29">
        <v>1</v>
      </c>
      <c r="C501" s="29" t="s">
        <v>1050</v>
      </c>
      <c r="D501" s="29" t="s">
        <v>1086</v>
      </c>
      <c r="E501" s="29">
        <v>400</v>
      </c>
      <c r="G501" s="29" t="s">
        <v>1035</v>
      </c>
      <c r="H501" s="29">
        <v>1</v>
      </c>
      <c r="I501" s="29">
        <v>4.43</v>
      </c>
      <c r="J501" s="29">
        <v>1.772</v>
      </c>
      <c r="K501" s="29">
        <v>1.772</v>
      </c>
      <c r="L501" s="29" t="s">
        <v>1032</v>
      </c>
      <c r="M501" s="29">
        <v>1</v>
      </c>
      <c r="N501" s="29">
        <v>0.4</v>
      </c>
      <c r="O501" s="29">
        <v>1</v>
      </c>
      <c r="P501" s="29">
        <v>1.772</v>
      </c>
      <c r="Q501" s="29" t="s">
        <v>1033</v>
      </c>
    </row>
    <row r="502" spans="1:17" x14ac:dyDescent="0.3">
      <c r="A502" s="29" t="s">
        <v>461</v>
      </c>
      <c r="B502" s="29">
        <v>1</v>
      </c>
      <c r="C502" s="29" t="s">
        <v>1050</v>
      </c>
      <c r="D502" s="29" t="s">
        <v>1086</v>
      </c>
      <c r="E502" s="29">
        <v>400</v>
      </c>
      <c r="G502" s="29" t="s">
        <v>1035</v>
      </c>
      <c r="H502" s="29">
        <v>1</v>
      </c>
      <c r="I502" s="29">
        <v>4.43</v>
      </c>
      <c r="J502" s="29">
        <v>1.772</v>
      </c>
      <c r="K502" s="29">
        <v>1.772</v>
      </c>
      <c r="L502" s="29" t="s">
        <v>1032</v>
      </c>
      <c r="M502" s="29">
        <v>1</v>
      </c>
      <c r="N502" s="29">
        <v>0.4</v>
      </c>
      <c r="O502" s="29">
        <v>1</v>
      </c>
      <c r="P502" s="29">
        <v>1.772</v>
      </c>
      <c r="Q502" s="29" t="s">
        <v>1033</v>
      </c>
    </row>
    <row r="503" spans="1:17" x14ac:dyDescent="0.3">
      <c r="A503" s="29" t="s">
        <v>461</v>
      </c>
      <c r="B503" s="29">
        <v>1</v>
      </c>
      <c r="C503" s="29" t="s">
        <v>1050</v>
      </c>
      <c r="D503" s="29" t="s">
        <v>1086</v>
      </c>
      <c r="E503" s="29">
        <v>400</v>
      </c>
      <c r="G503" s="29" t="s">
        <v>1035</v>
      </c>
      <c r="H503" s="29">
        <v>1</v>
      </c>
      <c r="I503" s="29">
        <v>4.43</v>
      </c>
      <c r="J503" s="29">
        <v>1.772</v>
      </c>
      <c r="K503" s="29">
        <v>1.772</v>
      </c>
      <c r="L503" s="29" t="s">
        <v>1032</v>
      </c>
      <c r="M503" s="29">
        <v>1</v>
      </c>
      <c r="N503" s="29">
        <v>0.4</v>
      </c>
      <c r="O503" s="29">
        <v>1</v>
      </c>
      <c r="P503" s="29">
        <v>1.772</v>
      </c>
      <c r="Q503" s="29" t="s">
        <v>1033</v>
      </c>
    </row>
    <row r="504" spans="1:17" x14ac:dyDescent="0.3">
      <c r="A504" s="29" t="s">
        <v>462</v>
      </c>
      <c r="B504" s="29">
        <v>1</v>
      </c>
      <c r="C504" s="29" t="s">
        <v>1050</v>
      </c>
      <c r="D504" s="29" t="s">
        <v>1086</v>
      </c>
      <c r="E504" s="29">
        <v>500</v>
      </c>
      <c r="G504" s="29" t="s">
        <v>1035</v>
      </c>
      <c r="H504" s="29">
        <v>1</v>
      </c>
      <c r="I504" s="29">
        <v>4.43</v>
      </c>
      <c r="J504" s="29">
        <v>2.2149999999999999</v>
      </c>
      <c r="K504" s="29">
        <v>2.2149999999999999</v>
      </c>
      <c r="L504" s="29" t="s">
        <v>1032</v>
      </c>
      <c r="M504" s="29">
        <v>1</v>
      </c>
      <c r="N504" s="29">
        <v>0.5</v>
      </c>
      <c r="O504" s="29">
        <v>1</v>
      </c>
      <c r="P504" s="29">
        <v>2.2149999999999999</v>
      </c>
      <c r="Q504" s="29" t="s">
        <v>1033</v>
      </c>
    </row>
    <row r="505" spans="1:17" x14ac:dyDescent="0.3">
      <c r="A505" s="29" t="s">
        <v>462</v>
      </c>
      <c r="B505" s="29">
        <v>1</v>
      </c>
      <c r="C505" s="29" t="s">
        <v>1050</v>
      </c>
      <c r="D505" s="29" t="s">
        <v>1086</v>
      </c>
      <c r="E505" s="29">
        <v>500</v>
      </c>
      <c r="G505" s="29" t="s">
        <v>1035</v>
      </c>
      <c r="H505" s="29">
        <v>1</v>
      </c>
      <c r="I505" s="29">
        <v>4.43</v>
      </c>
      <c r="J505" s="29">
        <v>2.2149999999999999</v>
      </c>
      <c r="K505" s="29">
        <v>2.2149999999999999</v>
      </c>
      <c r="L505" s="29" t="s">
        <v>1032</v>
      </c>
      <c r="M505" s="29">
        <v>1</v>
      </c>
      <c r="N505" s="29">
        <v>0.5</v>
      </c>
      <c r="O505" s="29">
        <v>1</v>
      </c>
      <c r="P505" s="29">
        <v>2.2149999999999999</v>
      </c>
      <c r="Q505" s="29" t="s">
        <v>1033</v>
      </c>
    </row>
    <row r="506" spans="1:17" x14ac:dyDescent="0.3">
      <c r="A506" s="29" t="s">
        <v>462</v>
      </c>
      <c r="B506" s="29">
        <v>1</v>
      </c>
      <c r="C506" s="29" t="s">
        <v>1050</v>
      </c>
      <c r="D506" s="29" t="s">
        <v>1086</v>
      </c>
      <c r="E506" s="29">
        <v>500</v>
      </c>
      <c r="G506" s="29" t="s">
        <v>1035</v>
      </c>
      <c r="H506" s="29">
        <v>1</v>
      </c>
      <c r="I506" s="29">
        <v>4.43</v>
      </c>
      <c r="J506" s="29">
        <v>2.2149999999999999</v>
      </c>
      <c r="K506" s="29">
        <v>2.2149999999999999</v>
      </c>
      <c r="L506" s="29" t="s">
        <v>1032</v>
      </c>
      <c r="M506" s="29">
        <v>1</v>
      </c>
      <c r="N506" s="29">
        <v>0.5</v>
      </c>
      <c r="O506" s="29">
        <v>1</v>
      </c>
      <c r="P506" s="29">
        <v>2.2149999999999999</v>
      </c>
      <c r="Q506" s="29" t="s">
        <v>1033</v>
      </c>
    </row>
    <row r="507" spans="1:17" x14ac:dyDescent="0.3">
      <c r="A507" s="29" t="s">
        <v>462</v>
      </c>
      <c r="B507" s="29">
        <v>1</v>
      </c>
      <c r="C507" s="29" t="s">
        <v>1050</v>
      </c>
      <c r="D507" s="29" t="s">
        <v>1086</v>
      </c>
      <c r="E507" s="29">
        <v>500</v>
      </c>
      <c r="G507" s="29" t="s">
        <v>1035</v>
      </c>
      <c r="H507" s="29">
        <v>1</v>
      </c>
      <c r="I507" s="29">
        <v>4.43</v>
      </c>
      <c r="J507" s="29">
        <v>2.2149999999999999</v>
      </c>
      <c r="K507" s="29">
        <v>2.2149999999999999</v>
      </c>
      <c r="L507" s="29" t="s">
        <v>1032</v>
      </c>
      <c r="M507" s="29">
        <v>1</v>
      </c>
      <c r="N507" s="29">
        <v>0.5</v>
      </c>
      <c r="O507" s="29">
        <v>1</v>
      </c>
      <c r="P507" s="29">
        <v>2.2149999999999999</v>
      </c>
      <c r="Q507" s="29" t="s">
        <v>1033</v>
      </c>
    </row>
    <row r="508" spans="1:17" x14ac:dyDescent="0.3">
      <c r="A508" s="29" t="s">
        <v>462</v>
      </c>
      <c r="B508" s="29">
        <v>1</v>
      </c>
      <c r="C508" s="29" t="s">
        <v>1050</v>
      </c>
      <c r="D508" s="29" t="s">
        <v>1086</v>
      </c>
      <c r="E508" s="29">
        <v>500</v>
      </c>
      <c r="G508" s="29" t="s">
        <v>1035</v>
      </c>
      <c r="H508" s="29">
        <v>1</v>
      </c>
      <c r="I508" s="29">
        <v>4.43</v>
      </c>
      <c r="J508" s="29">
        <v>2.2149999999999999</v>
      </c>
      <c r="K508" s="29">
        <v>2.2149999999999999</v>
      </c>
      <c r="L508" s="29" t="s">
        <v>1032</v>
      </c>
      <c r="M508" s="29">
        <v>1</v>
      </c>
      <c r="N508" s="29">
        <v>0.5</v>
      </c>
      <c r="O508" s="29">
        <v>1</v>
      </c>
      <c r="P508" s="29">
        <v>2.2149999999999999</v>
      </c>
      <c r="Q508" s="29" t="s">
        <v>1033</v>
      </c>
    </row>
    <row r="509" spans="1:17" x14ac:dyDescent="0.3">
      <c r="A509" s="29" t="s">
        <v>462</v>
      </c>
      <c r="B509" s="29">
        <v>1</v>
      </c>
      <c r="C509" s="29" t="s">
        <v>1050</v>
      </c>
      <c r="D509" s="29" t="s">
        <v>1086</v>
      </c>
      <c r="E509" s="29">
        <v>500</v>
      </c>
      <c r="G509" s="29" t="s">
        <v>1035</v>
      </c>
      <c r="H509" s="29">
        <v>1</v>
      </c>
      <c r="I509" s="29">
        <v>4.43</v>
      </c>
      <c r="J509" s="29">
        <v>2.2149999999999999</v>
      </c>
      <c r="K509" s="29">
        <v>2.2149999999999999</v>
      </c>
      <c r="L509" s="29" t="s">
        <v>1032</v>
      </c>
      <c r="M509" s="29">
        <v>1</v>
      </c>
      <c r="N509" s="29">
        <v>0.5</v>
      </c>
      <c r="O509" s="29">
        <v>1</v>
      </c>
      <c r="P509" s="29">
        <v>2.2149999999999999</v>
      </c>
      <c r="Q509" s="29" t="s">
        <v>1033</v>
      </c>
    </row>
    <row r="510" spans="1:17" x14ac:dyDescent="0.3">
      <c r="A510" s="29" t="s">
        <v>462</v>
      </c>
      <c r="B510" s="29">
        <v>1</v>
      </c>
      <c r="C510" s="29" t="s">
        <v>1050</v>
      </c>
      <c r="D510" s="29" t="s">
        <v>1086</v>
      </c>
      <c r="E510" s="29">
        <v>500</v>
      </c>
      <c r="G510" s="29" t="s">
        <v>1035</v>
      </c>
      <c r="H510" s="29">
        <v>1</v>
      </c>
      <c r="I510" s="29">
        <v>4.43</v>
      </c>
      <c r="J510" s="29">
        <v>2.2149999999999999</v>
      </c>
      <c r="K510" s="29">
        <v>2.2149999999999999</v>
      </c>
      <c r="L510" s="29" t="s">
        <v>1032</v>
      </c>
      <c r="M510" s="29">
        <v>1</v>
      </c>
      <c r="N510" s="29">
        <v>0.5</v>
      </c>
      <c r="O510" s="29">
        <v>1</v>
      </c>
      <c r="P510" s="29">
        <v>2.2149999999999999</v>
      </c>
      <c r="Q510" s="29" t="s">
        <v>1033</v>
      </c>
    </row>
    <row r="511" spans="1:17" x14ac:dyDescent="0.3">
      <c r="A511" s="29" t="s">
        <v>463</v>
      </c>
      <c r="B511" s="29">
        <v>1</v>
      </c>
      <c r="C511" s="29" t="s">
        <v>1050</v>
      </c>
      <c r="D511" s="29" t="s">
        <v>1086</v>
      </c>
      <c r="E511" s="29">
        <v>500</v>
      </c>
      <c r="G511" s="29" t="s">
        <v>1035</v>
      </c>
      <c r="H511" s="29">
        <v>1</v>
      </c>
      <c r="I511" s="29">
        <v>4.43</v>
      </c>
      <c r="J511" s="29">
        <v>2.2149999999999999</v>
      </c>
      <c r="K511" s="29">
        <v>2.2149999999999999</v>
      </c>
      <c r="L511" s="29" t="s">
        <v>1032</v>
      </c>
      <c r="M511" s="29">
        <v>1</v>
      </c>
      <c r="N511" s="29">
        <v>0.5</v>
      </c>
      <c r="O511" s="29">
        <v>1</v>
      </c>
      <c r="P511" s="29">
        <v>2.2149999999999999</v>
      </c>
      <c r="Q511" s="29" t="s">
        <v>1033</v>
      </c>
    </row>
    <row r="512" spans="1:17" x14ac:dyDescent="0.3">
      <c r="A512" s="29" t="s">
        <v>464</v>
      </c>
      <c r="B512" s="29">
        <v>1</v>
      </c>
      <c r="C512" s="29" t="s">
        <v>1050</v>
      </c>
      <c r="D512" s="29" t="s">
        <v>1086</v>
      </c>
      <c r="E512" s="29">
        <v>600</v>
      </c>
      <c r="G512" s="29" t="s">
        <v>1035</v>
      </c>
      <c r="H512" s="29">
        <v>1</v>
      </c>
      <c r="I512" s="29">
        <v>4.43</v>
      </c>
      <c r="J512" s="29">
        <v>2.6579999999999999</v>
      </c>
      <c r="K512" s="29">
        <v>2.6579999999999999</v>
      </c>
      <c r="L512" s="29" t="s">
        <v>1032</v>
      </c>
      <c r="M512" s="29">
        <v>1</v>
      </c>
      <c r="N512" s="29">
        <v>0.6</v>
      </c>
      <c r="O512" s="29">
        <v>1</v>
      </c>
      <c r="P512" s="29">
        <v>2.6579999999999999</v>
      </c>
      <c r="Q512" s="29" t="s">
        <v>1033</v>
      </c>
    </row>
    <row r="513" spans="1:17" x14ac:dyDescent="0.3">
      <c r="A513" s="29" t="s">
        <v>464</v>
      </c>
      <c r="B513" s="29">
        <v>1</v>
      </c>
      <c r="C513" s="29" t="s">
        <v>1050</v>
      </c>
      <c r="D513" s="29" t="s">
        <v>1086</v>
      </c>
      <c r="E513" s="29">
        <v>600</v>
      </c>
      <c r="G513" s="29" t="s">
        <v>1035</v>
      </c>
      <c r="H513" s="29">
        <v>1</v>
      </c>
      <c r="I513" s="29">
        <v>4.43</v>
      </c>
      <c r="J513" s="29">
        <v>2.6579999999999999</v>
      </c>
      <c r="K513" s="29">
        <v>2.6579999999999999</v>
      </c>
      <c r="L513" s="29" t="s">
        <v>1032</v>
      </c>
      <c r="M513" s="29">
        <v>1</v>
      </c>
      <c r="N513" s="29">
        <v>0.6</v>
      </c>
      <c r="O513" s="29">
        <v>1</v>
      </c>
      <c r="P513" s="29">
        <v>2.6579999999999999</v>
      </c>
      <c r="Q513" s="29" t="s">
        <v>1033</v>
      </c>
    </row>
    <row r="514" spans="1:17" x14ac:dyDescent="0.3">
      <c r="A514" s="29" t="s">
        <v>465</v>
      </c>
      <c r="B514" s="29">
        <v>1</v>
      </c>
      <c r="C514" s="29" t="s">
        <v>1050</v>
      </c>
      <c r="D514" s="29" t="s">
        <v>1086</v>
      </c>
      <c r="E514" s="29">
        <v>800</v>
      </c>
      <c r="G514" s="29" t="s">
        <v>1035</v>
      </c>
      <c r="H514" s="29">
        <v>1</v>
      </c>
      <c r="I514" s="29">
        <v>4.43</v>
      </c>
      <c r="J514" s="29">
        <v>3.544</v>
      </c>
      <c r="K514" s="29">
        <v>3.544</v>
      </c>
      <c r="L514" s="29" t="s">
        <v>1032</v>
      </c>
      <c r="M514" s="29">
        <v>1</v>
      </c>
      <c r="N514" s="29">
        <v>0.8</v>
      </c>
      <c r="O514" s="29">
        <v>1</v>
      </c>
      <c r="P514" s="29">
        <v>3.544</v>
      </c>
      <c r="Q514" s="29" t="s">
        <v>1033</v>
      </c>
    </row>
    <row r="515" spans="1:17" x14ac:dyDescent="0.3">
      <c r="A515" s="29" t="s">
        <v>465</v>
      </c>
      <c r="B515" s="29">
        <v>1</v>
      </c>
      <c r="C515" s="29" t="s">
        <v>1050</v>
      </c>
      <c r="D515" s="29" t="s">
        <v>1086</v>
      </c>
      <c r="E515" s="29">
        <v>800</v>
      </c>
      <c r="G515" s="29" t="s">
        <v>1035</v>
      </c>
      <c r="H515" s="29">
        <v>1</v>
      </c>
      <c r="I515" s="29">
        <v>4.43</v>
      </c>
      <c r="J515" s="29">
        <v>3.544</v>
      </c>
      <c r="K515" s="29">
        <v>3.544</v>
      </c>
      <c r="L515" s="29" t="s">
        <v>1032</v>
      </c>
      <c r="M515" s="29">
        <v>1</v>
      </c>
      <c r="N515" s="29">
        <v>0.8</v>
      </c>
      <c r="O515" s="29">
        <v>1</v>
      </c>
      <c r="P515" s="29">
        <v>3.544</v>
      </c>
      <c r="Q515" s="29" t="s">
        <v>1033</v>
      </c>
    </row>
    <row r="516" spans="1:17" x14ac:dyDescent="0.3">
      <c r="A516" s="29" t="s">
        <v>465</v>
      </c>
      <c r="B516" s="29">
        <v>1</v>
      </c>
      <c r="C516" s="29" t="s">
        <v>1050</v>
      </c>
      <c r="D516" s="29" t="s">
        <v>1086</v>
      </c>
      <c r="E516" s="29">
        <v>800</v>
      </c>
      <c r="G516" s="29" t="s">
        <v>1035</v>
      </c>
      <c r="H516" s="29">
        <v>1</v>
      </c>
      <c r="I516" s="29">
        <v>4.43</v>
      </c>
      <c r="J516" s="29">
        <v>3.544</v>
      </c>
      <c r="K516" s="29">
        <v>3.544</v>
      </c>
      <c r="L516" s="29" t="s">
        <v>1032</v>
      </c>
      <c r="M516" s="29">
        <v>1</v>
      </c>
      <c r="N516" s="29">
        <v>0.8</v>
      </c>
      <c r="O516" s="29">
        <v>1</v>
      </c>
      <c r="P516" s="29">
        <v>3.544</v>
      </c>
      <c r="Q516" s="29" t="s">
        <v>1033</v>
      </c>
    </row>
    <row r="517" spans="1:17" x14ac:dyDescent="0.3">
      <c r="A517" s="29" t="s">
        <v>466</v>
      </c>
      <c r="B517" s="29">
        <v>1</v>
      </c>
      <c r="C517" s="29" t="s">
        <v>1050</v>
      </c>
      <c r="D517" s="29" t="s">
        <v>1086</v>
      </c>
      <c r="E517" s="29">
        <v>1000</v>
      </c>
      <c r="G517" s="29" t="s">
        <v>1035</v>
      </c>
      <c r="H517" s="29">
        <v>1</v>
      </c>
      <c r="I517" s="29">
        <v>4.43</v>
      </c>
      <c r="J517" s="29">
        <v>4.43</v>
      </c>
      <c r="K517" s="29">
        <v>4.43</v>
      </c>
      <c r="L517" s="29" t="s">
        <v>1032</v>
      </c>
      <c r="M517" s="29">
        <v>1</v>
      </c>
      <c r="N517" s="29">
        <v>1</v>
      </c>
      <c r="O517" s="29">
        <v>1</v>
      </c>
      <c r="P517" s="29">
        <v>4.43</v>
      </c>
      <c r="Q517" s="29" t="s">
        <v>1033</v>
      </c>
    </row>
    <row r="518" spans="1:17" x14ac:dyDescent="0.3">
      <c r="A518" s="29" t="s">
        <v>467</v>
      </c>
      <c r="B518" s="29">
        <v>1</v>
      </c>
      <c r="C518" s="29" t="s">
        <v>1050</v>
      </c>
      <c r="D518" s="29" t="s">
        <v>1087</v>
      </c>
      <c r="E518" s="29">
        <v>500</v>
      </c>
      <c r="G518" s="29" t="s">
        <v>1035</v>
      </c>
      <c r="H518" s="29">
        <v>1</v>
      </c>
      <c r="I518" s="29">
        <v>9.9600000000000009</v>
      </c>
      <c r="J518" s="29">
        <v>4.9800000000000004</v>
      </c>
      <c r="K518" s="29">
        <v>4.9800000000000004</v>
      </c>
      <c r="L518" s="29" t="s">
        <v>1032</v>
      </c>
      <c r="M518" s="29">
        <v>1</v>
      </c>
      <c r="N518" s="29">
        <v>0.5</v>
      </c>
      <c r="O518" s="29">
        <v>1</v>
      </c>
      <c r="P518" s="29">
        <v>4.9800000000000004</v>
      </c>
      <c r="Q518" s="29" t="s">
        <v>1033</v>
      </c>
    </row>
    <row r="519" spans="1:17" x14ac:dyDescent="0.3">
      <c r="A519" s="29" t="s">
        <v>467</v>
      </c>
      <c r="B519" s="29">
        <v>1</v>
      </c>
      <c r="C519" s="29" t="s">
        <v>1050</v>
      </c>
      <c r="D519" s="29" t="s">
        <v>1087</v>
      </c>
      <c r="E519" s="29">
        <v>500</v>
      </c>
      <c r="G519" s="29" t="s">
        <v>1035</v>
      </c>
      <c r="H519" s="29">
        <v>1</v>
      </c>
      <c r="I519" s="29">
        <v>9.9600000000000009</v>
      </c>
      <c r="J519" s="29">
        <v>4.9800000000000004</v>
      </c>
      <c r="K519" s="29">
        <v>4.9800000000000004</v>
      </c>
      <c r="L519" s="29" t="s">
        <v>1032</v>
      </c>
      <c r="M519" s="29">
        <v>1</v>
      </c>
      <c r="N519" s="29">
        <v>0.5</v>
      </c>
      <c r="O519" s="29">
        <v>1</v>
      </c>
      <c r="P519" s="29">
        <v>4.9800000000000004</v>
      </c>
      <c r="Q519" s="29" t="s">
        <v>1033</v>
      </c>
    </row>
    <row r="520" spans="1:17" x14ac:dyDescent="0.3">
      <c r="A520" s="29" t="s">
        <v>468</v>
      </c>
      <c r="B520" s="29">
        <v>1</v>
      </c>
      <c r="C520" s="29" t="s">
        <v>1050</v>
      </c>
      <c r="D520" s="29" t="s">
        <v>1087</v>
      </c>
      <c r="E520" s="29">
        <v>600</v>
      </c>
      <c r="G520" s="29" t="s">
        <v>1035</v>
      </c>
      <c r="H520" s="29">
        <v>1</v>
      </c>
      <c r="I520" s="29">
        <v>9.9600000000000009</v>
      </c>
      <c r="J520" s="29">
        <v>5.976</v>
      </c>
      <c r="K520" s="29">
        <v>5.976</v>
      </c>
      <c r="L520" s="29" t="s">
        <v>1032</v>
      </c>
      <c r="M520" s="29">
        <v>1</v>
      </c>
      <c r="N520" s="29">
        <v>0.6</v>
      </c>
      <c r="O520" s="29">
        <v>1</v>
      </c>
      <c r="P520" s="29">
        <v>5.976</v>
      </c>
      <c r="Q520" s="29" t="s">
        <v>1033</v>
      </c>
    </row>
    <row r="521" spans="1:17" x14ac:dyDescent="0.3">
      <c r="A521" s="29" t="s">
        <v>469</v>
      </c>
      <c r="B521" s="29">
        <v>1</v>
      </c>
      <c r="C521" s="29" t="s">
        <v>1050</v>
      </c>
      <c r="D521" s="29" t="s">
        <v>1087</v>
      </c>
      <c r="E521" s="29">
        <v>600</v>
      </c>
      <c r="G521" s="29" t="s">
        <v>1035</v>
      </c>
      <c r="H521" s="29">
        <v>1</v>
      </c>
      <c r="I521" s="29">
        <v>9.9600000000000009</v>
      </c>
      <c r="J521" s="29">
        <v>5.976</v>
      </c>
      <c r="K521" s="29">
        <v>5.976</v>
      </c>
      <c r="L521" s="29" t="s">
        <v>1032</v>
      </c>
      <c r="M521" s="29">
        <v>1</v>
      </c>
      <c r="N521" s="29">
        <v>0.6</v>
      </c>
      <c r="O521" s="29">
        <v>1</v>
      </c>
      <c r="P521" s="29">
        <v>5.976</v>
      </c>
      <c r="Q521" s="29" t="s">
        <v>1033</v>
      </c>
    </row>
    <row r="522" spans="1:17" x14ac:dyDescent="0.3">
      <c r="A522" s="29" t="s">
        <v>470</v>
      </c>
      <c r="B522" s="29">
        <v>1</v>
      </c>
      <c r="C522" s="29" t="s">
        <v>1050</v>
      </c>
      <c r="D522" s="29" t="s">
        <v>1087</v>
      </c>
      <c r="E522" s="29">
        <v>700</v>
      </c>
      <c r="G522" s="29" t="s">
        <v>1035</v>
      </c>
      <c r="H522" s="29">
        <v>1</v>
      </c>
      <c r="I522" s="29">
        <v>9.9600000000000009</v>
      </c>
      <c r="J522" s="29">
        <v>6.9720000000000004</v>
      </c>
      <c r="K522" s="29">
        <v>6.9720000000000004</v>
      </c>
      <c r="L522" s="29" t="s">
        <v>1032</v>
      </c>
      <c r="M522" s="29">
        <v>1</v>
      </c>
      <c r="N522" s="29">
        <v>0.7</v>
      </c>
      <c r="O522" s="29">
        <v>1</v>
      </c>
      <c r="P522" s="29">
        <v>6.9720000000000004</v>
      </c>
      <c r="Q522" s="29" t="s">
        <v>1033</v>
      </c>
    </row>
    <row r="523" spans="1:17" x14ac:dyDescent="0.3">
      <c r="A523" s="29" t="s">
        <v>470</v>
      </c>
      <c r="B523" s="29">
        <v>1</v>
      </c>
      <c r="C523" s="29" t="s">
        <v>1050</v>
      </c>
      <c r="D523" s="29" t="s">
        <v>1087</v>
      </c>
      <c r="E523" s="29">
        <v>700</v>
      </c>
      <c r="G523" s="29" t="s">
        <v>1035</v>
      </c>
      <c r="H523" s="29">
        <v>1</v>
      </c>
      <c r="I523" s="29">
        <v>9.9600000000000009</v>
      </c>
      <c r="J523" s="29">
        <v>6.9720000000000004</v>
      </c>
      <c r="K523" s="29">
        <v>6.9720000000000004</v>
      </c>
      <c r="L523" s="29" t="s">
        <v>1032</v>
      </c>
      <c r="M523" s="29">
        <v>1</v>
      </c>
      <c r="N523" s="29">
        <v>0.7</v>
      </c>
      <c r="O523" s="29">
        <v>1</v>
      </c>
      <c r="P523" s="29">
        <v>6.9720000000000004</v>
      </c>
      <c r="Q523" s="29" t="s">
        <v>1033</v>
      </c>
    </row>
    <row r="524" spans="1:17" x14ac:dyDescent="0.3">
      <c r="A524" s="29" t="s">
        <v>470</v>
      </c>
      <c r="B524" s="29">
        <v>1</v>
      </c>
      <c r="C524" s="29" t="s">
        <v>1050</v>
      </c>
      <c r="D524" s="29" t="s">
        <v>1087</v>
      </c>
      <c r="E524" s="29">
        <v>700</v>
      </c>
      <c r="G524" s="29" t="s">
        <v>1035</v>
      </c>
      <c r="H524" s="29">
        <v>1</v>
      </c>
      <c r="I524" s="29">
        <v>9.9600000000000009</v>
      </c>
      <c r="J524" s="29">
        <v>6.9720000000000004</v>
      </c>
      <c r="K524" s="29">
        <v>6.9720000000000004</v>
      </c>
      <c r="L524" s="29" t="s">
        <v>1032</v>
      </c>
      <c r="M524" s="29">
        <v>1</v>
      </c>
      <c r="N524" s="29">
        <v>0.7</v>
      </c>
      <c r="O524" s="29">
        <v>1</v>
      </c>
      <c r="P524" s="29">
        <v>6.9720000000000004</v>
      </c>
      <c r="Q524" s="29" t="s">
        <v>1033</v>
      </c>
    </row>
    <row r="525" spans="1:17" x14ac:dyDescent="0.3">
      <c r="A525" s="29" t="s">
        <v>471</v>
      </c>
      <c r="B525" s="29">
        <v>1</v>
      </c>
      <c r="C525" s="29" t="s">
        <v>1050</v>
      </c>
      <c r="D525" s="29" t="s">
        <v>1087</v>
      </c>
      <c r="E525" s="29">
        <v>800</v>
      </c>
      <c r="G525" s="29" t="s">
        <v>1035</v>
      </c>
      <c r="H525" s="29">
        <v>1</v>
      </c>
      <c r="I525" s="29">
        <v>9.9600000000000009</v>
      </c>
      <c r="J525" s="29">
        <v>7.9680000000000009</v>
      </c>
      <c r="K525" s="29">
        <v>7.9680000000000009</v>
      </c>
      <c r="L525" s="29" t="s">
        <v>1032</v>
      </c>
      <c r="M525" s="29">
        <v>1</v>
      </c>
      <c r="N525" s="29">
        <v>0.8</v>
      </c>
      <c r="O525" s="29">
        <v>1</v>
      </c>
      <c r="P525" s="29">
        <v>7.9680000000000009</v>
      </c>
      <c r="Q525" s="29" t="s">
        <v>1033</v>
      </c>
    </row>
    <row r="526" spans="1:17" x14ac:dyDescent="0.3">
      <c r="A526" s="29" t="s">
        <v>472</v>
      </c>
      <c r="B526" s="29">
        <v>1</v>
      </c>
      <c r="C526" s="29" t="s">
        <v>1050</v>
      </c>
      <c r="D526" s="29" t="s">
        <v>1087</v>
      </c>
      <c r="E526" s="29">
        <v>900</v>
      </c>
      <c r="G526" s="29" t="s">
        <v>1035</v>
      </c>
      <c r="H526" s="29">
        <v>1</v>
      </c>
      <c r="I526" s="29">
        <v>9.9600000000000009</v>
      </c>
      <c r="J526" s="29">
        <v>8.9640000000000004</v>
      </c>
      <c r="K526" s="29">
        <v>8.9640000000000004</v>
      </c>
      <c r="L526" s="29" t="s">
        <v>1032</v>
      </c>
      <c r="M526" s="29">
        <v>1</v>
      </c>
      <c r="N526" s="29">
        <v>0.9</v>
      </c>
      <c r="O526" s="29">
        <v>1</v>
      </c>
      <c r="P526" s="29">
        <v>8.9640000000000004</v>
      </c>
      <c r="Q526" s="29" t="s">
        <v>1033</v>
      </c>
    </row>
    <row r="527" spans="1:17" x14ac:dyDescent="0.3">
      <c r="A527" s="29" t="s">
        <v>473</v>
      </c>
      <c r="B527" s="29">
        <v>1</v>
      </c>
      <c r="C527" s="29" t="s">
        <v>1050</v>
      </c>
      <c r="D527" s="29" t="s">
        <v>1087</v>
      </c>
      <c r="E527" s="29">
        <v>1000</v>
      </c>
      <c r="G527" s="29" t="s">
        <v>1035</v>
      </c>
      <c r="H527" s="29">
        <v>1</v>
      </c>
      <c r="I527" s="29">
        <v>9.9600000000000009</v>
      </c>
      <c r="J527" s="29">
        <v>9.9600000000000009</v>
      </c>
      <c r="K527" s="29">
        <v>9.9600000000000009</v>
      </c>
      <c r="L527" s="29" t="s">
        <v>1032</v>
      </c>
      <c r="M527" s="29">
        <v>1</v>
      </c>
      <c r="N527" s="29">
        <v>1</v>
      </c>
      <c r="O527" s="29">
        <v>1</v>
      </c>
      <c r="P527" s="29">
        <v>9.9600000000000009</v>
      </c>
      <c r="Q527" s="29" t="s">
        <v>1033</v>
      </c>
    </row>
    <row r="528" spans="1:17" x14ac:dyDescent="0.3">
      <c r="A528" s="29" t="s">
        <v>474</v>
      </c>
      <c r="B528" s="29">
        <v>1</v>
      </c>
      <c r="C528" s="29" t="s">
        <v>1050</v>
      </c>
      <c r="D528" s="29" t="s">
        <v>1087</v>
      </c>
      <c r="E528" s="29">
        <v>1100</v>
      </c>
      <c r="G528" s="29" t="s">
        <v>1035</v>
      </c>
      <c r="H528" s="29">
        <v>1</v>
      </c>
      <c r="I528" s="29">
        <v>9.9600000000000009</v>
      </c>
      <c r="J528" s="29">
        <v>10.956000000000001</v>
      </c>
      <c r="K528" s="29">
        <v>10.956000000000001</v>
      </c>
      <c r="L528" s="29" t="s">
        <v>1032</v>
      </c>
      <c r="M528" s="29">
        <v>1</v>
      </c>
      <c r="N528" s="29">
        <v>1.1000000000000001</v>
      </c>
      <c r="O528" s="29">
        <v>1</v>
      </c>
      <c r="P528" s="29">
        <v>10.956000000000001</v>
      </c>
      <c r="Q528" s="29" t="s">
        <v>1033</v>
      </c>
    </row>
    <row r="529" spans="1:17" x14ac:dyDescent="0.3">
      <c r="A529" s="29" t="s">
        <v>475</v>
      </c>
      <c r="B529" s="29">
        <v>1</v>
      </c>
      <c r="C529" s="29" t="s">
        <v>1050</v>
      </c>
      <c r="D529" s="29" t="s">
        <v>1087</v>
      </c>
      <c r="E529" s="29">
        <v>1200</v>
      </c>
      <c r="G529" s="29" t="s">
        <v>1035</v>
      </c>
      <c r="H529" s="29">
        <v>1</v>
      </c>
      <c r="I529" s="29">
        <v>9.9600000000000009</v>
      </c>
      <c r="J529" s="29">
        <v>11.952</v>
      </c>
      <c r="K529" s="29">
        <v>11.952</v>
      </c>
      <c r="L529" s="29" t="s">
        <v>1032</v>
      </c>
      <c r="M529" s="29">
        <v>1</v>
      </c>
      <c r="N529" s="29">
        <v>1.2</v>
      </c>
      <c r="O529" s="29">
        <v>1</v>
      </c>
      <c r="P529" s="29">
        <v>11.952</v>
      </c>
      <c r="Q529" s="29" t="s">
        <v>1033</v>
      </c>
    </row>
    <row r="530" spans="1:17" x14ac:dyDescent="0.3">
      <c r="A530" s="29" t="s">
        <v>476</v>
      </c>
      <c r="B530" s="29">
        <v>1</v>
      </c>
      <c r="C530" s="29" t="s">
        <v>1050</v>
      </c>
      <c r="D530" s="29" t="s">
        <v>1087</v>
      </c>
      <c r="E530" s="29">
        <v>1400</v>
      </c>
      <c r="G530" s="29" t="s">
        <v>1035</v>
      </c>
      <c r="H530" s="29">
        <v>1</v>
      </c>
      <c r="I530" s="29">
        <v>9.9600000000000009</v>
      </c>
      <c r="J530" s="29">
        <v>13.944000000000001</v>
      </c>
      <c r="K530" s="29">
        <v>13.944000000000001</v>
      </c>
      <c r="L530" s="29" t="s">
        <v>1032</v>
      </c>
      <c r="M530" s="29">
        <v>1</v>
      </c>
      <c r="N530" s="29">
        <v>1.4</v>
      </c>
      <c r="O530" s="29">
        <v>1</v>
      </c>
      <c r="P530" s="29">
        <v>13.944000000000001</v>
      </c>
      <c r="Q530" s="29" t="s">
        <v>1033</v>
      </c>
    </row>
    <row r="531" spans="1:17" x14ac:dyDescent="0.3">
      <c r="A531" s="29" t="s">
        <v>477</v>
      </c>
      <c r="B531" s="29">
        <v>1</v>
      </c>
      <c r="C531" s="29" t="s">
        <v>1050</v>
      </c>
      <c r="D531" s="29" t="s">
        <v>1086</v>
      </c>
      <c r="E531" s="29">
        <v>200</v>
      </c>
      <c r="G531" s="29" t="s">
        <v>1035</v>
      </c>
      <c r="H531" s="29">
        <v>1</v>
      </c>
      <c r="I531" s="29">
        <v>4.43</v>
      </c>
      <c r="J531" s="29">
        <v>0.88600000000000001</v>
      </c>
      <c r="K531" s="29">
        <v>0.88600000000000001</v>
      </c>
      <c r="L531" s="29" t="s">
        <v>1032</v>
      </c>
      <c r="M531" s="29">
        <v>1</v>
      </c>
      <c r="N531" s="29">
        <v>0.2</v>
      </c>
      <c r="O531" s="29">
        <v>1</v>
      </c>
      <c r="P531" s="29">
        <v>0.88600000000000001</v>
      </c>
      <c r="Q531" s="29" t="s">
        <v>1033</v>
      </c>
    </row>
    <row r="532" spans="1:17" x14ac:dyDescent="0.3">
      <c r="B532" s="29">
        <v>2</v>
      </c>
      <c r="C532" s="29" t="s">
        <v>1050</v>
      </c>
      <c r="D532" s="29" t="s">
        <v>1086</v>
      </c>
      <c r="E532" s="29">
        <v>500</v>
      </c>
      <c r="G532" s="29" t="s">
        <v>1035</v>
      </c>
      <c r="H532" s="29">
        <v>1</v>
      </c>
      <c r="I532" s="29">
        <v>4.43</v>
      </c>
      <c r="J532" s="29">
        <v>2.2149999999999999</v>
      </c>
      <c r="K532" s="29">
        <v>2.2149999999999999</v>
      </c>
      <c r="L532" s="29" t="s">
        <v>1032</v>
      </c>
      <c r="M532" s="29">
        <v>1</v>
      </c>
      <c r="N532" s="29">
        <v>0.5</v>
      </c>
      <c r="O532" s="29">
        <v>1</v>
      </c>
      <c r="P532" s="29">
        <v>2.2149999999999999</v>
      </c>
      <c r="Q532" s="29" t="s">
        <v>1033</v>
      </c>
    </row>
    <row r="533" spans="1:17" x14ac:dyDescent="0.3">
      <c r="A533" s="29" t="s">
        <v>477</v>
      </c>
      <c r="B533" s="29">
        <v>1</v>
      </c>
      <c r="C533" s="29" t="s">
        <v>1050</v>
      </c>
      <c r="D533" s="29" t="s">
        <v>1086</v>
      </c>
      <c r="E533" s="29">
        <v>200</v>
      </c>
      <c r="G533" s="29" t="s">
        <v>1035</v>
      </c>
      <c r="H533" s="29">
        <v>1</v>
      </c>
      <c r="I533" s="29">
        <v>4.43</v>
      </c>
      <c r="J533" s="29">
        <v>0.88600000000000001</v>
      </c>
      <c r="K533" s="29">
        <v>0.88600000000000001</v>
      </c>
      <c r="L533" s="29" t="s">
        <v>1032</v>
      </c>
      <c r="M533" s="29">
        <v>1</v>
      </c>
      <c r="N533" s="29">
        <v>0.2</v>
      </c>
      <c r="O533" s="29">
        <v>1</v>
      </c>
      <c r="P533" s="29">
        <v>0.88600000000000001</v>
      </c>
      <c r="Q533" s="29" t="s">
        <v>1033</v>
      </c>
    </row>
    <row r="534" spans="1:17" x14ac:dyDescent="0.3">
      <c r="B534" s="29">
        <v>2</v>
      </c>
      <c r="C534" s="29" t="s">
        <v>1050</v>
      </c>
      <c r="D534" s="29" t="s">
        <v>1086</v>
      </c>
      <c r="E534" s="29">
        <v>500</v>
      </c>
      <c r="G534" s="29" t="s">
        <v>1035</v>
      </c>
      <c r="H534" s="29">
        <v>1</v>
      </c>
      <c r="I534" s="29">
        <v>4.43</v>
      </c>
      <c r="J534" s="29">
        <v>2.2149999999999999</v>
      </c>
      <c r="K534" s="29">
        <v>2.2149999999999999</v>
      </c>
      <c r="L534" s="29" t="s">
        <v>1032</v>
      </c>
      <c r="M534" s="29">
        <v>1</v>
      </c>
      <c r="N534" s="29">
        <v>0.5</v>
      </c>
      <c r="O534" s="29">
        <v>1</v>
      </c>
      <c r="P534" s="29">
        <v>2.2149999999999999</v>
      </c>
      <c r="Q534" s="29" t="s">
        <v>1033</v>
      </c>
    </row>
    <row r="535" spans="1:17" x14ac:dyDescent="0.3">
      <c r="A535" s="29" t="s">
        <v>477</v>
      </c>
      <c r="B535" s="29">
        <v>1</v>
      </c>
      <c r="C535" s="29" t="s">
        <v>1050</v>
      </c>
      <c r="D535" s="29" t="s">
        <v>1086</v>
      </c>
      <c r="E535" s="29">
        <v>200</v>
      </c>
      <c r="G535" s="29" t="s">
        <v>1035</v>
      </c>
      <c r="H535" s="29">
        <v>1</v>
      </c>
      <c r="I535" s="29">
        <v>4.43</v>
      </c>
      <c r="J535" s="29">
        <v>0.88600000000000001</v>
      </c>
      <c r="K535" s="29">
        <v>0.88600000000000001</v>
      </c>
      <c r="L535" s="29" t="s">
        <v>1032</v>
      </c>
      <c r="M535" s="29">
        <v>1</v>
      </c>
      <c r="N535" s="29">
        <v>0.2</v>
      </c>
      <c r="O535" s="29">
        <v>1</v>
      </c>
      <c r="P535" s="29">
        <v>0.88600000000000001</v>
      </c>
      <c r="Q535" s="29" t="s">
        <v>1033</v>
      </c>
    </row>
    <row r="536" spans="1:17" x14ac:dyDescent="0.3">
      <c r="B536" s="29">
        <v>2</v>
      </c>
      <c r="C536" s="29" t="s">
        <v>1050</v>
      </c>
      <c r="D536" s="29" t="s">
        <v>1086</v>
      </c>
      <c r="E536" s="29">
        <v>500</v>
      </c>
      <c r="G536" s="29" t="s">
        <v>1035</v>
      </c>
      <c r="H536" s="29">
        <v>1</v>
      </c>
      <c r="I536" s="29">
        <v>4.43</v>
      </c>
      <c r="J536" s="29">
        <v>2.2149999999999999</v>
      </c>
      <c r="K536" s="29">
        <v>2.2149999999999999</v>
      </c>
      <c r="L536" s="29" t="s">
        <v>1032</v>
      </c>
      <c r="M536" s="29">
        <v>1</v>
      </c>
      <c r="N536" s="29">
        <v>0.5</v>
      </c>
      <c r="O536" s="29">
        <v>1</v>
      </c>
      <c r="P536" s="29">
        <v>2.2149999999999999</v>
      </c>
      <c r="Q536" s="29" t="s">
        <v>1033</v>
      </c>
    </row>
    <row r="537" spans="1:17" x14ac:dyDescent="0.3">
      <c r="A537" s="29" t="s">
        <v>478</v>
      </c>
      <c r="B537" s="29">
        <v>1</v>
      </c>
      <c r="C537" s="29" t="s">
        <v>1050</v>
      </c>
      <c r="D537" s="29" t="s">
        <v>1086</v>
      </c>
      <c r="E537" s="29">
        <v>400</v>
      </c>
      <c r="G537" s="29" t="s">
        <v>1035</v>
      </c>
      <c r="H537" s="29">
        <v>1</v>
      </c>
      <c r="I537" s="29">
        <v>4.43</v>
      </c>
      <c r="J537" s="29">
        <v>1.772</v>
      </c>
      <c r="K537" s="29">
        <v>1.772</v>
      </c>
      <c r="L537" s="29" t="s">
        <v>1032</v>
      </c>
      <c r="M537" s="29">
        <v>1</v>
      </c>
      <c r="N537" s="29">
        <v>0.4</v>
      </c>
      <c r="O537" s="29">
        <v>1</v>
      </c>
      <c r="P537" s="29">
        <v>1.772</v>
      </c>
      <c r="Q537" s="29" t="s">
        <v>1033</v>
      </c>
    </row>
    <row r="538" spans="1:17" x14ac:dyDescent="0.3">
      <c r="B538" s="29">
        <v>2</v>
      </c>
      <c r="C538" s="29" t="s">
        <v>1050</v>
      </c>
      <c r="D538" s="29" t="s">
        <v>1086</v>
      </c>
      <c r="E538" s="29">
        <v>300</v>
      </c>
      <c r="G538" s="29" t="s">
        <v>1035</v>
      </c>
      <c r="H538" s="29">
        <v>1</v>
      </c>
      <c r="I538" s="29">
        <v>4.43</v>
      </c>
      <c r="J538" s="29">
        <v>1.329</v>
      </c>
      <c r="K538" s="29">
        <v>1.329</v>
      </c>
      <c r="L538" s="29" t="s">
        <v>1032</v>
      </c>
      <c r="M538" s="29">
        <v>1</v>
      </c>
      <c r="N538" s="29">
        <v>0.3</v>
      </c>
      <c r="O538" s="29">
        <v>1</v>
      </c>
      <c r="P538" s="29">
        <v>1.329</v>
      </c>
      <c r="Q538" s="29" t="s">
        <v>1033</v>
      </c>
    </row>
    <row r="539" spans="1:17" x14ac:dyDescent="0.3">
      <c r="A539" s="29" t="s">
        <v>479</v>
      </c>
      <c r="B539" s="29">
        <v>1</v>
      </c>
      <c r="C539" s="29" t="s">
        <v>1050</v>
      </c>
      <c r="D539" s="29" t="s">
        <v>1086</v>
      </c>
      <c r="E539" s="29">
        <v>500</v>
      </c>
      <c r="G539" s="29" t="s">
        <v>1035</v>
      </c>
      <c r="H539" s="29">
        <v>1</v>
      </c>
      <c r="I539" s="29">
        <v>4.43</v>
      </c>
      <c r="J539" s="29">
        <v>2.2149999999999999</v>
      </c>
      <c r="K539" s="29">
        <v>2.2149999999999999</v>
      </c>
      <c r="L539" s="29" t="s">
        <v>1032</v>
      </c>
      <c r="M539" s="29">
        <v>1</v>
      </c>
      <c r="N539" s="29">
        <v>0.5</v>
      </c>
      <c r="O539" s="29">
        <v>1</v>
      </c>
      <c r="P539" s="29">
        <v>2.2149999999999999</v>
      </c>
      <c r="Q539" s="29" t="s">
        <v>1033</v>
      </c>
    </row>
    <row r="540" spans="1:17" x14ac:dyDescent="0.3">
      <c r="B540" s="29">
        <v>2</v>
      </c>
      <c r="C540" s="29" t="s">
        <v>1050</v>
      </c>
      <c r="D540" s="29" t="s">
        <v>1086</v>
      </c>
      <c r="E540" s="29">
        <v>300</v>
      </c>
      <c r="G540" s="29" t="s">
        <v>1035</v>
      </c>
      <c r="H540" s="29">
        <v>1</v>
      </c>
      <c r="I540" s="29">
        <v>4.43</v>
      </c>
      <c r="J540" s="29">
        <v>1.329</v>
      </c>
      <c r="K540" s="29">
        <v>1.329</v>
      </c>
      <c r="L540" s="29" t="s">
        <v>1032</v>
      </c>
      <c r="M540" s="29">
        <v>1</v>
      </c>
      <c r="N540" s="29">
        <v>0.3</v>
      </c>
      <c r="O540" s="29">
        <v>1</v>
      </c>
      <c r="P540" s="29">
        <v>1.329</v>
      </c>
      <c r="Q540" s="29" t="s">
        <v>1033</v>
      </c>
    </row>
    <row r="541" spans="1:17" x14ac:dyDescent="0.3">
      <c r="A541" s="29" t="s">
        <v>479</v>
      </c>
      <c r="B541" s="29">
        <v>1</v>
      </c>
      <c r="C541" s="29" t="s">
        <v>1050</v>
      </c>
      <c r="D541" s="29" t="s">
        <v>1086</v>
      </c>
      <c r="E541" s="29">
        <v>500</v>
      </c>
      <c r="G541" s="29" t="s">
        <v>1035</v>
      </c>
      <c r="H541" s="29">
        <v>1</v>
      </c>
      <c r="I541" s="29">
        <v>4.43</v>
      </c>
      <c r="J541" s="29">
        <v>2.2149999999999999</v>
      </c>
      <c r="K541" s="29">
        <v>2.2149999999999999</v>
      </c>
      <c r="L541" s="29" t="s">
        <v>1032</v>
      </c>
      <c r="M541" s="29">
        <v>1</v>
      </c>
      <c r="N541" s="29">
        <v>0.5</v>
      </c>
      <c r="O541" s="29">
        <v>1</v>
      </c>
      <c r="P541" s="29">
        <v>2.2149999999999999</v>
      </c>
      <c r="Q541" s="29" t="s">
        <v>1033</v>
      </c>
    </row>
    <row r="542" spans="1:17" x14ac:dyDescent="0.3">
      <c r="B542" s="29">
        <v>2</v>
      </c>
      <c r="C542" s="29" t="s">
        <v>1050</v>
      </c>
      <c r="D542" s="29" t="s">
        <v>1086</v>
      </c>
      <c r="E542" s="29">
        <v>300</v>
      </c>
      <c r="G542" s="29" t="s">
        <v>1035</v>
      </c>
      <c r="H542" s="29">
        <v>1</v>
      </c>
      <c r="I542" s="29">
        <v>4.43</v>
      </c>
      <c r="J542" s="29">
        <v>1.329</v>
      </c>
      <c r="K542" s="29">
        <v>1.329</v>
      </c>
      <c r="L542" s="29" t="s">
        <v>1032</v>
      </c>
      <c r="M542" s="29">
        <v>1</v>
      </c>
      <c r="N542" s="29">
        <v>0.3</v>
      </c>
      <c r="O542" s="29">
        <v>1</v>
      </c>
      <c r="P542" s="29">
        <v>1.329</v>
      </c>
      <c r="Q542" s="29" t="s">
        <v>1033</v>
      </c>
    </row>
    <row r="543" spans="1:17" x14ac:dyDescent="0.3">
      <c r="A543" s="29" t="s">
        <v>479</v>
      </c>
      <c r="B543" s="29">
        <v>1</v>
      </c>
      <c r="C543" s="29" t="s">
        <v>1050</v>
      </c>
      <c r="D543" s="29" t="s">
        <v>1086</v>
      </c>
      <c r="E543" s="29">
        <v>500</v>
      </c>
      <c r="G543" s="29" t="s">
        <v>1035</v>
      </c>
      <c r="H543" s="29">
        <v>1</v>
      </c>
      <c r="I543" s="29">
        <v>4.43</v>
      </c>
      <c r="J543" s="29">
        <v>2.2149999999999999</v>
      </c>
      <c r="K543" s="29">
        <v>2.2149999999999999</v>
      </c>
      <c r="L543" s="29" t="s">
        <v>1032</v>
      </c>
      <c r="M543" s="29">
        <v>1</v>
      </c>
      <c r="N543" s="29">
        <v>0.5</v>
      </c>
      <c r="O543" s="29">
        <v>1</v>
      </c>
      <c r="P543" s="29">
        <v>2.2149999999999999</v>
      </c>
      <c r="Q543" s="29" t="s">
        <v>1033</v>
      </c>
    </row>
    <row r="544" spans="1:17" x14ac:dyDescent="0.3">
      <c r="B544" s="29">
        <v>2</v>
      </c>
      <c r="C544" s="29" t="s">
        <v>1050</v>
      </c>
      <c r="D544" s="29" t="s">
        <v>1086</v>
      </c>
      <c r="E544" s="29">
        <v>300</v>
      </c>
      <c r="G544" s="29" t="s">
        <v>1035</v>
      </c>
      <c r="H544" s="29">
        <v>1</v>
      </c>
      <c r="I544" s="29">
        <v>4.43</v>
      </c>
      <c r="J544" s="29">
        <v>1.329</v>
      </c>
      <c r="K544" s="29">
        <v>1.329</v>
      </c>
      <c r="L544" s="29" t="s">
        <v>1032</v>
      </c>
      <c r="M544" s="29">
        <v>1</v>
      </c>
      <c r="N544" s="29">
        <v>0.3</v>
      </c>
      <c r="O544" s="29">
        <v>1</v>
      </c>
      <c r="P544" s="29">
        <v>1.329</v>
      </c>
      <c r="Q544" s="29" t="s">
        <v>1033</v>
      </c>
    </row>
    <row r="545" spans="1:17" x14ac:dyDescent="0.3">
      <c r="A545" s="29" t="s">
        <v>480</v>
      </c>
      <c r="B545" s="29">
        <v>1</v>
      </c>
      <c r="C545" s="29" t="s">
        <v>1050</v>
      </c>
      <c r="D545" s="29" t="s">
        <v>1086</v>
      </c>
      <c r="E545" s="29">
        <v>500</v>
      </c>
      <c r="G545" s="29" t="s">
        <v>1035</v>
      </c>
      <c r="H545" s="29">
        <v>1</v>
      </c>
      <c r="I545" s="29">
        <v>4.43</v>
      </c>
      <c r="J545" s="29">
        <v>2.2149999999999999</v>
      </c>
      <c r="K545" s="29">
        <v>2.2149999999999999</v>
      </c>
      <c r="L545" s="29" t="s">
        <v>1032</v>
      </c>
      <c r="M545" s="29">
        <v>1</v>
      </c>
      <c r="N545" s="29">
        <v>0.5</v>
      </c>
      <c r="O545" s="29">
        <v>1</v>
      </c>
      <c r="P545" s="29">
        <v>2.2149999999999999</v>
      </c>
      <c r="Q545" s="29" t="s">
        <v>1033</v>
      </c>
    </row>
    <row r="546" spans="1:17" x14ac:dyDescent="0.3">
      <c r="B546" s="29">
        <v>2</v>
      </c>
      <c r="C546" s="29" t="s">
        <v>1050</v>
      </c>
      <c r="D546" s="29" t="s">
        <v>1086</v>
      </c>
      <c r="E546" s="29">
        <v>500</v>
      </c>
      <c r="G546" s="29" t="s">
        <v>1035</v>
      </c>
      <c r="H546" s="29">
        <v>1</v>
      </c>
      <c r="I546" s="29">
        <v>4.43</v>
      </c>
      <c r="J546" s="29">
        <v>2.2149999999999999</v>
      </c>
      <c r="K546" s="29">
        <v>2.2149999999999999</v>
      </c>
      <c r="L546" s="29" t="s">
        <v>1032</v>
      </c>
      <c r="M546" s="29">
        <v>1</v>
      </c>
      <c r="N546" s="29">
        <v>0.5</v>
      </c>
      <c r="O546" s="29">
        <v>1</v>
      </c>
      <c r="P546" s="29">
        <v>2.2149999999999999</v>
      </c>
      <c r="Q546" s="29" t="s">
        <v>1033</v>
      </c>
    </row>
    <row r="547" spans="1:17" x14ac:dyDescent="0.3">
      <c r="A547" s="29" t="s">
        <v>480</v>
      </c>
      <c r="B547" s="29">
        <v>1</v>
      </c>
      <c r="C547" s="29" t="s">
        <v>1050</v>
      </c>
      <c r="D547" s="29" t="s">
        <v>1086</v>
      </c>
      <c r="E547" s="29">
        <v>500</v>
      </c>
      <c r="G547" s="29" t="s">
        <v>1035</v>
      </c>
      <c r="H547" s="29">
        <v>1</v>
      </c>
      <c r="I547" s="29">
        <v>4.43</v>
      </c>
      <c r="J547" s="29">
        <v>2.2149999999999999</v>
      </c>
      <c r="K547" s="29">
        <v>2.2149999999999999</v>
      </c>
      <c r="L547" s="29" t="s">
        <v>1032</v>
      </c>
      <c r="M547" s="29">
        <v>1</v>
      </c>
      <c r="N547" s="29">
        <v>0.5</v>
      </c>
      <c r="O547" s="29">
        <v>1</v>
      </c>
      <c r="P547" s="29">
        <v>2.2149999999999999</v>
      </c>
      <c r="Q547" s="29" t="s">
        <v>1033</v>
      </c>
    </row>
    <row r="548" spans="1:17" x14ac:dyDescent="0.3">
      <c r="B548" s="29">
        <v>2</v>
      </c>
      <c r="C548" s="29" t="s">
        <v>1050</v>
      </c>
      <c r="D548" s="29" t="s">
        <v>1086</v>
      </c>
      <c r="E548" s="29">
        <v>500</v>
      </c>
      <c r="G548" s="29" t="s">
        <v>1035</v>
      </c>
      <c r="H548" s="29">
        <v>1</v>
      </c>
      <c r="I548" s="29">
        <v>4.43</v>
      </c>
      <c r="J548" s="29">
        <v>2.2149999999999999</v>
      </c>
      <c r="K548" s="29">
        <v>2.2149999999999999</v>
      </c>
      <c r="L548" s="29" t="s">
        <v>1032</v>
      </c>
      <c r="M548" s="29">
        <v>1</v>
      </c>
      <c r="N548" s="29">
        <v>0.5</v>
      </c>
      <c r="O548" s="29">
        <v>1</v>
      </c>
      <c r="P548" s="29">
        <v>2.2149999999999999</v>
      </c>
      <c r="Q548" s="29" t="s">
        <v>1033</v>
      </c>
    </row>
    <row r="549" spans="1:17" x14ac:dyDescent="0.3">
      <c r="A549" s="29" t="s">
        <v>481</v>
      </c>
      <c r="B549" s="29">
        <v>1</v>
      </c>
      <c r="C549" s="29" t="s">
        <v>1050</v>
      </c>
      <c r="D549" s="29" t="s">
        <v>1086</v>
      </c>
      <c r="E549" s="29">
        <v>600</v>
      </c>
      <c r="G549" s="29" t="s">
        <v>1035</v>
      </c>
      <c r="H549" s="29">
        <v>1</v>
      </c>
      <c r="I549" s="29">
        <v>4.43</v>
      </c>
      <c r="J549" s="29">
        <v>2.6579999999999999</v>
      </c>
      <c r="K549" s="29">
        <v>2.6579999999999999</v>
      </c>
      <c r="L549" s="29" t="s">
        <v>1032</v>
      </c>
      <c r="M549" s="29">
        <v>1</v>
      </c>
      <c r="N549" s="29">
        <v>0.6</v>
      </c>
      <c r="O549" s="29">
        <v>1</v>
      </c>
      <c r="P549" s="29">
        <v>2.6579999999999999</v>
      </c>
      <c r="Q549" s="29" t="s">
        <v>1033</v>
      </c>
    </row>
    <row r="550" spans="1:17" x14ac:dyDescent="0.3">
      <c r="B550" s="29">
        <v>2</v>
      </c>
      <c r="C550" s="29" t="s">
        <v>1050</v>
      </c>
      <c r="D550" s="29" t="s">
        <v>1086</v>
      </c>
      <c r="E550" s="29">
        <v>300</v>
      </c>
      <c r="G550" s="29" t="s">
        <v>1035</v>
      </c>
      <c r="H550" s="29">
        <v>1</v>
      </c>
      <c r="I550" s="29">
        <v>4.43</v>
      </c>
      <c r="J550" s="29">
        <v>1.329</v>
      </c>
      <c r="K550" s="29">
        <v>1.329</v>
      </c>
      <c r="L550" s="29" t="s">
        <v>1032</v>
      </c>
      <c r="M550" s="29">
        <v>1</v>
      </c>
      <c r="N550" s="29">
        <v>0.3</v>
      </c>
      <c r="O550" s="29">
        <v>1</v>
      </c>
      <c r="P550" s="29">
        <v>1.329</v>
      </c>
      <c r="Q550" s="29" t="s">
        <v>1033</v>
      </c>
    </row>
    <row r="551" spans="1:17" x14ac:dyDescent="0.3">
      <c r="A551" s="29" t="s">
        <v>481</v>
      </c>
      <c r="B551" s="29">
        <v>1</v>
      </c>
      <c r="C551" s="29" t="s">
        <v>1050</v>
      </c>
      <c r="D551" s="29" t="s">
        <v>1086</v>
      </c>
      <c r="E551" s="29">
        <v>600</v>
      </c>
      <c r="G551" s="29" t="s">
        <v>1035</v>
      </c>
      <c r="H551" s="29">
        <v>1</v>
      </c>
      <c r="I551" s="29">
        <v>4.43</v>
      </c>
      <c r="J551" s="29">
        <v>2.6579999999999999</v>
      </c>
      <c r="K551" s="29">
        <v>2.6579999999999999</v>
      </c>
      <c r="L551" s="29" t="s">
        <v>1032</v>
      </c>
      <c r="M551" s="29">
        <v>1</v>
      </c>
      <c r="N551" s="29">
        <v>0.6</v>
      </c>
      <c r="O551" s="29">
        <v>1</v>
      </c>
      <c r="P551" s="29">
        <v>2.6579999999999999</v>
      </c>
      <c r="Q551" s="29" t="s">
        <v>1033</v>
      </c>
    </row>
    <row r="552" spans="1:17" x14ac:dyDescent="0.3">
      <c r="B552" s="29">
        <v>2</v>
      </c>
      <c r="C552" s="29" t="s">
        <v>1050</v>
      </c>
      <c r="D552" s="29" t="s">
        <v>1086</v>
      </c>
      <c r="E552" s="29">
        <v>300</v>
      </c>
      <c r="G552" s="29" t="s">
        <v>1035</v>
      </c>
      <c r="H552" s="29">
        <v>1</v>
      </c>
      <c r="I552" s="29">
        <v>4.43</v>
      </c>
      <c r="J552" s="29">
        <v>1.329</v>
      </c>
      <c r="K552" s="29">
        <v>1.329</v>
      </c>
      <c r="L552" s="29" t="s">
        <v>1032</v>
      </c>
      <c r="M552" s="29">
        <v>1</v>
      </c>
      <c r="N552" s="29">
        <v>0.3</v>
      </c>
      <c r="O552" s="29">
        <v>1</v>
      </c>
      <c r="P552" s="29">
        <v>1.329</v>
      </c>
      <c r="Q552" s="29" t="s">
        <v>1033</v>
      </c>
    </row>
    <row r="553" spans="1:17" x14ac:dyDescent="0.3">
      <c r="A553" s="29" t="s">
        <v>482</v>
      </c>
      <c r="B553" s="29">
        <v>1</v>
      </c>
      <c r="C553" s="29" t="s">
        <v>1050</v>
      </c>
      <c r="D553" s="29" t="s">
        <v>1086</v>
      </c>
      <c r="E553" s="29">
        <v>600</v>
      </c>
      <c r="G553" s="29" t="s">
        <v>1035</v>
      </c>
      <c r="H553" s="29">
        <v>1</v>
      </c>
      <c r="I553" s="29">
        <v>4.43</v>
      </c>
      <c r="J553" s="29">
        <v>2.6579999999999999</v>
      </c>
      <c r="K553" s="29">
        <v>2.6579999999999999</v>
      </c>
      <c r="L553" s="29" t="s">
        <v>1032</v>
      </c>
      <c r="M553" s="29">
        <v>1</v>
      </c>
      <c r="N553" s="29">
        <v>0.6</v>
      </c>
      <c r="O553" s="29">
        <v>1</v>
      </c>
      <c r="P553" s="29">
        <v>2.6579999999999999</v>
      </c>
      <c r="Q553" s="29" t="s">
        <v>1033</v>
      </c>
    </row>
    <row r="554" spans="1:17" x14ac:dyDescent="0.3">
      <c r="B554" s="29">
        <v>2</v>
      </c>
      <c r="C554" s="29" t="s">
        <v>1050</v>
      </c>
      <c r="D554" s="29" t="s">
        <v>1086</v>
      </c>
      <c r="E554" s="29">
        <v>500</v>
      </c>
      <c r="G554" s="29" t="s">
        <v>1035</v>
      </c>
      <c r="H554" s="29">
        <v>1</v>
      </c>
      <c r="I554" s="29">
        <v>4.43</v>
      </c>
      <c r="J554" s="29">
        <v>2.2149999999999999</v>
      </c>
      <c r="K554" s="29">
        <v>2.2149999999999999</v>
      </c>
      <c r="L554" s="29" t="s">
        <v>1032</v>
      </c>
      <c r="M554" s="29">
        <v>1</v>
      </c>
      <c r="N554" s="29">
        <v>0.5</v>
      </c>
      <c r="O554" s="29">
        <v>1</v>
      </c>
      <c r="P554" s="29">
        <v>2.2149999999999999</v>
      </c>
      <c r="Q554" s="29" t="s">
        <v>1033</v>
      </c>
    </row>
    <row r="555" spans="1:17" x14ac:dyDescent="0.3">
      <c r="A555" s="29" t="s">
        <v>483</v>
      </c>
      <c r="B555" s="29">
        <v>1</v>
      </c>
      <c r="C555" s="29" t="s">
        <v>1050</v>
      </c>
      <c r="D555" s="29" t="s">
        <v>1086</v>
      </c>
      <c r="E555" s="29">
        <v>700</v>
      </c>
      <c r="G555" s="29" t="s">
        <v>1035</v>
      </c>
      <c r="H555" s="29">
        <v>1</v>
      </c>
      <c r="I555" s="29">
        <v>4.43</v>
      </c>
      <c r="J555" s="29">
        <v>3.1009999999999995</v>
      </c>
      <c r="K555" s="29">
        <v>3.1009999999999995</v>
      </c>
      <c r="L555" s="29" t="s">
        <v>1032</v>
      </c>
      <c r="M555" s="29">
        <v>1</v>
      </c>
      <c r="N555" s="29">
        <v>0.7</v>
      </c>
      <c r="O555" s="29">
        <v>1</v>
      </c>
      <c r="P555" s="29">
        <v>3.1009999999999995</v>
      </c>
      <c r="Q555" s="29" t="s">
        <v>1033</v>
      </c>
    </row>
    <row r="556" spans="1:17" x14ac:dyDescent="0.3">
      <c r="B556" s="29">
        <v>2</v>
      </c>
      <c r="C556" s="29" t="s">
        <v>1050</v>
      </c>
      <c r="D556" s="29" t="s">
        <v>1086</v>
      </c>
      <c r="E556" s="29">
        <v>300</v>
      </c>
      <c r="G556" s="29" t="s">
        <v>1035</v>
      </c>
      <c r="H556" s="29">
        <v>1</v>
      </c>
      <c r="I556" s="29">
        <v>4.43</v>
      </c>
      <c r="J556" s="29">
        <v>1.329</v>
      </c>
      <c r="K556" s="29">
        <v>1.329</v>
      </c>
      <c r="L556" s="29" t="s">
        <v>1032</v>
      </c>
      <c r="M556" s="29">
        <v>1</v>
      </c>
      <c r="N556" s="29">
        <v>0.3</v>
      </c>
      <c r="O556" s="29">
        <v>1</v>
      </c>
      <c r="P556" s="29">
        <v>1.329</v>
      </c>
      <c r="Q556" s="29" t="s">
        <v>1033</v>
      </c>
    </row>
    <row r="557" spans="1:17" x14ac:dyDescent="0.3">
      <c r="A557" s="29" t="s">
        <v>484</v>
      </c>
      <c r="B557" s="29">
        <v>1</v>
      </c>
      <c r="C557" s="29" t="s">
        <v>1050</v>
      </c>
      <c r="D557" s="29" t="s">
        <v>1086</v>
      </c>
      <c r="E557" s="29">
        <v>900</v>
      </c>
      <c r="G557" s="29" t="s">
        <v>1035</v>
      </c>
      <c r="H557" s="29">
        <v>1</v>
      </c>
      <c r="I557" s="29">
        <v>4.43</v>
      </c>
      <c r="J557" s="29">
        <v>3.9869999999999997</v>
      </c>
      <c r="K557" s="29">
        <v>3.9869999999999997</v>
      </c>
      <c r="L557" s="29" t="s">
        <v>1032</v>
      </c>
      <c r="M557" s="29">
        <v>1</v>
      </c>
      <c r="N557" s="29">
        <v>0.9</v>
      </c>
      <c r="O557" s="29">
        <v>1</v>
      </c>
      <c r="P557" s="29">
        <v>3.9869999999999997</v>
      </c>
      <c r="Q557" s="29" t="s">
        <v>1033</v>
      </c>
    </row>
    <row r="558" spans="1:17" x14ac:dyDescent="0.3">
      <c r="B558" s="29">
        <v>2</v>
      </c>
      <c r="C558" s="29" t="s">
        <v>1050</v>
      </c>
      <c r="D558" s="29" t="s">
        <v>1086</v>
      </c>
      <c r="E558" s="29">
        <v>300</v>
      </c>
      <c r="G558" s="29" t="s">
        <v>1035</v>
      </c>
      <c r="H558" s="29">
        <v>1</v>
      </c>
      <c r="I558" s="29">
        <v>4.43</v>
      </c>
      <c r="J558" s="29">
        <v>1.329</v>
      </c>
      <c r="K558" s="29">
        <v>1.329</v>
      </c>
      <c r="L558" s="29" t="s">
        <v>1032</v>
      </c>
      <c r="M558" s="29">
        <v>1</v>
      </c>
      <c r="N558" s="29">
        <v>0.3</v>
      </c>
      <c r="O558" s="29">
        <v>1</v>
      </c>
      <c r="P558" s="29">
        <v>1.329</v>
      </c>
      <c r="Q558" s="29" t="s">
        <v>1033</v>
      </c>
    </row>
    <row r="559" spans="1:17" x14ac:dyDescent="0.3">
      <c r="A559" s="29" t="s">
        <v>484</v>
      </c>
      <c r="B559" s="29">
        <v>1</v>
      </c>
      <c r="C559" s="29" t="s">
        <v>1050</v>
      </c>
      <c r="D559" s="29" t="s">
        <v>1086</v>
      </c>
      <c r="E559" s="29">
        <v>900</v>
      </c>
      <c r="G559" s="29" t="s">
        <v>1035</v>
      </c>
      <c r="H559" s="29">
        <v>1</v>
      </c>
      <c r="I559" s="29">
        <v>4.43</v>
      </c>
      <c r="J559" s="29">
        <v>3.9869999999999997</v>
      </c>
      <c r="K559" s="29">
        <v>3.9869999999999997</v>
      </c>
      <c r="L559" s="29" t="s">
        <v>1032</v>
      </c>
      <c r="M559" s="29">
        <v>1</v>
      </c>
      <c r="N559" s="29">
        <v>0.9</v>
      </c>
      <c r="O559" s="29">
        <v>1</v>
      </c>
      <c r="P559" s="29">
        <v>3.9869999999999997</v>
      </c>
      <c r="Q559" s="29" t="s">
        <v>1033</v>
      </c>
    </row>
    <row r="560" spans="1:17" x14ac:dyDescent="0.3">
      <c r="B560" s="29">
        <v>2</v>
      </c>
      <c r="C560" s="29" t="s">
        <v>1050</v>
      </c>
      <c r="D560" s="29" t="s">
        <v>1086</v>
      </c>
      <c r="E560" s="29">
        <v>300</v>
      </c>
      <c r="G560" s="29" t="s">
        <v>1035</v>
      </c>
      <c r="H560" s="29">
        <v>1</v>
      </c>
      <c r="I560" s="29">
        <v>4.43</v>
      </c>
      <c r="J560" s="29">
        <v>1.329</v>
      </c>
      <c r="K560" s="29">
        <v>1.329</v>
      </c>
      <c r="L560" s="29" t="s">
        <v>1032</v>
      </c>
      <c r="M560" s="29">
        <v>1</v>
      </c>
      <c r="N560" s="29">
        <v>0.3</v>
      </c>
      <c r="O560" s="29">
        <v>1</v>
      </c>
      <c r="P560" s="29">
        <v>1.329</v>
      </c>
      <c r="Q560" s="29" t="s">
        <v>1033</v>
      </c>
    </row>
    <row r="561" spans="1:17" x14ac:dyDescent="0.3">
      <c r="A561" s="29" t="s">
        <v>485</v>
      </c>
      <c r="B561" s="29">
        <v>1</v>
      </c>
      <c r="C561" s="29" t="s">
        <v>1050</v>
      </c>
      <c r="D561" s="29" t="s">
        <v>1086</v>
      </c>
      <c r="E561" s="29">
        <v>1000</v>
      </c>
      <c r="G561" s="29" t="s">
        <v>1035</v>
      </c>
      <c r="H561" s="29">
        <v>1</v>
      </c>
      <c r="I561" s="29">
        <v>4.43</v>
      </c>
      <c r="J561" s="29">
        <v>4.43</v>
      </c>
      <c r="K561" s="29">
        <v>4.43</v>
      </c>
      <c r="L561" s="29" t="s">
        <v>1032</v>
      </c>
      <c r="M561" s="29">
        <v>1</v>
      </c>
      <c r="N561" s="29">
        <v>1</v>
      </c>
      <c r="O561" s="29">
        <v>1</v>
      </c>
      <c r="P561" s="29">
        <v>4.43</v>
      </c>
      <c r="Q561" s="29" t="s">
        <v>1033</v>
      </c>
    </row>
    <row r="562" spans="1:17" x14ac:dyDescent="0.3">
      <c r="B562" s="29">
        <v>2</v>
      </c>
      <c r="C562" s="29" t="s">
        <v>1050</v>
      </c>
      <c r="D562" s="29" t="s">
        <v>1086</v>
      </c>
      <c r="E562" s="29">
        <v>300</v>
      </c>
      <c r="G562" s="29" t="s">
        <v>1035</v>
      </c>
      <c r="H562" s="29">
        <v>1</v>
      </c>
      <c r="I562" s="29">
        <v>4.43</v>
      </c>
      <c r="J562" s="29">
        <v>1.329</v>
      </c>
      <c r="K562" s="29">
        <v>1.329</v>
      </c>
      <c r="L562" s="29" t="s">
        <v>1032</v>
      </c>
      <c r="M562" s="29">
        <v>1</v>
      </c>
      <c r="N562" s="29">
        <v>0.3</v>
      </c>
      <c r="O562" s="29">
        <v>1</v>
      </c>
      <c r="P562" s="29">
        <v>1.329</v>
      </c>
      <c r="Q562" s="29" t="s">
        <v>1033</v>
      </c>
    </row>
    <row r="563" spans="1:17" x14ac:dyDescent="0.3">
      <c r="A563" s="29" t="s">
        <v>486</v>
      </c>
      <c r="B563" s="29">
        <v>1</v>
      </c>
      <c r="C563" s="29" t="s">
        <v>1050</v>
      </c>
      <c r="D563" s="29" t="s">
        <v>1087</v>
      </c>
      <c r="E563" s="29">
        <v>300</v>
      </c>
      <c r="G563" s="29" t="s">
        <v>1035</v>
      </c>
      <c r="H563" s="29">
        <v>1</v>
      </c>
      <c r="I563" s="29">
        <v>9.9600000000000009</v>
      </c>
      <c r="J563" s="29">
        <v>2.988</v>
      </c>
      <c r="K563" s="29">
        <v>2.988</v>
      </c>
      <c r="L563" s="29" t="s">
        <v>1032</v>
      </c>
      <c r="M563" s="29">
        <v>1</v>
      </c>
      <c r="N563" s="29">
        <v>0.3</v>
      </c>
      <c r="O563" s="29">
        <v>1</v>
      </c>
      <c r="P563" s="29">
        <v>2.988</v>
      </c>
      <c r="Q563" s="29" t="s">
        <v>1033</v>
      </c>
    </row>
    <row r="564" spans="1:17" x14ac:dyDescent="0.3">
      <c r="B564" s="29">
        <v>2</v>
      </c>
      <c r="C564" s="29" t="s">
        <v>1050</v>
      </c>
      <c r="D564" s="29" t="s">
        <v>1087</v>
      </c>
      <c r="E564" s="29">
        <v>300</v>
      </c>
      <c r="G564" s="29" t="s">
        <v>1035</v>
      </c>
      <c r="H564" s="29">
        <v>1</v>
      </c>
      <c r="I564" s="29">
        <v>9.9600000000000009</v>
      </c>
      <c r="J564" s="29">
        <v>2.988</v>
      </c>
      <c r="K564" s="29">
        <v>2.988</v>
      </c>
      <c r="L564" s="29" t="s">
        <v>1032</v>
      </c>
      <c r="M564" s="29">
        <v>1</v>
      </c>
      <c r="N564" s="29">
        <v>0.3</v>
      </c>
      <c r="O564" s="29">
        <v>1</v>
      </c>
      <c r="P564" s="29">
        <v>2.988</v>
      </c>
      <c r="Q564" s="29" t="s">
        <v>1033</v>
      </c>
    </row>
    <row r="565" spans="1:17" x14ac:dyDescent="0.3">
      <c r="A565" s="29" t="s">
        <v>486</v>
      </c>
      <c r="B565" s="29">
        <v>1</v>
      </c>
      <c r="C565" s="29" t="s">
        <v>1050</v>
      </c>
      <c r="D565" s="29" t="s">
        <v>1087</v>
      </c>
      <c r="E565" s="29">
        <v>300</v>
      </c>
      <c r="G565" s="29" t="s">
        <v>1035</v>
      </c>
      <c r="H565" s="29">
        <v>1</v>
      </c>
      <c r="I565" s="29">
        <v>9.9600000000000009</v>
      </c>
      <c r="J565" s="29">
        <v>2.988</v>
      </c>
      <c r="K565" s="29">
        <v>2.988</v>
      </c>
      <c r="L565" s="29" t="s">
        <v>1032</v>
      </c>
      <c r="M565" s="29">
        <v>1</v>
      </c>
      <c r="N565" s="29">
        <v>0.3</v>
      </c>
      <c r="O565" s="29">
        <v>1</v>
      </c>
      <c r="P565" s="29">
        <v>2.988</v>
      </c>
      <c r="Q565" s="29" t="s">
        <v>1033</v>
      </c>
    </row>
    <row r="566" spans="1:17" x14ac:dyDescent="0.3">
      <c r="B566" s="29">
        <v>2</v>
      </c>
      <c r="C566" s="29" t="s">
        <v>1050</v>
      </c>
      <c r="D566" s="29" t="s">
        <v>1087</v>
      </c>
      <c r="E566" s="29">
        <v>300</v>
      </c>
      <c r="G566" s="29" t="s">
        <v>1035</v>
      </c>
      <c r="H566" s="29">
        <v>1</v>
      </c>
      <c r="I566" s="29">
        <v>9.9600000000000009</v>
      </c>
      <c r="J566" s="29">
        <v>2.988</v>
      </c>
      <c r="K566" s="29">
        <v>2.988</v>
      </c>
      <c r="L566" s="29" t="s">
        <v>1032</v>
      </c>
      <c r="M566" s="29">
        <v>1</v>
      </c>
      <c r="N566" s="29">
        <v>0.3</v>
      </c>
      <c r="O566" s="29">
        <v>1</v>
      </c>
      <c r="P566" s="29">
        <v>2.988</v>
      </c>
      <c r="Q566" s="29" t="s">
        <v>1033</v>
      </c>
    </row>
    <row r="567" spans="1:17" x14ac:dyDescent="0.3">
      <c r="A567" s="29" t="s">
        <v>487</v>
      </c>
      <c r="B567" s="29">
        <v>1</v>
      </c>
      <c r="C567" s="29" t="s">
        <v>1050</v>
      </c>
      <c r="D567" s="29" t="s">
        <v>1087</v>
      </c>
      <c r="E567" s="29">
        <v>300</v>
      </c>
      <c r="G567" s="29" t="s">
        <v>1035</v>
      </c>
      <c r="H567" s="29">
        <v>1</v>
      </c>
      <c r="I567" s="29">
        <v>9.9600000000000009</v>
      </c>
      <c r="J567" s="29">
        <v>2.988</v>
      </c>
      <c r="K567" s="29">
        <v>2.988</v>
      </c>
      <c r="L567" s="29" t="s">
        <v>1032</v>
      </c>
      <c r="M567" s="29">
        <v>1</v>
      </c>
      <c r="N567" s="29">
        <v>0.3</v>
      </c>
      <c r="O567" s="29">
        <v>1</v>
      </c>
      <c r="P567" s="29">
        <v>2.988</v>
      </c>
      <c r="Q567" s="29" t="s">
        <v>1033</v>
      </c>
    </row>
    <row r="568" spans="1:17" x14ac:dyDescent="0.3">
      <c r="B568" s="29">
        <v>2</v>
      </c>
      <c r="C568" s="29" t="s">
        <v>1050</v>
      </c>
      <c r="D568" s="29" t="s">
        <v>1087</v>
      </c>
      <c r="E568" s="29">
        <v>500</v>
      </c>
      <c r="G568" s="29" t="s">
        <v>1035</v>
      </c>
      <c r="H568" s="29">
        <v>1</v>
      </c>
      <c r="I568" s="29">
        <v>9.9600000000000009</v>
      </c>
      <c r="J568" s="29">
        <v>4.9800000000000004</v>
      </c>
      <c r="K568" s="29">
        <v>4.9800000000000004</v>
      </c>
      <c r="L568" s="29" t="s">
        <v>1032</v>
      </c>
      <c r="M568" s="29">
        <v>1</v>
      </c>
      <c r="N568" s="29">
        <v>0.5</v>
      </c>
      <c r="O568" s="29">
        <v>1</v>
      </c>
      <c r="P568" s="29">
        <v>4.9800000000000004</v>
      </c>
      <c r="Q568" s="29" t="s">
        <v>1033</v>
      </c>
    </row>
    <row r="569" spans="1:17" x14ac:dyDescent="0.3">
      <c r="A569" s="29" t="s">
        <v>488</v>
      </c>
      <c r="B569" s="29">
        <v>1</v>
      </c>
      <c r="C569" s="29" t="s">
        <v>1050</v>
      </c>
      <c r="D569" s="29" t="s">
        <v>1087</v>
      </c>
      <c r="E569" s="29">
        <v>300</v>
      </c>
      <c r="G569" s="29" t="s">
        <v>1035</v>
      </c>
      <c r="H569" s="29">
        <v>1</v>
      </c>
      <c r="I569" s="29">
        <v>9.9600000000000009</v>
      </c>
      <c r="J569" s="29">
        <v>2.988</v>
      </c>
      <c r="K569" s="29">
        <v>2.988</v>
      </c>
      <c r="L569" s="29" t="s">
        <v>1032</v>
      </c>
      <c r="M569" s="29">
        <v>1</v>
      </c>
      <c r="N569" s="29">
        <v>0.3</v>
      </c>
      <c r="O569" s="29">
        <v>1</v>
      </c>
      <c r="P569" s="29">
        <v>2.988</v>
      </c>
      <c r="Q569" s="29" t="s">
        <v>1033</v>
      </c>
    </row>
    <row r="570" spans="1:17" x14ac:dyDescent="0.3">
      <c r="B570" s="29">
        <v>2</v>
      </c>
      <c r="C570" s="29" t="s">
        <v>1050</v>
      </c>
      <c r="D570" s="29" t="s">
        <v>1087</v>
      </c>
      <c r="E570" s="29">
        <v>700</v>
      </c>
      <c r="G570" s="29" t="s">
        <v>1035</v>
      </c>
      <c r="H570" s="29">
        <v>1</v>
      </c>
      <c r="I570" s="29">
        <v>9.9600000000000009</v>
      </c>
      <c r="J570" s="29">
        <v>6.9720000000000004</v>
      </c>
      <c r="K570" s="29">
        <v>6.9720000000000004</v>
      </c>
      <c r="L570" s="29" t="s">
        <v>1032</v>
      </c>
      <c r="M570" s="29">
        <v>1</v>
      </c>
      <c r="N570" s="29">
        <v>0.7</v>
      </c>
      <c r="O570" s="29">
        <v>1</v>
      </c>
      <c r="P570" s="29">
        <v>6.9720000000000004</v>
      </c>
      <c r="Q570" s="29" t="s">
        <v>1033</v>
      </c>
    </row>
    <row r="571" spans="1:17" x14ac:dyDescent="0.3">
      <c r="A571" s="29" t="s">
        <v>489</v>
      </c>
      <c r="B571" s="29">
        <v>1</v>
      </c>
      <c r="C571" s="29" t="s">
        <v>1050</v>
      </c>
      <c r="D571" s="29" t="s">
        <v>1087</v>
      </c>
      <c r="E571" s="29">
        <v>400</v>
      </c>
      <c r="G571" s="29" t="s">
        <v>1035</v>
      </c>
      <c r="H571" s="29">
        <v>1</v>
      </c>
      <c r="I571" s="29">
        <v>9.9600000000000009</v>
      </c>
      <c r="J571" s="29">
        <v>3.9840000000000004</v>
      </c>
      <c r="K571" s="29">
        <v>3.9840000000000004</v>
      </c>
      <c r="L571" s="29" t="s">
        <v>1032</v>
      </c>
      <c r="M571" s="29">
        <v>1</v>
      </c>
      <c r="N571" s="29">
        <v>0.4</v>
      </c>
      <c r="O571" s="29">
        <v>1</v>
      </c>
      <c r="P571" s="29">
        <v>3.9840000000000004</v>
      </c>
      <c r="Q571" s="29" t="s">
        <v>1033</v>
      </c>
    </row>
    <row r="572" spans="1:17" x14ac:dyDescent="0.3">
      <c r="B572" s="29">
        <v>2</v>
      </c>
      <c r="C572" s="29" t="s">
        <v>1050</v>
      </c>
      <c r="D572" s="29" t="s">
        <v>1087</v>
      </c>
      <c r="E572" s="29">
        <v>300</v>
      </c>
      <c r="G572" s="29" t="s">
        <v>1035</v>
      </c>
      <c r="H572" s="29">
        <v>1</v>
      </c>
      <c r="I572" s="29">
        <v>9.9600000000000009</v>
      </c>
      <c r="J572" s="29">
        <v>2.988</v>
      </c>
      <c r="K572" s="29">
        <v>2.988</v>
      </c>
      <c r="L572" s="29" t="s">
        <v>1032</v>
      </c>
      <c r="M572" s="29">
        <v>1</v>
      </c>
      <c r="N572" s="29">
        <v>0.3</v>
      </c>
      <c r="O572" s="29">
        <v>1</v>
      </c>
      <c r="P572" s="29">
        <v>2.988</v>
      </c>
      <c r="Q572" s="29" t="s">
        <v>1033</v>
      </c>
    </row>
    <row r="573" spans="1:17" x14ac:dyDescent="0.3">
      <c r="A573" s="29" t="s">
        <v>490</v>
      </c>
      <c r="B573" s="29">
        <v>1</v>
      </c>
      <c r="C573" s="29" t="s">
        <v>1050</v>
      </c>
      <c r="D573" s="29" t="s">
        <v>1087</v>
      </c>
      <c r="E573" s="29">
        <v>400</v>
      </c>
      <c r="G573" s="29" t="s">
        <v>1035</v>
      </c>
      <c r="H573" s="29">
        <v>1</v>
      </c>
      <c r="I573" s="29">
        <v>9.9600000000000009</v>
      </c>
      <c r="J573" s="29">
        <v>3.9840000000000004</v>
      </c>
      <c r="K573" s="29">
        <v>3.9840000000000004</v>
      </c>
      <c r="L573" s="29" t="s">
        <v>1032</v>
      </c>
      <c r="M573" s="29">
        <v>1</v>
      </c>
      <c r="N573" s="29">
        <v>0.4</v>
      </c>
      <c r="O573" s="29">
        <v>1</v>
      </c>
      <c r="P573" s="29">
        <v>3.9840000000000004</v>
      </c>
      <c r="Q573" s="29" t="s">
        <v>1033</v>
      </c>
    </row>
    <row r="574" spans="1:17" x14ac:dyDescent="0.3">
      <c r="B574" s="29">
        <v>2</v>
      </c>
      <c r="C574" s="29" t="s">
        <v>1050</v>
      </c>
      <c r="D574" s="29" t="s">
        <v>1087</v>
      </c>
      <c r="E574" s="29">
        <v>600</v>
      </c>
      <c r="G574" s="29" t="s">
        <v>1035</v>
      </c>
      <c r="H574" s="29">
        <v>1</v>
      </c>
      <c r="I574" s="29">
        <v>9.9600000000000009</v>
      </c>
      <c r="J574" s="29">
        <v>5.976</v>
      </c>
      <c r="K574" s="29">
        <v>5.976</v>
      </c>
      <c r="L574" s="29" t="s">
        <v>1032</v>
      </c>
      <c r="M574" s="29">
        <v>1</v>
      </c>
      <c r="N574" s="29">
        <v>0.6</v>
      </c>
      <c r="O574" s="29">
        <v>1</v>
      </c>
      <c r="P574" s="29">
        <v>5.976</v>
      </c>
      <c r="Q574" s="29" t="s">
        <v>1033</v>
      </c>
    </row>
    <row r="575" spans="1:17" x14ac:dyDescent="0.3">
      <c r="A575" s="29" t="s">
        <v>491</v>
      </c>
      <c r="B575" s="29">
        <v>1</v>
      </c>
      <c r="C575" s="29" t="s">
        <v>1050</v>
      </c>
      <c r="D575" s="29" t="s">
        <v>1087</v>
      </c>
      <c r="E575" s="29">
        <v>400</v>
      </c>
      <c r="G575" s="29" t="s">
        <v>1035</v>
      </c>
      <c r="H575" s="29">
        <v>1</v>
      </c>
      <c r="I575" s="29">
        <v>9.9600000000000009</v>
      </c>
      <c r="J575" s="29">
        <v>3.9840000000000004</v>
      </c>
      <c r="K575" s="29">
        <v>3.9840000000000004</v>
      </c>
      <c r="L575" s="29" t="s">
        <v>1032</v>
      </c>
      <c r="M575" s="29">
        <v>1</v>
      </c>
      <c r="N575" s="29">
        <v>0.4</v>
      </c>
      <c r="O575" s="29">
        <v>1</v>
      </c>
      <c r="P575" s="29">
        <v>3.9840000000000004</v>
      </c>
      <c r="Q575" s="29" t="s">
        <v>1033</v>
      </c>
    </row>
    <row r="576" spans="1:17" x14ac:dyDescent="0.3">
      <c r="B576" s="29">
        <v>2</v>
      </c>
      <c r="C576" s="29" t="s">
        <v>1050</v>
      </c>
      <c r="D576" s="29" t="s">
        <v>1087</v>
      </c>
      <c r="E576" s="29">
        <v>700</v>
      </c>
      <c r="G576" s="29" t="s">
        <v>1035</v>
      </c>
      <c r="H576" s="29">
        <v>1</v>
      </c>
      <c r="I576" s="29">
        <v>9.9600000000000009</v>
      </c>
      <c r="J576" s="29">
        <v>6.9720000000000004</v>
      </c>
      <c r="K576" s="29">
        <v>6.9720000000000004</v>
      </c>
      <c r="L576" s="29" t="s">
        <v>1032</v>
      </c>
      <c r="M576" s="29">
        <v>1</v>
      </c>
      <c r="N576" s="29">
        <v>0.7</v>
      </c>
      <c r="O576" s="29">
        <v>1</v>
      </c>
      <c r="P576" s="29">
        <v>6.9720000000000004</v>
      </c>
      <c r="Q576" s="29" t="s">
        <v>1033</v>
      </c>
    </row>
    <row r="577" spans="1:17" x14ac:dyDescent="0.3">
      <c r="A577" s="29" t="s">
        <v>491</v>
      </c>
      <c r="B577" s="29">
        <v>1</v>
      </c>
      <c r="C577" s="29" t="s">
        <v>1050</v>
      </c>
      <c r="D577" s="29" t="s">
        <v>1087</v>
      </c>
      <c r="E577" s="29">
        <v>400</v>
      </c>
      <c r="G577" s="29" t="s">
        <v>1035</v>
      </c>
      <c r="H577" s="29">
        <v>1</v>
      </c>
      <c r="I577" s="29">
        <v>9.9600000000000009</v>
      </c>
      <c r="J577" s="29">
        <v>3.9840000000000004</v>
      </c>
      <c r="K577" s="29">
        <v>3.9840000000000004</v>
      </c>
      <c r="L577" s="29" t="s">
        <v>1032</v>
      </c>
      <c r="M577" s="29">
        <v>1</v>
      </c>
      <c r="N577" s="29">
        <v>0.4</v>
      </c>
      <c r="O577" s="29">
        <v>1</v>
      </c>
      <c r="P577" s="29">
        <v>3.9840000000000004</v>
      </c>
      <c r="Q577" s="29" t="s">
        <v>1033</v>
      </c>
    </row>
    <row r="578" spans="1:17" x14ac:dyDescent="0.3">
      <c r="B578" s="29">
        <v>2</v>
      </c>
      <c r="C578" s="29" t="s">
        <v>1050</v>
      </c>
      <c r="D578" s="29" t="s">
        <v>1087</v>
      </c>
      <c r="E578" s="29">
        <v>700</v>
      </c>
      <c r="G578" s="29" t="s">
        <v>1035</v>
      </c>
      <c r="H578" s="29">
        <v>1</v>
      </c>
      <c r="I578" s="29">
        <v>9.9600000000000009</v>
      </c>
      <c r="J578" s="29">
        <v>6.9720000000000004</v>
      </c>
      <c r="K578" s="29">
        <v>6.9720000000000004</v>
      </c>
      <c r="L578" s="29" t="s">
        <v>1032</v>
      </c>
      <c r="M578" s="29">
        <v>1</v>
      </c>
      <c r="N578" s="29">
        <v>0.7</v>
      </c>
      <c r="O578" s="29">
        <v>1</v>
      </c>
      <c r="P578" s="29">
        <v>6.9720000000000004</v>
      </c>
      <c r="Q578" s="29" t="s">
        <v>1033</v>
      </c>
    </row>
    <row r="579" spans="1:17" x14ac:dyDescent="0.3">
      <c r="A579" s="29" t="s">
        <v>492</v>
      </c>
      <c r="B579" s="29">
        <v>1</v>
      </c>
      <c r="C579" s="29" t="s">
        <v>1050</v>
      </c>
      <c r="D579" s="29" t="s">
        <v>1087</v>
      </c>
      <c r="E579" s="29">
        <v>400</v>
      </c>
      <c r="G579" s="29" t="s">
        <v>1035</v>
      </c>
      <c r="H579" s="29">
        <v>1</v>
      </c>
      <c r="I579" s="29">
        <v>9.9600000000000009</v>
      </c>
      <c r="J579" s="29">
        <v>3.9840000000000004</v>
      </c>
      <c r="K579" s="29">
        <v>3.9840000000000004</v>
      </c>
      <c r="L579" s="29" t="s">
        <v>1032</v>
      </c>
      <c r="M579" s="29">
        <v>1</v>
      </c>
      <c r="N579" s="29">
        <v>0.4</v>
      </c>
      <c r="O579" s="29">
        <v>1</v>
      </c>
      <c r="P579" s="29">
        <v>3.9840000000000004</v>
      </c>
      <c r="Q579" s="29" t="s">
        <v>1033</v>
      </c>
    </row>
    <row r="580" spans="1:17" x14ac:dyDescent="0.3">
      <c r="B580" s="29">
        <v>2</v>
      </c>
      <c r="C580" s="29" t="s">
        <v>1050</v>
      </c>
      <c r="D580" s="29" t="s">
        <v>1087</v>
      </c>
      <c r="E580" s="29">
        <v>800</v>
      </c>
      <c r="G580" s="29" t="s">
        <v>1035</v>
      </c>
      <c r="H580" s="29">
        <v>1</v>
      </c>
      <c r="I580" s="29">
        <v>9.9600000000000009</v>
      </c>
      <c r="J580" s="29">
        <v>7.9680000000000009</v>
      </c>
      <c r="K580" s="29">
        <v>7.9680000000000009</v>
      </c>
      <c r="L580" s="29" t="s">
        <v>1032</v>
      </c>
      <c r="M580" s="29">
        <v>1</v>
      </c>
      <c r="N580" s="29">
        <v>0.8</v>
      </c>
      <c r="O580" s="29">
        <v>1</v>
      </c>
      <c r="P580" s="29">
        <v>7.9680000000000009</v>
      </c>
      <c r="Q580" s="29" t="s">
        <v>1033</v>
      </c>
    </row>
    <row r="581" spans="1:17" x14ac:dyDescent="0.3">
      <c r="A581" s="29" t="s">
        <v>493</v>
      </c>
      <c r="B581" s="29">
        <v>1</v>
      </c>
      <c r="C581" s="29" t="s">
        <v>1050</v>
      </c>
      <c r="D581" s="29" t="s">
        <v>1087</v>
      </c>
      <c r="E581" s="29">
        <v>500</v>
      </c>
      <c r="G581" s="29" t="s">
        <v>1035</v>
      </c>
      <c r="H581" s="29">
        <v>1</v>
      </c>
      <c r="I581" s="29">
        <v>9.9600000000000009</v>
      </c>
      <c r="J581" s="29">
        <v>4.9800000000000004</v>
      </c>
      <c r="K581" s="29">
        <v>4.9800000000000004</v>
      </c>
      <c r="L581" s="29" t="s">
        <v>1032</v>
      </c>
      <c r="M581" s="29">
        <v>1</v>
      </c>
      <c r="N581" s="29">
        <v>0.5</v>
      </c>
      <c r="O581" s="29">
        <v>1</v>
      </c>
      <c r="P581" s="29">
        <v>4.9800000000000004</v>
      </c>
      <c r="Q581" s="29" t="s">
        <v>1033</v>
      </c>
    </row>
    <row r="582" spans="1:17" x14ac:dyDescent="0.3">
      <c r="B582" s="29">
        <v>2</v>
      </c>
      <c r="C582" s="29" t="s">
        <v>1050</v>
      </c>
      <c r="D582" s="29" t="s">
        <v>1087</v>
      </c>
      <c r="E582" s="29">
        <v>300</v>
      </c>
      <c r="G582" s="29" t="s">
        <v>1035</v>
      </c>
      <c r="H582" s="29">
        <v>1</v>
      </c>
      <c r="I582" s="29">
        <v>9.9600000000000009</v>
      </c>
      <c r="J582" s="29">
        <v>2.988</v>
      </c>
      <c r="K582" s="29">
        <v>2.988</v>
      </c>
      <c r="L582" s="29" t="s">
        <v>1032</v>
      </c>
      <c r="M582" s="29">
        <v>1</v>
      </c>
      <c r="N582" s="29">
        <v>0.3</v>
      </c>
      <c r="O582" s="29">
        <v>1</v>
      </c>
      <c r="P582" s="29">
        <v>2.988</v>
      </c>
      <c r="Q582" s="29" t="s">
        <v>1033</v>
      </c>
    </row>
    <row r="583" spans="1:17" x14ac:dyDescent="0.3">
      <c r="A583" s="29" t="s">
        <v>493</v>
      </c>
      <c r="B583" s="29">
        <v>1</v>
      </c>
      <c r="C583" s="29" t="s">
        <v>1050</v>
      </c>
      <c r="D583" s="29" t="s">
        <v>1087</v>
      </c>
      <c r="E583" s="29">
        <v>500</v>
      </c>
      <c r="G583" s="29" t="s">
        <v>1035</v>
      </c>
      <c r="H583" s="29">
        <v>1</v>
      </c>
      <c r="I583" s="29">
        <v>9.9600000000000009</v>
      </c>
      <c r="J583" s="29">
        <v>4.9800000000000004</v>
      </c>
      <c r="K583" s="29">
        <v>4.9800000000000004</v>
      </c>
      <c r="L583" s="29" t="s">
        <v>1032</v>
      </c>
      <c r="M583" s="29">
        <v>1</v>
      </c>
      <c r="N583" s="29">
        <v>0.5</v>
      </c>
      <c r="O583" s="29">
        <v>1</v>
      </c>
      <c r="P583" s="29">
        <v>4.9800000000000004</v>
      </c>
      <c r="Q583" s="29" t="s">
        <v>1033</v>
      </c>
    </row>
    <row r="584" spans="1:17" x14ac:dyDescent="0.3">
      <c r="B584" s="29">
        <v>2</v>
      </c>
      <c r="C584" s="29" t="s">
        <v>1050</v>
      </c>
      <c r="D584" s="29" t="s">
        <v>1087</v>
      </c>
      <c r="E584" s="29">
        <v>300</v>
      </c>
      <c r="G584" s="29" t="s">
        <v>1035</v>
      </c>
      <c r="H584" s="29">
        <v>1</v>
      </c>
      <c r="I584" s="29">
        <v>9.9600000000000009</v>
      </c>
      <c r="J584" s="29">
        <v>2.988</v>
      </c>
      <c r="K584" s="29">
        <v>2.988</v>
      </c>
      <c r="L584" s="29" t="s">
        <v>1032</v>
      </c>
      <c r="M584" s="29">
        <v>1</v>
      </c>
      <c r="N584" s="29">
        <v>0.3</v>
      </c>
      <c r="O584" s="29">
        <v>1</v>
      </c>
      <c r="P584" s="29">
        <v>2.988</v>
      </c>
      <c r="Q584" s="29" t="s">
        <v>1033</v>
      </c>
    </row>
    <row r="585" spans="1:17" x14ac:dyDescent="0.3">
      <c r="A585" s="29" t="s">
        <v>493</v>
      </c>
      <c r="B585" s="29">
        <v>1</v>
      </c>
      <c r="C585" s="29" t="s">
        <v>1050</v>
      </c>
      <c r="D585" s="29" t="s">
        <v>1087</v>
      </c>
      <c r="E585" s="29">
        <v>500</v>
      </c>
      <c r="G585" s="29" t="s">
        <v>1035</v>
      </c>
      <c r="H585" s="29">
        <v>1</v>
      </c>
      <c r="I585" s="29">
        <v>9.9600000000000009</v>
      </c>
      <c r="J585" s="29">
        <v>4.9800000000000004</v>
      </c>
      <c r="K585" s="29">
        <v>4.9800000000000004</v>
      </c>
      <c r="L585" s="29" t="s">
        <v>1032</v>
      </c>
      <c r="M585" s="29">
        <v>1</v>
      </c>
      <c r="N585" s="29">
        <v>0.5</v>
      </c>
      <c r="O585" s="29">
        <v>1</v>
      </c>
      <c r="P585" s="29">
        <v>4.9800000000000004</v>
      </c>
      <c r="Q585" s="29" t="s">
        <v>1033</v>
      </c>
    </row>
    <row r="586" spans="1:17" x14ac:dyDescent="0.3">
      <c r="B586" s="29">
        <v>2</v>
      </c>
      <c r="C586" s="29" t="s">
        <v>1050</v>
      </c>
      <c r="D586" s="29" t="s">
        <v>1087</v>
      </c>
      <c r="E586" s="29">
        <v>300</v>
      </c>
      <c r="G586" s="29" t="s">
        <v>1035</v>
      </c>
      <c r="H586" s="29">
        <v>1</v>
      </c>
      <c r="I586" s="29">
        <v>9.9600000000000009</v>
      </c>
      <c r="J586" s="29">
        <v>2.988</v>
      </c>
      <c r="K586" s="29">
        <v>2.988</v>
      </c>
      <c r="L586" s="29" t="s">
        <v>1032</v>
      </c>
      <c r="M586" s="29">
        <v>1</v>
      </c>
      <c r="N586" s="29">
        <v>0.3</v>
      </c>
      <c r="O586" s="29">
        <v>1</v>
      </c>
      <c r="P586" s="29">
        <v>2.988</v>
      </c>
      <c r="Q586" s="29" t="s">
        <v>1033</v>
      </c>
    </row>
    <row r="587" spans="1:17" x14ac:dyDescent="0.3">
      <c r="A587" s="29" t="s">
        <v>494</v>
      </c>
      <c r="B587" s="29">
        <v>1</v>
      </c>
      <c r="C587" s="29" t="s">
        <v>1050</v>
      </c>
      <c r="D587" s="29" t="s">
        <v>1087</v>
      </c>
      <c r="E587" s="29">
        <v>500</v>
      </c>
      <c r="G587" s="29" t="s">
        <v>1035</v>
      </c>
      <c r="H587" s="29">
        <v>1</v>
      </c>
      <c r="I587" s="29">
        <v>9.9600000000000009</v>
      </c>
      <c r="J587" s="29">
        <v>4.9800000000000004</v>
      </c>
      <c r="K587" s="29">
        <v>4.9800000000000004</v>
      </c>
      <c r="L587" s="29" t="s">
        <v>1032</v>
      </c>
      <c r="M587" s="29">
        <v>1</v>
      </c>
      <c r="N587" s="29">
        <v>0.5</v>
      </c>
      <c r="O587" s="29">
        <v>1</v>
      </c>
      <c r="P587" s="29">
        <v>4.9800000000000004</v>
      </c>
      <c r="Q587" s="29" t="s">
        <v>1033</v>
      </c>
    </row>
    <row r="588" spans="1:17" x14ac:dyDescent="0.3">
      <c r="B588" s="29">
        <v>2</v>
      </c>
      <c r="C588" s="29" t="s">
        <v>1050</v>
      </c>
      <c r="D588" s="29" t="s">
        <v>1087</v>
      </c>
      <c r="E588" s="29">
        <v>500</v>
      </c>
      <c r="G588" s="29" t="s">
        <v>1035</v>
      </c>
      <c r="H588" s="29">
        <v>1</v>
      </c>
      <c r="I588" s="29">
        <v>9.9600000000000009</v>
      </c>
      <c r="J588" s="29">
        <v>4.9800000000000004</v>
      </c>
      <c r="K588" s="29">
        <v>4.9800000000000004</v>
      </c>
      <c r="L588" s="29" t="s">
        <v>1032</v>
      </c>
      <c r="M588" s="29">
        <v>1</v>
      </c>
      <c r="N588" s="29">
        <v>0.5</v>
      </c>
      <c r="O588" s="29">
        <v>1</v>
      </c>
      <c r="P588" s="29">
        <v>4.9800000000000004</v>
      </c>
      <c r="Q588" s="29" t="s">
        <v>1033</v>
      </c>
    </row>
    <row r="589" spans="1:17" x14ac:dyDescent="0.3">
      <c r="A589" s="29" t="s">
        <v>494</v>
      </c>
      <c r="B589" s="29">
        <v>1</v>
      </c>
      <c r="C589" s="29" t="s">
        <v>1050</v>
      </c>
      <c r="D589" s="29" t="s">
        <v>1087</v>
      </c>
      <c r="E589" s="29">
        <v>500</v>
      </c>
      <c r="G589" s="29" t="s">
        <v>1035</v>
      </c>
      <c r="H589" s="29">
        <v>1</v>
      </c>
      <c r="I589" s="29">
        <v>9.9600000000000009</v>
      </c>
      <c r="J589" s="29">
        <v>4.9800000000000004</v>
      </c>
      <c r="K589" s="29">
        <v>4.9800000000000004</v>
      </c>
      <c r="L589" s="29" t="s">
        <v>1032</v>
      </c>
      <c r="M589" s="29">
        <v>1</v>
      </c>
      <c r="N589" s="29">
        <v>0.5</v>
      </c>
      <c r="O589" s="29">
        <v>1</v>
      </c>
      <c r="P589" s="29">
        <v>4.9800000000000004</v>
      </c>
      <c r="Q589" s="29" t="s">
        <v>1033</v>
      </c>
    </row>
    <row r="590" spans="1:17" x14ac:dyDescent="0.3">
      <c r="B590" s="29">
        <v>2</v>
      </c>
      <c r="C590" s="29" t="s">
        <v>1050</v>
      </c>
      <c r="D590" s="29" t="s">
        <v>1087</v>
      </c>
      <c r="E590" s="29">
        <v>500</v>
      </c>
      <c r="G590" s="29" t="s">
        <v>1035</v>
      </c>
      <c r="H590" s="29">
        <v>1</v>
      </c>
      <c r="I590" s="29">
        <v>9.9600000000000009</v>
      </c>
      <c r="J590" s="29">
        <v>4.9800000000000004</v>
      </c>
      <c r="K590" s="29">
        <v>4.9800000000000004</v>
      </c>
      <c r="L590" s="29" t="s">
        <v>1032</v>
      </c>
      <c r="M590" s="29">
        <v>1</v>
      </c>
      <c r="N590" s="29">
        <v>0.5</v>
      </c>
      <c r="O590" s="29">
        <v>1</v>
      </c>
      <c r="P590" s="29">
        <v>4.9800000000000004</v>
      </c>
      <c r="Q590" s="29" t="s">
        <v>1033</v>
      </c>
    </row>
    <row r="591" spans="1:17" x14ac:dyDescent="0.3">
      <c r="A591" s="29" t="s">
        <v>495</v>
      </c>
      <c r="B591" s="29">
        <v>1</v>
      </c>
      <c r="C591" s="29" t="s">
        <v>1050</v>
      </c>
      <c r="D591" s="29" t="s">
        <v>1087</v>
      </c>
      <c r="E591" s="29">
        <v>500</v>
      </c>
      <c r="G591" s="29" t="s">
        <v>1035</v>
      </c>
      <c r="H591" s="29">
        <v>1</v>
      </c>
      <c r="I591" s="29">
        <v>9.9600000000000009</v>
      </c>
      <c r="J591" s="29">
        <v>4.9800000000000004</v>
      </c>
      <c r="K591" s="29">
        <v>4.9800000000000004</v>
      </c>
      <c r="L591" s="29" t="s">
        <v>1032</v>
      </c>
      <c r="M591" s="29">
        <v>1</v>
      </c>
      <c r="N591" s="29">
        <v>0.5</v>
      </c>
      <c r="O591" s="29">
        <v>1</v>
      </c>
      <c r="P591" s="29">
        <v>4.9800000000000004</v>
      </c>
      <c r="Q591" s="29" t="s">
        <v>1033</v>
      </c>
    </row>
    <row r="592" spans="1:17" x14ac:dyDescent="0.3">
      <c r="B592" s="29">
        <v>2</v>
      </c>
      <c r="C592" s="29" t="s">
        <v>1050</v>
      </c>
      <c r="D592" s="29" t="s">
        <v>1087</v>
      </c>
      <c r="E592" s="29">
        <v>800</v>
      </c>
      <c r="G592" s="29" t="s">
        <v>1035</v>
      </c>
      <c r="H592" s="29">
        <v>1</v>
      </c>
      <c r="I592" s="29">
        <v>9.9600000000000009</v>
      </c>
      <c r="J592" s="29">
        <v>7.9680000000000009</v>
      </c>
      <c r="K592" s="29">
        <v>7.9680000000000009</v>
      </c>
      <c r="L592" s="29" t="s">
        <v>1032</v>
      </c>
      <c r="M592" s="29">
        <v>1</v>
      </c>
      <c r="N592" s="29">
        <v>0.8</v>
      </c>
      <c r="O592" s="29">
        <v>1</v>
      </c>
      <c r="P592" s="29">
        <v>7.9680000000000009</v>
      </c>
      <c r="Q592" s="29" t="s">
        <v>1033</v>
      </c>
    </row>
    <row r="593" spans="1:17" x14ac:dyDescent="0.3">
      <c r="A593" s="29" t="s">
        <v>496</v>
      </c>
      <c r="B593" s="29">
        <v>1</v>
      </c>
      <c r="C593" s="29" t="s">
        <v>1050</v>
      </c>
      <c r="D593" s="29" t="s">
        <v>1087</v>
      </c>
      <c r="E593" s="29">
        <v>600</v>
      </c>
      <c r="G593" s="29" t="s">
        <v>1035</v>
      </c>
      <c r="H593" s="29">
        <v>1</v>
      </c>
      <c r="I593" s="29">
        <v>9.9600000000000009</v>
      </c>
      <c r="J593" s="29">
        <v>5.976</v>
      </c>
      <c r="K593" s="29">
        <v>5.976</v>
      </c>
      <c r="L593" s="29" t="s">
        <v>1032</v>
      </c>
      <c r="M593" s="29">
        <v>1</v>
      </c>
      <c r="N593" s="29">
        <v>0.6</v>
      </c>
      <c r="O593" s="29">
        <v>1</v>
      </c>
      <c r="P593" s="29">
        <v>5.976</v>
      </c>
      <c r="Q593" s="29" t="s">
        <v>1033</v>
      </c>
    </row>
    <row r="594" spans="1:17" x14ac:dyDescent="0.3">
      <c r="B594" s="29">
        <v>2</v>
      </c>
      <c r="C594" s="29" t="s">
        <v>1050</v>
      </c>
      <c r="D594" s="29" t="s">
        <v>1087</v>
      </c>
      <c r="E594" s="29">
        <v>300</v>
      </c>
      <c r="G594" s="29" t="s">
        <v>1035</v>
      </c>
      <c r="H594" s="29">
        <v>1</v>
      </c>
      <c r="I594" s="29">
        <v>9.9600000000000009</v>
      </c>
      <c r="J594" s="29">
        <v>2.988</v>
      </c>
      <c r="K594" s="29">
        <v>2.988</v>
      </c>
      <c r="L594" s="29" t="s">
        <v>1032</v>
      </c>
      <c r="M594" s="29">
        <v>1</v>
      </c>
      <c r="N594" s="29">
        <v>0.3</v>
      </c>
      <c r="O594" s="29">
        <v>1</v>
      </c>
      <c r="P594" s="29">
        <v>2.988</v>
      </c>
      <c r="Q594" s="29" t="s">
        <v>1033</v>
      </c>
    </row>
    <row r="595" spans="1:17" x14ac:dyDescent="0.3">
      <c r="A595" s="29" t="s">
        <v>497</v>
      </c>
      <c r="B595" s="29">
        <v>1</v>
      </c>
      <c r="C595" s="29" t="s">
        <v>1050</v>
      </c>
      <c r="D595" s="29" t="s">
        <v>1087</v>
      </c>
      <c r="E595" s="29">
        <v>600</v>
      </c>
      <c r="G595" s="29" t="s">
        <v>1035</v>
      </c>
      <c r="H595" s="29">
        <v>1</v>
      </c>
      <c r="I595" s="29">
        <v>9.9600000000000009</v>
      </c>
      <c r="J595" s="29">
        <v>5.976</v>
      </c>
      <c r="K595" s="29">
        <v>5.976</v>
      </c>
      <c r="L595" s="29" t="s">
        <v>1032</v>
      </c>
      <c r="M595" s="29">
        <v>1</v>
      </c>
      <c r="N595" s="29">
        <v>0.6</v>
      </c>
      <c r="O595" s="29">
        <v>1</v>
      </c>
      <c r="P595" s="29">
        <v>5.976</v>
      </c>
      <c r="Q595" s="29" t="s">
        <v>1033</v>
      </c>
    </row>
    <row r="596" spans="1:17" x14ac:dyDescent="0.3">
      <c r="B596" s="29">
        <v>2</v>
      </c>
      <c r="C596" s="29" t="s">
        <v>1050</v>
      </c>
      <c r="D596" s="29" t="s">
        <v>1087</v>
      </c>
      <c r="E596" s="29">
        <v>500</v>
      </c>
      <c r="G596" s="29" t="s">
        <v>1035</v>
      </c>
      <c r="H596" s="29">
        <v>1</v>
      </c>
      <c r="I596" s="29">
        <v>9.9600000000000009</v>
      </c>
      <c r="J596" s="29">
        <v>4.9800000000000004</v>
      </c>
      <c r="K596" s="29">
        <v>4.9800000000000004</v>
      </c>
      <c r="L596" s="29" t="s">
        <v>1032</v>
      </c>
      <c r="M596" s="29">
        <v>1</v>
      </c>
      <c r="N596" s="29">
        <v>0.5</v>
      </c>
      <c r="O596" s="29">
        <v>1</v>
      </c>
      <c r="P596" s="29">
        <v>4.9800000000000004</v>
      </c>
      <c r="Q596" s="29" t="s">
        <v>1033</v>
      </c>
    </row>
    <row r="597" spans="1:17" x14ac:dyDescent="0.3">
      <c r="A597" s="29" t="s">
        <v>498</v>
      </c>
      <c r="B597" s="29">
        <v>1</v>
      </c>
      <c r="C597" s="29" t="s">
        <v>1050</v>
      </c>
      <c r="D597" s="29" t="s">
        <v>1087</v>
      </c>
      <c r="E597" s="29">
        <v>700</v>
      </c>
      <c r="G597" s="29" t="s">
        <v>1035</v>
      </c>
      <c r="H597" s="29">
        <v>1</v>
      </c>
      <c r="I597" s="29">
        <v>9.9600000000000009</v>
      </c>
      <c r="J597" s="29">
        <v>6.9720000000000004</v>
      </c>
      <c r="K597" s="29">
        <v>6.9720000000000004</v>
      </c>
      <c r="L597" s="29" t="s">
        <v>1032</v>
      </c>
      <c r="M597" s="29">
        <v>1</v>
      </c>
      <c r="N597" s="29">
        <v>0.7</v>
      </c>
      <c r="O597" s="29">
        <v>1</v>
      </c>
      <c r="P597" s="29">
        <v>6.9720000000000004</v>
      </c>
      <c r="Q597" s="29" t="s">
        <v>1033</v>
      </c>
    </row>
    <row r="598" spans="1:17" x14ac:dyDescent="0.3">
      <c r="B598" s="29">
        <v>2</v>
      </c>
      <c r="C598" s="29" t="s">
        <v>1050</v>
      </c>
      <c r="D598" s="29" t="s">
        <v>1087</v>
      </c>
      <c r="E598" s="29">
        <v>300</v>
      </c>
      <c r="G598" s="29" t="s">
        <v>1035</v>
      </c>
      <c r="H598" s="29">
        <v>1</v>
      </c>
      <c r="I598" s="29">
        <v>9.9600000000000009</v>
      </c>
      <c r="J598" s="29">
        <v>2.988</v>
      </c>
      <c r="K598" s="29">
        <v>2.988</v>
      </c>
      <c r="L598" s="29" t="s">
        <v>1032</v>
      </c>
      <c r="M598" s="29">
        <v>1</v>
      </c>
      <c r="N598" s="29">
        <v>0.3</v>
      </c>
      <c r="O598" s="29">
        <v>1</v>
      </c>
      <c r="P598" s="29">
        <v>2.988</v>
      </c>
      <c r="Q598" s="29" t="s">
        <v>1033</v>
      </c>
    </row>
    <row r="599" spans="1:17" x14ac:dyDescent="0.3">
      <c r="A599" s="29" t="s">
        <v>499</v>
      </c>
      <c r="B599" s="29">
        <v>1</v>
      </c>
      <c r="C599" s="29" t="s">
        <v>1050</v>
      </c>
      <c r="D599" s="29" t="s">
        <v>1087</v>
      </c>
      <c r="E599" s="29">
        <v>700</v>
      </c>
      <c r="G599" s="29" t="s">
        <v>1035</v>
      </c>
      <c r="H599" s="29">
        <v>1</v>
      </c>
      <c r="I599" s="29">
        <v>9.9600000000000009</v>
      </c>
      <c r="J599" s="29">
        <v>6.9720000000000004</v>
      </c>
      <c r="K599" s="29">
        <v>6.9720000000000004</v>
      </c>
      <c r="L599" s="29" t="s">
        <v>1032</v>
      </c>
      <c r="M599" s="29">
        <v>1</v>
      </c>
      <c r="N599" s="29">
        <v>0.7</v>
      </c>
      <c r="O599" s="29">
        <v>1</v>
      </c>
      <c r="P599" s="29">
        <v>6.9720000000000004</v>
      </c>
      <c r="Q599" s="29" t="s">
        <v>1033</v>
      </c>
    </row>
    <row r="600" spans="1:17" x14ac:dyDescent="0.3">
      <c r="B600" s="29">
        <v>2</v>
      </c>
      <c r="C600" s="29" t="s">
        <v>1050</v>
      </c>
      <c r="D600" s="29" t="s">
        <v>1087</v>
      </c>
      <c r="E600" s="29">
        <v>500</v>
      </c>
      <c r="G600" s="29" t="s">
        <v>1035</v>
      </c>
      <c r="H600" s="29">
        <v>1</v>
      </c>
      <c r="I600" s="29">
        <v>9.9600000000000009</v>
      </c>
      <c r="J600" s="29">
        <v>4.9800000000000004</v>
      </c>
      <c r="K600" s="29">
        <v>4.9800000000000004</v>
      </c>
      <c r="L600" s="29" t="s">
        <v>1032</v>
      </c>
      <c r="M600" s="29">
        <v>1</v>
      </c>
      <c r="N600" s="29">
        <v>0.5</v>
      </c>
      <c r="O600" s="29">
        <v>1</v>
      </c>
      <c r="P600" s="29">
        <v>4.9800000000000004</v>
      </c>
      <c r="Q600" s="29" t="s">
        <v>1033</v>
      </c>
    </row>
    <row r="601" spans="1:17" x14ac:dyDescent="0.3">
      <c r="A601" s="29" t="s">
        <v>499</v>
      </c>
      <c r="B601" s="29">
        <v>1</v>
      </c>
      <c r="C601" s="29" t="s">
        <v>1050</v>
      </c>
      <c r="D601" s="29" t="s">
        <v>1087</v>
      </c>
      <c r="E601" s="29">
        <v>700</v>
      </c>
      <c r="G601" s="29" t="s">
        <v>1035</v>
      </c>
      <c r="H601" s="29">
        <v>1</v>
      </c>
      <c r="I601" s="29">
        <v>9.9600000000000009</v>
      </c>
      <c r="J601" s="29">
        <v>6.9720000000000004</v>
      </c>
      <c r="K601" s="29">
        <v>6.9720000000000004</v>
      </c>
      <c r="L601" s="29" t="s">
        <v>1032</v>
      </c>
      <c r="M601" s="29">
        <v>1</v>
      </c>
      <c r="N601" s="29">
        <v>0.7</v>
      </c>
      <c r="O601" s="29">
        <v>1</v>
      </c>
      <c r="P601" s="29">
        <v>6.9720000000000004</v>
      </c>
      <c r="Q601" s="29" t="s">
        <v>1033</v>
      </c>
    </row>
    <row r="602" spans="1:17" x14ac:dyDescent="0.3">
      <c r="B602" s="29">
        <v>2</v>
      </c>
      <c r="C602" s="29" t="s">
        <v>1050</v>
      </c>
      <c r="D602" s="29" t="s">
        <v>1087</v>
      </c>
      <c r="E602" s="29">
        <v>500</v>
      </c>
      <c r="G602" s="29" t="s">
        <v>1035</v>
      </c>
      <c r="H602" s="29">
        <v>1</v>
      </c>
      <c r="I602" s="29">
        <v>9.9600000000000009</v>
      </c>
      <c r="J602" s="29">
        <v>4.9800000000000004</v>
      </c>
      <c r="K602" s="29">
        <v>4.9800000000000004</v>
      </c>
      <c r="L602" s="29" t="s">
        <v>1032</v>
      </c>
      <c r="M602" s="29">
        <v>1</v>
      </c>
      <c r="N602" s="29">
        <v>0.5</v>
      </c>
      <c r="O602" s="29">
        <v>1</v>
      </c>
      <c r="P602" s="29">
        <v>4.9800000000000004</v>
      </c>
      <c r="Q602" s="29" t="s">
        <v>1033</v>
      </c>
    </row>
    <row r="603" spans="1:17" x14ac:dyDescent="0.3">
      <c r="A603" s="29" t="s">
        <v>499</v>
      </c>
      <c r="B603" s="29">
        <v>1</v>
      </c>
      <c r="C603" s="29" t="s">
        <v>1050</v>
      </c>
      <c r="D603" s="29" t="s">
        <v>1087</v>
      </c>
      <c r="E603" s="29">
        <v>700</v>
      </c>
      <c r="G603" s="29" t="s">
        <v>1035</v>
      </c>
      <c r="H603" s="29">
        <v>1</v>
      </c>
      <c r="I603" s="29">
        <v>9.9600000000000009</v>
      </c>
      <c r="J603" s="29">
        <v>6.9720000000000004</v>
      </c>
      <c r="K603" s="29">
        <v>6.9720000000000004</v>
      </c>
      <c r="L603" s="29" t="s">
        <v>1032</v>
      </c>
      <c r="M603" s="29">
        <v>1</v>
      </c>
      <c r="N603" s="29">
        <v>0.7</v>
      </c>
      <c r="O603" s="29">
        <v>1</v>
      </c>
      <c r="P603" s="29">
        <v>6.9720000000000004</v>
      </c>
      <c r="Q603" s="29" t="s">
        <v>1033</v>
      </c>
    </row>
    <row r="604" spans="1:17" x14ac:dyDescent="0.3">
      <c r="B604" s="29">
        <v>2</v>
      </c>
      <c r="C604" s="29" t="s">
        <v>1050</v>
      </c>
      <c r="D604" s="29" t="s">
        <v>1087</v>
      </c>
      <c r="E604" s="29">
        <v>500</v>
      </c>
      <c r="G604" s="29" t="s">
        <v>1035</v>
      </c>
      <c r="H604" s="29">
        <v>1</v>
      </c>
      <c r="I604" s="29">
        <v>9.9600000000000009</v>
      </c>
      <c r="J604" s="29">
        <v>4.9800000000000004</v>
      </c>
      <c r="K604" s="29">
        <v>4.9800000000000004</v>
      </c>
      <c r="L604" s="29" t="s">
        <v>1032</v>
      </c>
      <c r="M604" s="29">
        <v>1</v>
      </c>
      <c r="N604" s="29">
        <v>0.5</v>
      </c>
      <c r="O604" s="29">
        <v>1</v>
      </c>
      <c r="P604" s="29">
        <v>4.9800000000000004</v>
      </c>
      <c r="Q604" s="29" t="s">
        <v>1033</v>
      </c>
    </row>
    <row r="605" spans="1:17" x14ac:dyDescent="0.3">
      <c r="A605" s="29" t="s">
        <v>500</v>
      </c>
      <c r="B605" s="29">
        <v>1</v>
      </c>
      <c r="C605" s="29" t="s">
        <v>1050</v>
      </c>
      <c r="D605" s="29" t="s">
        <v>1087</v>
      </c>
      <c r="E605" s="29">
        <v>700</v>
      </c>
      <c r="G605" s="29" t="s">
        <v>1035</v>
      </c>
      <c r="H605" s="29">
        <v>1</v>
      </c>
      <c r="I605" s="29">
        <v>9.9600000000000009</v>
      </c>
      <c r="J605" s="29">
        <v>6.9720000000000004</v>
      </c>
      <c r="K605" s="29">
        <v>6.9720000000000004</v>
      </c>
      <c r="L605" s="29" t="s">
        <v>1032</v>
      </c>
      <c r="M605" s="29">
        <v>1</v>
      </c>
      <c r="N605" s="29">
        <v>0.7</v>
      </c>
      <c r="O605" s="29">
        <v>1</v>
      </c>
      <c r="P605" s="29">
        <v>6.9720000000000004</v>
      </c>
      <c r="Q605" s="29" t="s">
        <v>1033</v>
      </c>
    </row>
    <row r="606" spans="1:17" x14ac:dyDescent="0.3">
      <c r="B606" s="29">
        <v>2</v>
      </c>
      <c r="C606" s="29" t="s">
        <v>1050</v>
      </c>
      <c r="D606" s="29" t="s">
        <v>1087</v>
      </c>
      <c r="E606" s="29">
        <v>700</v>
      </c>
      <c r="G606" s="29" t="s">
        <v>1035</v>
      </c>
      <c r="H606" s="29">
        <v>1</v>
      </c>
      <c r="I606" s="29">
        <v>9.9600000000000009</v>
      </c>
      <c r="J606" s="29">
        <v>6.9720000000000004</v>
      </c>
      <c r="K606" s="29">
        <v>6.9720000000000004</v>
      </c>
      <c r="L606" s="29" t="s">
        <v>1032</v>
      </c>
      <c r="M606" s="29">
        <v>1</v>
      </c>
      <c r="N606" s="29">
        <v>0.7</v>
      </c>
      <c r="O606" s="29">
        <v>1</v>
      </c>
      <c r="P606" s="29">
        <v>6.9720000000000004</v>
      </c>
      <c r="Q606" s="29" t="s">
        <v>1033</v>
      </c>
    </row>
    <row r="607" spans="1:17" x14ac:dyDescent="0.3">
      <c r="A607" s="29" t="s">
        <v>500</v>
      </c>
      <c r="B607" s="29">
        <v>1</v>
      </c>
      <c r="C607" s="29" t="s">
        <v>1050</v>
      </c>
      <c r="D607" s="29" t="s">
        <v>1087</v>
      </c>
      <c r="E607" s="29">
        <v>700</v>
      </c>
      <c r="G607" s="29" t="s">
        <v>1035</v>
      </c>
      <c r="H607" s="29">
        <v>1</v>
      </c>
      <c r="I607" s="29">
        <v>9.9600000000000009</v>
      </c>
      <c r="J607" s="29">
        <v>6.9720000000000004</v>
      </c>
      <c r="K607" s="29">
        <v>6.9720000000000004</v>
      </c>
      <c r="L607" s="29" t="s">
        <v>1032</v>
      </c>
      <c r="M607" s="29">
        <v>1</v>
      </c>
      <c r="N607" s="29">
        <v>0.7</v>
      </c>
      <c r="O607" s="29">
        <v>1</v>
      </c>
      <c r="P607" s="29">
        <v>6.9720000000000004</v>
      </c>
      <c r="Q607" s="29" t="s">
        <v>1033</v>
      </c>
    </row>
    <row r="608" spans="1:17" x14ac:dyDescent="0.3">
      <c r="B608" s="29">
        <v>2</v>
      </c>
      <c r="C608" s="29" t="s">
        <v>1050</v>
      </c>
      <c r="D608" s="29" t="s">
        <v>1087</v>
      </c>
      <c r="E608" s="29">
        <v>700</v>
      </c>
      <c r="G608" s="29" t="s">
        <v>1035</v>
      </c>
      <c r="H608" s="29">
        <v>1</v>
      </c>
      <c r="I608" s="29">
        <v>9.9600000000000009</v>
      </c>
      <c r="J608" s="29">
        <v>6.9720000000000004</v>
      </c>
      <c r="K608" s="29">
        <v>6.9720000000000004</v>
      </c>
      <c r="L608" s="29" t="s">
        <v>1032</v>
      </c>
      <c r="M608" s="29">
        <v>1</v>
      </c>
      <c r="N608" s="29">
        <v>0.7</v>
      </c>
      <c r="O608" s="29">
        <v>1</v>
      </c>
      <c r="P608" s="29">
        <v>6.9720000000000004</v>
      </c>
      <c r="Q608" s="29" t="s">
        <v>1033</v>
      </c>
    </row>
    <row r="609" spans="1:17" x14ac:dyDescent="0.3">
      <c r="A609" s="29" t="s">
        <v>501</v>
      </c>
      <c r="B609" s="29">
        <v>1</v>
      </c>
      <c r="C609" s="29" t="s">
        <v>1050</v>
      </c>
      <c r="D609" s="29" t="s">
        <v>1087</v>
      </c>
      <c r="E609" s="29">
        <v>800</v>
      </c>
      <c r="G609" s="29" t="s">
        <v>1035</v>
      </c>
      <c r="H609" s="29">
        <v>1</v>
      </c>
      <c r="I609" s="29">
        <v>9.9600000000000009</v>
      </c>
      <c r="J609" s="29">
        <v>7.9680000000000009</v>
      </c>
      <c r="K609" s="29">
        <v>7.9680000000000009</v>
      </c>
      <c r="L609" s="29" t="s">
        <v>1032</v>
      </c>
      <c r="M609" s="29">
        <v>1</v>
      </c>
      <c r="N609" s="29">
        <v>0.8</v>
      </c>
      <c r="O609" s="29">
        <v>1</v>
      </c>
      <c r="P609" s="29">
        <v>7.9680000000000009</v>
      </c>
      <c r="Q609" s="29" t="s">
        <v>1033</v>
      </c>
    </row>
    <row r="610" spans="1:17" x14ac:dyDescent="0.3">
      <c r="B610" s="29">
        <v>2</v>
      </c>
      <c r="C610" s="29" t="s">
        <v>1050</v>
      </c>
      <c r="D610" s="29" t="s">
        <v>1087</v>
      </c>
      <c r="E610" s="29">
        <v>300</v>
      </c>
      <c r="G610" s="29" t="s">
        <v>1035</v>
      </c>
      <c r="H610" s="29">
        <v>1</v>
      </c>
      <c r="I610" s="29">
        <v>9.9600000000000009</v>
      </c>
      <c r="J610" s="29">
        <v>2.988</v>
      </c>
      <c r="K610" s="29">
        <v>2.988</v>
      </c>
      <c r="L610" s="29" t="s">
        <v>1032</v>
      </c>
      <c r="M610" s="29">
        <v>1</v>
      </c>
      <c r="N610" s="29">
        <v>0.3</v>
      </c>
      <c r="O610" s="29">
        <v>1</v>
      </c>
      <c r="P610" s="29">
        <v>2.988</v>
      </c>
      <c r="Q610" s="29" t="s">
        <v>1033</v>
      </c>
    </row>
    <row r="611" spans="1:17" x14ac:dyDescent="0.3">
      <c r="A611" s="29" t="s">
        <v>501</v>
      </c>
      <c r="B611" s="29">
        <v>1</v>
      </c>
      <c r="C611" s="29" t="s">
        <v>1050</v>
      </c>
      <c r="D611" s="29" t="s">
        <v>1087</v>
      </c>
      <c r="E611" s="29">
        <v>800</v>
      </c>
      <c r="G611" s="29" t="s">
        <v>1035</v>
      </c>
      <c r="H611" s="29">
        <v>1</v>
      </c>
      <c r="I611" s="29">
        <v>9.9600000000000009</v>
      </c>
      <c r="J611" s="29">
        <v>7.9680000000000009</v>
      </c>
      <c r="K611" s="29">
        <v>7.9680000000000009</v>
      </c>
      <c r="L611" s="29" t="s">
        <v>1032</v>
      </c>
      <c r="M611" s="29">
        <v>1</v>
      </c>
      <c r="N611" s="29">
        <v>0.8</v>
      </c>
      <c r="O611" s="29">
        <v>1</v>
      </c>
      <c r="P611" s="29">
        <v>7.9680000000000009</v>
      </c>
      <c r="Q611" s="29" t="s">
        <v>1033</v>
      </c>
    </row>
    <row r="612" spans="1:17" x14ac:dyDescent="0.3">
      <c r="B612" s="29">
        <v>2</v>
      </c>
      <c r="C612" s="29" t="s">
        <v>1050</v>
      </c>
      <c r="D612" s="29" t="s">
        <v>1087</v>
      </c>
      <c r="E612" s="29">
        <v>300</v>
      </c>
      <c r="G612" s="29" t="s">
        <v>1035</v>
      </c>
      <c r="H612" s="29">
        <v>1</v>
      </c>
      <c r="I612" s="29">
        <v>9.9600000000000009</v>
      </c>
      <c r="J612" s="29">
        <v>2.988</v>
      </c>
      <c r="K612" s="29">
        <v>2.988</v>
      </c>
      <c r="L612" s="29" t="s">
        <v>1032</v>
      </c>
      <c r="M612" s="29">
        <v>1</v>
      </c>
      <c r="N612" s="29">
        <v>0.3</v>
      </c>
      <c r="O612" s="29">
        <v>1</v>
      </c>
      <c r="P612" s="29">
        <v>2.988</v>
      </c>
      <c r="Q612" s="29" t="s">
        <v>1033</v>
      </c>
    </row>
    <row r="613" spans="1:17" x14ac:dyDescent="0.3">
      <c r="A613" s="29" t="s">
        <v>502</v>
      </c>
      <c r="B613" s="29">
        <v>1</v>
      </c>
      <c r="C613" s="29" t="s">
        <v>1050</v>
      </c>
      <c r="D613" s="29" t="s">
        <v>1087</v>
      </c>
      <c r="E613" s="29">
        <v>800</v>
      </c>
      <c r="G613" s="29" t="s">
        <v>1035</v>
      </c>
      <c r="H613" s="29">
        <v>1</v>
      </c>
      <c r="I613" s="29">
        <v>9.9600000000000009</v>
      </c>
      <c r="J613" s="29">
        <v>7.9680000000000009</v>
      </c>
      <c r="K613" s="29">
        <v>7.9680000000000009</v>
      </c>
      <c r="L613" s="29" t="s">
        <v>1032</v>
      </c>
      <c r="M613" s="29">
        <v>1</v>
      </c>
      <c r="N613" s="29">
        <v>0.8</v>
      </c>
      <c r="O613" s="29">
        <v>1</v>
      </c>
      <c r="P613" s="29">
        <v>7.9680000000000009</v>
      </c>
      <c r="Q613" s="29" t="s">
        <v>1033</v>
      </c>
    </row>
    <row r="614" spans="1:17" x14ac:dyDescent="0.3">
      <c r="B614" s="29">
        <v>2</v>
      </c>
      <c r="C614" s="29" t="s">
        <v>1050</v>
      </c>
      <c r="D614" s="29" t="s">
        <v>1087</v>
      </c>
      <c r="E614" s="29">
        <v>500</v>
      </c>
      <c r="G614" s="29" t="s">
        <v>1035</v>
      </c>
      <c r="H614" s="29">
        <v>1</v>
      </c>
      <c r="I614" s="29">
        <v>9.9600000000000009</v>
      </c>
      <c r="J614" s="29">
        <v>4.9800000000000004</v>
      </c>
      <c r="K614" s="29">
        <v>4.9800000000000004</v>
      </c>
      <c r="L614" s="29" t="s">
        <v>1032</v>
      </c>
      <c r="M614" s="29">
        <v>1</v>
      </c>
      <c r="N614" s="29">
        <v>0.5</v>
      </c>
      <c r="O614" s="29">
        <v>1</v>
      </c>
      <c r="P614" s="29">
        <v>4.9800000000000004</v>
      </c>
      <c r="Q614" s="29" t="s">
        <v>1033</v>
      </c>
    </row>
    <row r="615" spans="1:17" x14ac:dyDescent="0.3">
      <c r="A615" s="29" t="s">
        <v>502</v>
      </c>
      <c r="B615" s="29">
        <v>1</v>
      </c>
      <c r="C615" s="29" t="s">
        <v>1050</v>
      </c>
      <c r="D615" s="29" t="s">
        <v>1087</v>
      </c>
      <c r="E615" s="29">
        <v>800</v>
      </c>
      <c r="G615" s="29" t="s">
        <v>1035</v>
      </c>
      <c r="H615" s="29">
        <v>1</v>
      </c>
      <c r="I615" s="29">
        <v>9.9600000000000009</v>
      </c>
      <c r="J615" s="29">
        <v>7.9680000000000009</v>
      </c>
      <c r="K615" s="29">
        <v>7.9680000000000009</v>
      </c>
      <c r="L615" s="29" t="s">
        <v>1032</v>
      </c>
      <c r="M615" s="29">
        <v>1</v>
      </c>
      <c r="N615" s="29">
        <v>0.8</v>
      </c>
      <c r="O615" s="29">
        <v>1</v>
      </c>
      <c r="P615" s="29">
        <v>7.9680000000000009</v>
      </c>
      <c r="Q615" s="29" t="s">
        <v>1033</v>
      </c>
    </row>
    <row r="616" spans="1:17" x14ac:dyDescent="0.3">
      <c r="B616" s="29">
        <v>2</v>
      </c>
      <c r="C616" s="29" t="s">
        <v>1050</v>
      </c>
      <c r="D616" s="29" t="s">
        <v>1087</v>
      </c>
      <c r="E616" s="29">
        <v>500</v>
      </c>
      <c r="G616" s="29" t="s">
        <v>1035</v>
      </c>
      <c r="H616" s="29">
        <v>1</v>
      </c>
      <c r="I616" s="29">
        <v>9.9600000000000009</v>
      </c>
      <c r="J616" s="29">
        <v>4.9800000000000004</v>
      </c>
      <c r="K616" s="29">
        <v>4.9800000000000004</v>
      </c>
      <c r="L616" s="29" t="s">
        <v>1032</v>
      </c>
      <c r="M616" s="29">
        <v>1</v>
      </c>
      <c r="N616" s="29">
        <v>0.5</v>
      </c>
      <c r="O616" s="29">
        <v>1</v>
      </c>
      <c r="P616" s="29">
        <v>4.9800000000000004</v>
      </c>
      <c r="Q616" s="29" t="s">
        <v>1033</v>
      </c>
    </row>
    <row r="617" spans="1:17" x14ac:dyDescent="0.3">
      <c r="A617" s="29" t="s">
        <v>502</v>
      </c>
      <c r="B617" s="29">
        <v>1</v>
      </c>
      <c r="C617" s="29" t="s">
        <v>1050</v>
      </c>
      <c r="D617" s="29" t="s">
        <v>1087</v>
      </c>
      <c r="E617" s="29">
        <v>800</v>
      </c>
      <c r="G617" s="29" t="s">
        <v>1035</v>
      </c>
      <c r="H617" s="29">
        <v>1</v>
      </c>
      <c r="I617" s="29">
        <v>9.9600000000000009</v>
      </c>
      <c r="J617" s="29">
        <v>7.9680000000000009</v>
      </c>
      <c r="K617" s="29">
        <v>7.9680000000000009</v>
      </c>
      <c r="L617" s="29" t="s">
        <v>1032</v>
      </c>
      <c r="M617" s="29">
        <v>1</v>
      </c>
      <c r="N617" s="29">
        <v>0.8</v>
      </c>
      <c r="O617" s="29">
        <v>1</v>
      </c>
      <c r="P617" s="29">
        <v>7.9680000000000009</v>
      </c>
      <c r="Q617" s="29" t="s">
        <v>1033</v>
      </c>
    </row>
    <row r="618" spans="1:17" x14ac:dyDescent="0.3">
      <c r="B618" s="29">
        <v>2</v>
      </c>
      <c r="C618" s="29" t="s">
        <v>1050</v>
      </c>
      <c r="D618" s="29" t="s">
        <v>1087</v>
      </c>
      <c r="E618" s="29">
        <v>500</v>
      </c>
      <c r="G618" s="29" t="s">
        <v>1035</v>
      </c>
      <c r="H618" s="29">
        <v>1</v>
      </c>
      <c r="I618" s="29">
        <v>9.9600000000000009</v>
      </c>
      <c r="J618" s="29">
        <v>4.9800000000000004</v>
      </c>
      <c r="K618" s="29">
        <v>4.9800000000000004</v>
      </c>
      <c r="L618" s="29" t="s">
        <v>1032</v>
      </c>
      <c r="M618" s="29">
        <v>1</v>
      </c>
      <c r="N618" s="29">
        <v>0.5</v>
      </c>
      <c r="O618" s="29">
        <v>1</v>
      </c>
      <c r="P618" s="29">
        <v>4.9800000000000004</v>
      </c>
      <c r="Q618" s="29" t="s">
        <v>1033</v>
      </c>
    </row>
    <row r="619" spans="1:17" x14ac:dyDescent="0.3">
      <c r="A619" s="29" t="s">
        <v>503</v>
      </c>
      <c r="B619" s="29">
        <v>1</v>
      </c>
      <c r="C619" s="29" t="s">
        <v>1050</v>
      </c>
      <c r="D619" s="29" t="s">
        <v>1087</v>
      </c>
      <c r="E619" s="29">
        <v>800</v>
      </c>
      <c r="G619" s="29" t="s">
        <v>1035</v>
      </c>
      <c r="H619" s="29">
        <v>1</v>
      </c>
      <c r="I619" s="29">
        <v>9.9600000000000009</v>
      </c>
      <c r="J619" s="29">
        <v>7.9680000000000009</v>
      </c>
      <c r="K619" s="29">
        <v>7.9680000000000009</v>
      </c>
      <c r="L619" s="29" t="s">
        <v>1032</v>
      </c>
      <c r="M619" s="29">
        <v>1</v>
      </c>
      <c r="N619" s="29">
        <v>0.8</v>
      </c>
      <c r="O619" s="29">
        <v>1</v>
      </c>
      <c r="P619" s="29">
        <v>7.9680000000000009</v>
      </c>
      <c r="Q619" s="29" t="s">
        <v>1033</v>
      </c>
    </row>
    <row r="620" spans="1:17" x14ac:dyDescent="0.3">
      <c r="B620" s="29">
        <v>2</v>
      </c>
      <c r="C620" s="29" t="s">
        <v>1050</v>
      </c>
      <c r="D620" s="29" t="s">
        <v>1087</v>
      </c>
      <c r="E620" s="29">
        <v>800</v>
      </c>
      <c r="G620" s="29" t="s">
        <v>1035</v>
      </c>
      <c r="H620" s="29">
        <v>1</v>
      </c>
      <c r="I620" s="29">
        <v>9.9600000000000009</v>
      </c>
      <c r="J620" s="29">
        <v>7.9680000000000009</v>
      </c>
      <c r="K620" s="29">
        <v>7.9680000000000009</v>
      </c>
      <c r="L620" s="29" t="s">
        <v>1032</v>
      </c>
      <c r="M620" s="29">
        <v>1</v>
      </c>
      <c r="N620" s="29">
        <v>0.8</v>
      </c>
      <c r="O620" s="29">
        <v>1</v>
      </c>
      <c r="P620" s="29">
        <v>7.9680000000000009</v>
      </c>
      <c r="Q620" s="29" t="s">
        <v>1033</v>
      </c>
    </row>
    <row r="621" spans="1:17" x14ac:dyDescent="0.3">
      <c r="A621" s="29" t="s">
        <v>504</v>
      </c>
      <c r="B621" s="29">
        <v>1</v>
      </c>
      <c r="C621" s="29" t="s">
        <v>1050</v>
      </c>
      <c r="D621" s="29" t="s">
        <v>1087</v>
      </c>
      <c r="E621" s="29">
        <v>900</v>
      </c>
      <c r="G621" s="29" t="s">
        <v>1035</v>
      </c>
      <c r="H621" s="29">
        <v>1</v>
      </c>
      <c r="I621" s="29">
        <v>9.9600000000000009</v>
      </c>
      <c r="J621" s="29">
        <v>8.9640000000000004</v>
      </c>
      <c r="K621" s="29">
        <v>8.9640000000000004</v>
      </c>
      <c r="L621" s="29" t="s">
        <v>1032</v>
      </c>
      <c r="M621" s="29">
        <v>1</v>
      </c>
      <c r="N621" s="29">
        <v>0.9</v>
      </c>
      <c r="O621" s="29">
        <v>1</v>
      </c>
      <c r="P621" s="29">
        <v>8.9640000000000004</v>
      </c>
      <c r="Q621" s="29" t="s">
        <v>1033</v>
      </c>
    </row>
    <row r="622" spans="1:17" x14ac:dyDescent="0.3">
      <c r="B622" s="29">
        <v>2</v>
      </c>
      <c r="C622" s="29" t="s">
        <v>1050</v>
      </c>
      <c r="D622" s="29" t="s">
        <v>1087</v>
      </c>
      <c r="E622" s="29">
        <v>300</v>
      </c>
      <c r="G622" s="29" t="s">
        <v>1035</v>
      </c>
      <c r="H622" s="29">
        <v>1</v>
      </c>
      <c r="I622" s="29">
        <v>9.9600000000000009</v>
      </c>
      <c r="J622" s="29">
        <v>2.988</v>
      </c>
      <c r="K622" s="29">
        <v>2.988</v>
      </c>
      <c r="L622" s="29" t="s">
        <v>1032</v>
      </c>
      <c r="M622" s="29">
        <v>1</v>
      </c>
      <c r="N622" s="29">
        <v>0.3</v>
      </c>
      <c r="O622" s="29">
        <v>1</v>
      </c>
      <c r="P622" s="29">
        <v>2.988</v>
      </c>
      <c r="Q622" s="29" t="s">
        <v>1033</v>
      </c>
    </row>
    <row r="623" spans="1:17" x14ac:dyDescent="0.3">
      <c r="A623" s="29" t="s">
        <v>505</v>
      </c>
      <c r="B623" s="29">
        <v>1</v>
      </c>
      <c r="C623" s="29" t="s">
        <v>1050</v>
      </c>
      <c r="D623" s="29" t="s">
        <v>1087</v>
      </c>
      <c r="E623" s="29">
        <v>1000</v>
      </c>
      <c r="G623" s="29" t="s">
        <v>1035</v>
      </c>
      <c r="H623" s="29">
        <v>1</v>
      </c>
      <c r="I623" s="29">
        <v>9.9600000000000009</v>
      </c>
      <c r="J623" s="29">
        <v>9.9600000000000009</v>
      </c>
      <c r="K623" s="29">
        <v>9.9600000000000009</v>
      </c>
      <c r="L623" s="29" t="s">
        <v>1032</v>
      </c>
      <c r="M623" s="29">
        <v>1</v>
      </c>
      <c r="N623" s="29">
        <v>1</v>
      </c>
      <c r="O623" s="29">
        <v>1</v>
      </c>
      <c r="P623" s="29">
        <v>9.9600000000000009</v>
      </c>
      <c r="Q623" s="29" t="s">
        <v>1033</v>
      </c>
    </row>
    <row r="624" spans="1:17" x14ac:dyDescent="0.3">
      <c r="B624" s="29">
        <v>2</v>
      </c>
      <c r="C624" s="29" t="s">
        <v>1050</v>
      </c>
      <c r="D624" s="29" t="s">
        <v>1087</v>
      </c>
      <c r="E624" s="29">
        <v>300</v>
      </c>
      <c r="G624" s="29" t="s">
        <v>1035</v>
      </c>
      <c r="H624" s="29">
        <v>1</v>
      </c>
      <c r="I624" s="29">
        <v>9.9600000000000009</v>
      </c>
      <c r="J624" s="29">
        <v>2.988</v>
      </c>
      <c r="K624" s="29">
        <v>2.988</v>
      </c>
      <c r="L624" s="29" t="s">
        <v>1032</v>
      </c>
      <c r="M624" s="29">
        <v>1</v>
      </c>
      <c r="N624" s="29">
        <v>0.3</v>
      </c>
      <c r="O624" s="29">
        <v>1</v>
      </c>
      <c r="P624" s="29">
        <v>2.988</v>
      </c>
      <c r="Q624" s="29" t="s">
        <v>1033</v>
      </c>
    </row>
    <row r="625" spans="1:17" x14ac:dyDescent="0.3">
      <c r="A625" s="29" t="s">
        <v>505</v>
      </c>
      <c r="B625" s="29">
        <v>1</v>
      </c>
      <c r="C625" s="29" t="s">
        <v>1050</v>
      </c>
      <c r="D625" s="29" t="s">
        <v>1087</v>
      </c>
      <c r="E625" s="29">
        <v>1000</v>
      </c>
      <c r="G625" s="29" t="s">
        <v>1035</v>
      </c>
      <c r="H625" s="29">
        <v>1</v>
      </c>
      <c r="I625" s="29">
        <v>9.9600000000000009</v>
      </c>
      <c r="J625" s="29">
        <v>9.9600000000000009</v>
      </c>
      <c r="K625" s="29">
        <v>9.9600000000000009</v>
      </c>
      <c r="L625" s="29" t="s">
        <v>1032</v>
      </c>
      <c r="M625" s="29">
        <v>1</v>
      </c>
      <c r="N625" s="29">
        <v>1</v>
      </c>
      <c r="O625" s="29">
        <v>1</v>
      </c>
      <c r="P625" s="29">
        <v>9.9600000000000009</v>
      </c>
      <c r="Q625" s="29" t="s">
        <v>1033</v>
      </c>
    </row>
    <row r="626" spans="1:17" x14ac:dyDescent="0.3">
      <c r="B626" s="29">
        <v>2</v>
      </c>
      <c r="C626" s="29" t="s">
        <v>1050</v>
      </c>
      <c r="D626" s="29" t="s">
        <v>1087</v>
      </c>
      <c r="E626" s="29">
        <v>300</v>
      </c>
      <c r="G626" s="29" t="s">
        <v>1035</v>
      </c>
      <c r="H626" s="29">
        <v>1</v>
      </c>
      <c r="I626" s="29">
        <v>9.9600000000000009</v>
      </c>
      <c r="J626" s="29">
        <v>2.988</v>
      </c>
      <c r="K626" s="29">
        <v>2.988</v>
      </c>
      <c r="L626" s="29" t="s">
        <v>1032</v>
      </c>
      <c r="M626" s="29">
        <v>1</v>
      </c>
      <c r="N626" s="29">
        <v>0.3</v>
      </c>
      <c r="O626" s="29">
        <v>1</v>
      </c>
      <c r="P626" s="29">
        <v>2.988</v>
      </c>
      <c r="Q626" s="29" t="s">
        <v>1033</v>
      </c>
    </row>
    <row r="627" spans="1:17" x14ac:dyDescent="0.3">
      <c r="A627" s="29" t="s">
        <v>506</v>
      </c>
      <c r="B627" s="29">
        <v>1</v>
      </c>
      <c r="C627" s="29" t="s">
        <v>1050</v>
      </c>
      <c r="D627" s="29" t="s">
        <v>1087</v>
      </c>
      <c r="E627" s="29">
        <v>1000</v>
      </c>
      <c r="G627" s="29" t="s">
        <v>1035</v>
      </c>
      <c r="H627" s="29">
        <v>1</v>
      </c>
      <c r="I627" s="29">
        <v>9.9600000000000009</v>
      </c>
      <c r="J627" s="29">
        <v>9.9600000000000009</v>
      </c>
      <c r="K627" s="29">
        <v>9.9600000000000009</v>
      </c>
      <c r="L627" s="29" t="s">
        <v>1032</v>
      </c>
      <c r="M627" s="29">
        <v>1</v>
      </c>
      <c r="N627" s="29">
        <v>1</v>
      </c>
      <c r="O627" s="29">
        <v>1</v>
      </c>
      <c r="P627" s="29">
        <v>9.9600000000000009</v>
      </c>
      <c r="Q627" s="29" t="s">
        <v>1033</v>
      </c>
    </row>
    <row r="628" spans="1:17" x14ac:dyDescent="0.3">
      <c r="B628" s="29">
        <v>2</v>
      </c>
      <c r="C628" s="29" t="s">
        <v>1050</v>
      </c>
      <c r="D628" s="29" t="s">
        <v>1087</v>
      </c>
      <c r="E628" s="29">
        <v>500</v>
      </c>
      <c r="G628" s="29" t="s">
        <v>1035</v>
      </c>
      <c r="H628" s="29">
        <v>1</v>
      </c>
      <c r="I628" s="29">
        <v>9.9600000000000009</v>
      </c>
      <c r="J628" s="29">
        <v>4.9800000000000004</v>
      </c>
      <c r="K628" s="29">
        <v>4.9800000000000004</v>
      </c>
      <c r="L628" s="29" t="s">
        <v>1032</v>
      </c>
      <c r="M628" s="29">
        <v>1</v>
      </c>
      <c r="N628" s="29">
        <v>0.5</v>
      </c>
      <c r="O628" s="29">
        <v>1</v>
      </c>
      <c r="P628" s="29">
        <v>4.9800000000000004</v>
      </c>
      <c r="Q628" s="29" t="s">
        <v>1033</v>
      </c>
    </row>
    <row r="629" spans="1:17" x14ac:dyDescent="0.3">
      <c r="A629" s="29" t="s">
        <v>506</v>
      </c>
      <c r="B629" s="29">
        <v>1</v>
      </c>
      <c r="C629" s="29" t="s">
        <v>1050</v>
      </c>
      <c r="D629" s="29" t="s">
        <v>1087</v>
      </c>
      <c r="E629" s="29">
        <v>1000</v>
      </c>
      <c r="G629" s="29" t="s">
        <v>1035</v>
      </c>
      <c r="H629" s="29">
        <v>1</v>
      </c>
      <c r="I629" s="29">
        <v>9.9600000000000009</v>
      </c>
      <c r="J629" s="29">
        <v>9.9600000000000009</v>
      </c>
      <c r="K629" s="29">
        <v>9.9600000000000009</v>
      </c>
      <c r="L629" s="29" t="s">
        <v>1032</v>
      </c>
      <c r="M629" s="29">
        <v>1</v>
      </c>
      <c r="N629" s="29">
        <v>1</v>
      </c>
      <c r="O629" s="29">
        <v>1</v>
      </c>
      <c r="P629" s="29">
        <v>9.9600000000000009</v>
      </c>
      <c r="Q629" s="29" t="s">
        <v>1033</v>
      </c>
    </row>
    <row r="630" spans="1:17" x14ac:dyDescent="0.3">
      <c r="B630" s="29">
        <v>2</v>
      </c>
      <c r="C630" s="29" t="s">
        <v>1050</v>
      </c>
      <c r="D630" s="29" t="s">
        <v>1087</v>
      </c>
      <c r="E630" s="29">
        <v>500</v>
      </c>
      <c r="G630" s="29" t="s">
        <v>1035</v>
      </c>
      <c r="H630" s="29">
        <v>1</v>
      </c>
      <c r="I630" s="29">
        <v>9.9600000000000009</v>
      </c>
      <c r="J630" s="29">
        <v>4.9800000000000004</v>
      </c>
      <c r="K630" s="29">
        <v>4.9800000000000004</v>
      </c>
      <c r="L630" s="29" t="s">
        <v>1032</v>
      </c>
      <c r="M630" s="29">
        <v>1</v>
      </c>
      <c r="N630" s="29">
        <v>0.5</v>
      </c>
      <c r="O630" s="29">
        <v>1</v>
      </c>
      <c r="P630" s="29">
        <v>4.9800000000000004</v>
      </c>
      <c r="Q630" s="29" t="s">
        <v>1033</v>
      </c>
    </row>
    <row r="631" spans="1:17" x14ac:dyDescent="0.3">
      <c r="A631" s="29" t="s">
        <v>507</v>
      </c>
      <c r="B631" s="29">
        <v>1</v>
      </c>
      <c r="C631" s="29" t="s">
        <v>1050</v>
      </c>
      <c r="D631" s="29" t="s">
        <v>1087</v>
      </c>
      <c r="E631" s="29">
        <v>1100</v>
      </c>
      <c r="G631" s="29" t="s">
        <v>1035</v>
      </c>
      <c r="H631" s="29">
        <v>1</v>
      </c>
      <c r="I631" s="29">
        <v>9.9600000000000009</v>
      </c>
      <c r="J631" s="29">
        <v>10.956000000000001</v>
      </c>
      <c r="K631" s="29">
        <v>10.956000000000001</v>
      </c>
      <c r="L631" s="29" t="s">
        <v>1032</v>
      </c>
      <c r="M631" s="29">
        <v>1</v>
      </c>
      <c r="N631" s="29">
        <v>1.1000000000000001</v>
      </c>
      <c r="O631" s="29">
        <v>1</v>
      </c>
      <c r="P631" s="29">
        <v>10.956000000000001</v>
      </c>
      <c r="Q631" s="29" t="s">
        <v>1033</v>
      </c>
    </row>
    <row r="632" spans="1:17" x14ac:dyDescent="0.3">
      <c r="B632" s="29">
        <v>2</v>
      </c>
      <c r="C632" s="29" t="s">
        <v>1050</v>
      </c>
      <c r="D632" s="29" t="s">
        <v>1087</v>
      </c>
      <c r="E632" s="29">
        <v>300</v>
      </c>
      <c r="G632" s="29" t="s">
        <v>1035</v>
      </c>
      <c r="H632" s="29">
        <v>1</v>
      </c>
      <c r="I632" s="29">
        <v>9.9600000000000009</v>
      </c>
      <c r="J632" s="29">
        <v>2.988</v>
      </c>
      <c r="K632" s="29">
        <v>2.988</v>
      </c>
      <c r="L632" s="29" t="s">
        <v>1032</v>
      </c>
      <c r="M632" s="29">
        <v>1</v>
      </c>
      <c r="N632" s="29">
        <v>0.3</v>
      </c>
      <c r="O632" s="29">
        <v>1</v>
      </c>
      <c r="P632" s="29">
        <v>2.988</v>
      </c>
      <c r="Q632" s="29" t="s">
        <v>1033</v>
      </c>
    </row>
    <row r="633" spans="1:17" x14ac:dyDescent="0.3">
      <c r="A633" s="29" t="s">
        <v>508</v>
      </c>
      <c r="B633" s="29">
        <v>1</v>
      </c>
      <c r="C633" s="29" t="s">
        <v>1050</v>
      </c>
      <c r="D633" s="29" t="s">
        <v>1087</v>
      </c>
      <c r="E633" s="29">
        <v>1200</v>
      </c>
      <c r="G633" s="29" t="s">
        <v>1035</v>
      </c>
      <c r="H633" s="29">
        <v>1</v>
      </c>
      <c r="I633" s="29">
        <v>9.9600000000000009</v>
      </c>
      <c r="J633" s="29">
        <v>11.952</v>
      </c>
      <c r="K633" s="29">
        <v>11.952</v>
      </c>
      <c r="L633" s="29" t="s">
        <v>1032</v>
      </c>
      <c r="M633" s="29">
        <v>1</v>
      </c>
      <c r="N633" s="29">
        <v>1.2</v>
      </c>
      <c r="O633" s="29">
        <v>1</v>
      </c>
      <c r="P633" s="29">
        <v>11.952</v>
      </c>
      <c r="Q633" s="29" t="s">
        <v>1033</v>
      </c>
    </row>
    <row r="634" spans="1:17" x14ac:dyDescent="0.3">
      <c r="B634" s="29">
        <v>2</v>
      </c>
      <c r="C634" s="29" t="s">
        <v>1050</v>
      </c>
      <c r="D634" s="29" t="s">
        <v>1087</v>
      </c>
      <c r="E634" s="29">
        <v>500</v>
      </c>
      <c r="G634" s="29" t="s">
        <v>1035</v>
      </c>
      <c r="H634" s="29">
        <v>1</v>
      </c>
      <c r="I634" s="29">
        <v>9.9600000000000009</v>
      </c>
      <c r="J634" s="29">
        <v>4.9800000000000004</v>
      </c>
      <c r="K634" s="29">
        <v>4.9800000000000004</v>
      </c>
      <c r="L634" s="29" t="s">
        <v>1032</v>
      </c>
      <c r="M634" s="29">
        <v>1</v>
      </c>
      <c r="N634" s="29">
        <v>0.5</v>
      </c>
      <c r="O634" s="29">
        <v>1</v>
      </c>
      <c r="P634" s="29">
        <v>4.9800000000000004</v>
      </c>
      <c r="Q634" s="29" t="s">
        <v>1033</v>
      </c>
    </row>
    <row r="635" spans="1:17" x14ac:dyDescent="0.3">
      <c r="A635" s="29" t="s">
        <v>508</v>
      </c>
      <c r="B635" s="29">
        <v>1</v>
      </c>
      <c r="C635" s="29" t="s">
        <v>1050</v>
      </c>
      <c r="D635" s="29" t="s">
        <v>1087</v>
      </c>
      <c r="E635" s="29">
        <v>1200</v>
      </c>
      <c r="G635" s="29" t="s">
        <v>1035</v>
      </c>
      <c r="H635" s="29">
        <v>1</v>
      </c>
      <c r="I635" s="29">
        <v>9.9600000000000009</v>
      </c>
      <c r="J635" s="29">
        <v>11.952</v>
      </c>
      <c r="K635" s="29">
        <v>11.952</v>
      </c>
      <c r="L635" s="29" t="s">
        <v>1032</v>
      </c>
      <c r="M635" s="29">
        <v>1</v>
      </c>
      <c r="N635" s="29">
        <v>1.2</v>
      </c>
      <c r="O635" s="29">
        <v>1</v>
      </c>
      <c r="P635" s="29">
        <v>11.952</v>
      </c>
      <c r="Q635" s="29" t="s">
        <v>1033</v>
      </c>
    </row>
    <row r="636" spans="1:17" x14ac:dyDescent="0.3">
      <c r="B636" s="29">
        <v>2</v>
      </c>
      <c r="C636" s="29" t="s">
        <v>1050</v>
      </c>
      <c r="D636" s="29" t="s">
        <v>1087</v>
      </c>
      <c r="E636" s="29">
        <v>500</v>
      </c>
      <c r="G636" s="29" t="s">
        <v>1035</v>
      </c>
      <c r="H636" s="29">
        <v>1</v>
      </c>
      <c r="I636" s="29">
        <v>9.9600000000000009</v>
      </c>
      <c r="J636" s="29">
        <v>4.9800000000000004</v>
      </c>
      <c r="K636" s="29">
        <v>4.9800000000000004</v>
      </c>
      <c r="L636" s="29" t="s">
        <v>1032</v>
      </c>
      <c r="M636" s="29">
        <v>1</v>
      </c>
      <c r="N636" s="29">
        <v>0.5</v>
      </c>
      <c r="O636" s="29">
        <v>1</v>
      </c>
      <c r="P636" s="29">
        <v>4.9800000000000004</v>
      </c>
      <c r="Q636" s="29" t="s">
        <v>1033</v>
      </c>
    </row>
    <row r="637" spans="1:17" x14ac:dyDescent="0.3">
      <c r="A637" s="29" t="s">
        <v>509</v>
      </c>
      <c r="B637" s="29">
        <v>1</v>
      </c>
      <c r="C637" s="29" t="s">
        <v>1050</v>
      </c>
      <c r="D637" s="29" t="s">
        <v>1087</v>
      </c>
      <c r="E637" s="29">
        <v>1400</v>
      </c>
      <c r="G637" s="29" t="s">
        <v>1035</v>
      </c>
      <c r="H637" s="29">
        <v>1</v>
      </c>
      <c r="I637" s="29">
        <v>9.9600000000000009</v>
      </c>
      <c r="J637" s="29">
        <v>13.944000000000001</v>
      </c>
      <c r="K637" s="29">
        <v>13.944000000000001</v>
      </c>
      <c r="L637" s="29" t="s">
        <v>1032</v>
      </c>
      <c r="M637" s="29">
        <v>1</v>
      </c>
      <c r="N637" s="29">
        <v>1.4</v>
      </c>
      <c r="O637" s="29">
        <v>1</v>
      </c>
      <c r="P637" s="29">
        <v>13.944000000000001</v>
      </c>
      <c r="Q637" s="29" t="s">
        <v>1033</v>
      </c>
    </row>
    <row r="638" spans="1:17" x14ac:dyDescent="0.3">
      <c r="B638" s="29">
        <v>2</v>
      </c>
      <c r="C638" s="29" t="s">
        <v>1050</v>
      </c>
      <c r="D638" s="29" t="s">
        <v>1087</v>
      </c>
      <c r="E638" s="29">
        <v>300</v>
      </c>
      <c r="G638" s="29" t="s">
        <v>1035</v>
      </c>
      <c r="H638" s="29">
        <v>1</v>
      </c>
      <c r="I638" s="29">
        <v>9.9600000000000009</v>
      </c>
      <c r="J638" s="29">
        <v>2.988</v>
      </c>
      <c r="K638" s="29">
        <v>2.988</v>
      </c>
      <c r="L638" s="29" t="s">
        <v>1032</v>
      </c>
      <c r="M638" s="29">
        <v>1</v>
      </c>
      <c r="N638" s="29">
        <v>0.3</v>
      </c>
      <c r="O638" s="29">
        <v>1</v>
      </c>
      <c r="P638" s="29">
        <v>2.988</v>
      </c>
      <c r="Q638" s="29" t="s">
        <v>1033</v>
      </c>
    </row>
    <row r="639" spans="1:17" x14ac:dyDescent="0.3">
      <c r="A639" s="29" t="s">
        <v>510</v>
      </c>
      <c r="B639" s="29">
        <v>1</v>
      </c>
      <c r="C639" s="29" t="s">
        <v>1050</v>
      </c>
      <c r="D639" s="29" t="s">
        <v>1087</v>
      </c>
      <c r="E639" s="29">
        <v>1400</v>
      </c>
      <c r="G639" s="29" t="s">
        <v>1035</v>
      </c>
      <c r="H639" s="29">
        <v>1</v>
      </c>
      <c r="I639" s="29">
        <v>9.9600000000000009</v>
      </c>
      <c r="J639" s="29">
        <v>13.944000000000001</v>
      </c>
      <c r="K639" s="29">
        <v>13.944000000000001</v>
      </c>
      <c r="L639" s="29" t="s">
        <v>1032</v>
      </c>
      <c r="M639" s="29">
        <v>1</v>
      </c>
      <c r="N639" s="29">
        <v>1.4</v>
      </c>
      <c r="O639" s="29">
        <v>1</v>
      </c>
      <c r="P639" s="29">
        <v>13.944000000000001</v>
      </c>
      <c r="Q639" s="29" t="s">
        <v>1033</v>
      </c>
    </row>
    <row r="640" spans="1:17" x14ac:dyDescent="0.3">
      <c r="B640" s="29">
        <v>2</v>
      </c>
      <c r="C640" s="29" t="s">
        <v>1050</v>
      </c>
      <c r="D640" s="29" t="s">
        <v>1087</v>
      </c>
      <c r="E640" s="29">
        <v>500</v>
      </c>
      <c r="G640" s="29" t="s">
        <v>1035</v>
      </c>
      <c r="H640" s="29">
        <v>1</v>
      </c>
      <c r="I640" s="29">
        <v>9.9600000000000009</v>
      </c>
      <c r="J640" s="29">
        <v>4.9800000000000004</v>
      </c>
      <c r="K640" s="29">
        <v>4.9800000000000004</v>
      </c>
      <c r="L640" s="29" t="s">
        <v>1032</v>
      </c>
      <c r="M640" s="29">
        <v>1</v>
      </c>
      <c r="N640" s="29">
        <v>0.5</v>
      </c>
      <c r="O640" s="29">
        <v>1</v>
      </c>
      <c r="P640" s="29">
        <v>4.9800000000000004</v>
      </c>
      <c r="Q640" s="29" t="s">
        <v>1033</v>
      </c>
    </row>
    <row r="641" spans="1:18" x14ac:dyDescent="0.3">
      <c r="A641" s="29" t="s">
        <v>511</v>
      </c>
      <c r="B641" s="29">
        <v>1</v>
      </c>
      <c r="C641" s="29" t="s">
        <v>1050</v>
      </c>
      <c r="D641" s="29" t="s">
        <v>1087</v>
      </c>
      <c r="E641" s="29">
        <v>1500</v>
      </c>
      <c r="G641" s="29" t="s">
        <v>1035</v>
      </c>
      <c r="H641" s="29">
        <v>1</v>
      </c>
      <c r="I641" s="29">
        <v>9.9600000000000009</v>
      </c>
      <c r="J641" s="29">
        <v>14.940000000000001</v>
      </c>
      <c r="K641" s="29">
        <v>14.940000000000001</v>
      </c>
      <c r="L641" s="29" t="s">
        <v>1032</v>
      </c>
      <c r="M641" s="29">
        <v>1</v>
      </c>
      <c r="N641" s="29">
        <v>1.5</v>
      </c>
      <c r="O641" s="29">
        <v>1</v>
      </c>
      <c r="P641" s="29">
        <v>14.940000000000001</v>
      </c>
      <c r="Q641" s="29" t="s">
        <v>1033</v>
      </c>
    </row>
    <row r="642" spans="1:18" x14ac:dyDescent="0.3">
      <c r="B642" s="29">
        <v>2</v>
      </c>
      <c r="C642" s="29" t="s">
        <v>1050</v>
      </c>
      <c r="D642" s="29" t="s">
        <v>1087</v>
      </c>
      <c r="E642" s="29">
        <v>300</v>
      </c>
      <c r="G642" s="29" t="s">
        <v>1035</v>
      </c>
      <c r="H642" s="29">
        <v>1</v>
      </c>
      <c r="I642" s="29">
        <v>9.9600000000000009</v>
      </c>
      <c r="J642" s="29">
        <v>2.988</v>
      </c>
      <c r="K642" s="29">
        <v>2.988</v>
      </c>
      <c r="L642" s="29" t="s">
        <v>1032</v>
      </c>
      <c r="M642" s="29">
        <v>1</v>
      </c>
      <c r="N642" s="29">
        <v>0.3</v>
      </c>
      <c r="O642" s="29">
        <v>1</v>
      </c>
      <c r="P642" s="29">
        <v>2.988</v>
      </c>
      <c r="Q642" s="29" t="s">
        <v>1033</v>
      </c>
    </row>
    <row r="643" spans="1:18" x14ac:dyDescent="0.3">
      <c r="A643" s="29" t="s">
        <v>511</v>
      </c>
      <c r="B643" s="29">
        <v>1</v>
      </c>
      <c r="C643" s="29" t="s">
        <v>1050</v>
      </c>
      <c r="D643" s="29" t="s">
        <v>1087</v>
      </c>
      <c r="E643" s="29">
        <v>1500</v>
      </c>
      <c r="G643" s="29" t="s">
        <v>1035</v>
      </c>
      <c r="H643" s="29">
        <v>1</v>
      </c>
      <c r="I643" s="29">
        <v>9.9600000000000009</v>
      </c>
      <c r="J643" s="29">
        <v>14.940000000000001</v>
      </c>
      <c r="K643" s="29">
        <v>14.940000000000001</v>
      </c>
      <c r="L643" s="29" t="s">
        <v>1032</v>
      </c>
      <c r="M643" s="29">
        <v>1</v>
      </c>
      <c r="N643" s="29">
        <v>1.5</v>
      </c>
      <c r="O643" s="29">
        <v>1</v>
      </c>
      <c r="P643" s="29">
        <v>14.940000000000001</v>
      </c>
      <c r="Q643" s="29" t="s">
        <v>1033</v>
      </c>
    </row>
    <row r="644" spans="1:18" x14ac:dyDescent="0.3">
      <c r="B644" s="29">
        <v>2</v>
      </c>
      <c r="C644" s="29" t="s">
        <v>1050</v>
      </c>
      <c r="D644" s="29" t="s">
        <v>1087</v>
      </c>
      <c r="E644" s="29">
        <v>300</v>
      </c>
      <c r="G644" s="29" t="s">
        <v>1035</v>
      </c>
      <c r="H644" s="29">
        <v>1</v>
      </c>
      <c r="I644" s="29">
        <v>9.9600000000000009</v>
      </c>
      <c r="J644" s="29">
        <v>2.988</v>
      </c>
      <c r="K644" s="29">
        <v>2.988</v>
      </c>
      <c r="L644" s="29" t="s">
        <v>1032</v>
      </c>
      <c r="M644" s="29">
        <v>1</v>
      </c>
      <c r="N644" s="29">
        <v>0.3</v>
      </c>
      <c r="O644" s="29">
        <v>1</v>
      </c>
      <c r="P644" s="29">
        <v>2.988</v>
      </c>
      <c r="Q644" s="29" t="s">
        <v>1033</v>
      </c>
    </row>
    <row r="645" spans="1:18" x14ac:dyDescent="0.3">
      <c r="A645" s="29" t="s">
        <v>512</v>
      </c>
      <c r="B645" s="29">
        <v>1</v>
      </c>
      <c r="C645" s="29" t="s">
        <v>1050</v>
      </c>
      <c r="D645" s="29" t="s">
        <v>1087</v>
      </c>
      <c r="E645" s="29">
        <v>1600</v>
      </c>
      <c r="G645" s="29" t="s">
        <v>1035</v>
      </c>
      <c r="H645" s="29">
        <v>1</v>
      </c>
      <c r="I645" s="29">
        <v>9.9600000000000009</v>
      </c>
      <c r="J645" s="29">
        <v>15.936000000000002</v>
      </c>
      <c r="K645" s="29">
        <v>15.936000000000002</v>
      </c>
      <c r="L645" s="29" t="s">
        <v>1032</v>
      </c>
      <c r="M645" s="29">
        <v>1</v>
      </c>
      <c r="N645" s="29">
        <v>1.6</v>
      </c>
      <c r="O645" s="29">
        <v>1</v>
      </c>
      <c r="P645" s="29">
        <v>15.936000000000002</v>
      </c>
      <c r="Q645" s="29" t="s">
        <v>1033</v>
      </c>
    </row>
    <row r="646" spans="1:18" x14ac:dyDescent="0.3">
      <c r="B646" s="29">
        <v>2</v>
      </c>
      <c r="C646" s="29" t="s">
        <v>1050</v>
      </c>
      <c r="D646" s="29" t="s">
        <v>1087</v>
      </c>
      <c r="E646" s="29">
        <v>300</v>
      </c>
      <c r="G646" s="29" t="s">
        <v>1035</v>
      </c>
      <c r="H646" s="29">
        <v>1</v>
      </c>
      <c r="I646" s="29">
        <v>9.9600000000000009</v>
      </c>
      <c r="J646" s="29">
        <v>2.988</v>
      </c>
      <c r="K646" s="29">
        <v>2.988</v>
      </c>
      <c r="L646" s="29" t="s">
        <v>1032</v>
      </c>
      <c r="M646" s="29">
        <v>1</v>
      </c>
      <c r="N646" s="29">
        <v>0.3</v>
      </c>
      <c r="O646" s="29">
        <v>1</v>
      </c>
      <c r="P646" s="29">
        <v>2.988</v>
      </c>
      <c r="Q646" s="29" t="s">
        <v>1033</v>
      </c>
    </row>
    <row r="647" spans="1:18" x14ac:dyDescent="0.3">
      <c r="A647" s="29" t="s">
        <v>513</v>
      </c>
      <c r="B647" s="29">
        <v>1</v>
      </c>
      <c r="C647" s="29" t="s">
        <v>1050</v>
      </c>
      <c r="D647" s="29" t="s">
        <v>1087</v>
      </c>
      <c r="E647" s="29">
        <v>1600</v>
      </c>
      <c r="G647" s="29" t="s">
        <v>1035</v>
      </c>
      <c r="H647" s="29">
        <v>1</v>
      </c>
      <c r="I647" s="29">
        <v>9.9600000000000009</v>
      </c>
      <c r="J647" s="29">
        <v>15.936000000000002</v>
      </c>
      <c r="K647" s="29">
        <v>15.936000000000002</v>
      </c>
      <c r="L647" s="29" t="s">
        <v>1032</v>
      </c>
      <c r="M647" s="29">
        <v>1</v>
      </c>
      <c r="N647" s="29">
        <v>1.6</v>
      </c>
      <c r="O647" s="29">
        <v>1</v>
      </c>
      <c r="P647" s="29">
        <v>15.936000000000002</v>
      </c>
      <c r="Q647" s="29" t="s">
        <v>1033</v>
      </c>
    </row>
    <row r="648" spans="1:18" x14ac:dyDescent="0.3">
      <c r="B648" s="29">
        <v>2</v>
      </c>
      <c r="C648" s="29" t="s">
        <v>1050</v>
      </c>
      <c r="D648" s="29" t="s">
        <v>1087</v>
      </c>
      <c r="E648" s="29">
        <v>500</v>
      </c>
      <c r="G648" s="29" t="s">
        <v>1035</v>
      </c>
      <c r="H648" s="29">
        <v>1</v>
      </c>
      <c r="I648" s="29">
        <v>9.9600000000000009</v>
      </c>
      <c r="J648" s="29">
        <v>4.9800000000000004</v>
      </c>
      <c r="K648" s="29">
        <v>4.9800000000000004</v>
      </c>
      <c r="L648" s="29" t="s">
        <v>1032</v>
      </c>
      <c r="M648" s="29">
        <v>1</v>
      </c>
      <c r="N648" s="29">
        <v>0.5</v>
      </c>
      <c r="O648" s="29">
        <v>1</v>
      </c>
      <c r="P648" s="29">
        <v>4.9800000000000004</v>
      </c>
      <c r="Q648" s="29" t="s">
        <v>1033</v>
      </c>
    </row>
    <row r="649" spans="1:18" x14ac:dyDescent="0.3">
      <c r="A649" s="29" t="s">
        <v>514</v>
      </c>
      <c r="B649" s="29">
        <v>1</v>
      </c>
      <c r="C649" s="29" t="s">
        <v>1050</v>
      </c>
      <c r="D649" s="29" t="s">
        <v>1086</v>
      </c>
      <c r="E649" s="29">
        <v>200</v>
      </c>
      <c r="G649" s="29" t="s">
        <v>1035</v>
      </c>
      <c r="H649" s="29">
        <v>1</v>
      </c>
      <c r="I649" s="29">
        <v>4.43</v>
      </c>
      <c r="J649" s="29">
        <v>0.88600000000000001</v>
      </c>
      <c r="K649" s="29">
        <v>0.88600000000000001</v>
      </c>
      <c r="L649" s="29" t="s">
        <v>1032</v>
      </c>
      <c r="M649" s="29">
        <v>1</v>
      </c>
      <c r="N649" s="29">
        <v>0.2</v>
      </c>
      <c r="O649" s="29">
        <v>1</v>
      </c>
      <c r="P649" s="29">
        <v>0.88600000000000001</v>
      </c>
      <c r="Q649" s="29" t="s">
        <v>1033</v>
      </c>
    </row>
    <row r="650" spans="1:18" x14ac:dyDescent="0.3">
      <c r="B650" s="29">
        <v>2</v>
      </c>
      <c r="C650" s="29" t="s">
        <v>1050</v>
      </c>
      <c r="D650" s="30" t="s">
        <v>1086</v>
      </c>
      <c r="E650" s="29">
        <v>300</v>
      </c>
      <c r="G650" s="29" t="s">
        <v>1035</v>
      </c>
      <c r="H650" s="29">
        <v>1</v>
      </c>
      <c r="I650" s="29">
        <v>4.43</v>
      </c>
      <c r="J650" s="29">
        <v>1.329</v>
      </c>
      <c r="K650" s="29">
        <v>1.329</v>
      </c>
      <c r="L650" s="29" t="s">
        <v>1032</v>
      </c>
      <c r="M650" s="29">
        <v>1</v>
      </c>
      <c r="N650" s="29">
        <v>0.3</v>
      </c>
      <c r="O650" s="29">
        <v>1</v>
      </c>
      <c r="P650" s="29">
        <v>1.329</v>
      </c>
      <c r="Q650" s="29" t="s">
        <v>1033</v>
      </c>
    </row>
    <row r="651" spans="1:18" x14ac:dyDescent="0.3">
      <c r="B651" s="29">
        <v>3</v>
      </c>
      <c r="C651" s="29" t="s">
        <v>1088</v>
      </c>
      <c r="D651" s="29">
        <v>9</v>
      </c>
      <c r="E651" s="29">
        <v>180</v>
      </c>
      <c r="F651" s="29">
        <v>180</v>
      </c>
      <c r="G651" s="29" t="s">
        <v>1035</v>
      </c>
      <c r="H651" s="29">
        <v>1</v>
      </c>
      <c r="J651" s="29">
        <v>2.2890600000000001</v>
      </c>
      <c r="K651" s="29">
        <v>2.2890600000000001</v>
      </c>
      <c r="L651" s="29" t="s">
        <v>1036</v>
      </c>
      <c r="M651" s="29">
        <v>1</v>
      </c>
      <c r="O651" s="29">
        <v>1</v>
      </c>
      <c r="P651" s="29">
        <v>2.2890600000000001</v>
      </c>
      <c r="Q651" s="29" t="s">
        <v>1037</v>
      </c>
      <c r="R651" t="s">
        <v>1130</v>
      </c>
    </row>
    <row r="652" spans="1:18" x14ac:dyDescent="0.3">
      <c r="B652" s="29">
        <v>4</v>
      </c>
      <c r="C652" s="29" t="s">
        <v>1038</v>
      </c>
      <c r="D652" s="30" t="s">
        <v>287</v>
      </c>
      <c r="G652" s="29" t="s">
        <v>1031</v>
      </c>
      <c r="H652" s="29">
        <v>4</v>
      </c>
      <c r="J652" s="29">
        <v>1</v>
      </c>
      <c r="K652" s="29">
        <v>4</v>
      </c>
      <c r="L652" s="29" t="s">
        <v>1039</v>
      </c>
      <c r="M652" s="29">
        <v>1</v>
      </c>
      <c r="O652" s="29">
        <v>4</v>
      </c>
      <c r="P652" s="29">
        <v>4</v>
      </c>
      <c r="Q652" s="29" t="s">
        <v>1040</v>
      </c>
    </row>
    <row r="653" spans="1:18" x14ac:dyDescent="0.3">
      <c r="A653" s="29" t="s">
        <v>515</v>
      </c>
      <c r="B653" s="29">
        <v>1</v>
      </c>
      <c r="C653" s="29" t="s">
        <v>1050</v>
      </c>
      <c r="D653" s="29" t="s">
        <v>1086</v>
      </c>
      <c r="E653" s="29">
        <v>300</v>
      </c>
      <c r="G653" s="29" t="s">
        <v>1035</v>
      </c>
      <c r="H653" s="29">
        <v>1</v>
      </c>
      <c r="I653" s="29">
        <v>4.43</v>
      </c>
      <c r="J653" s="29">
        <v>1.329</v>
      </c>
      <c r="K653" s="29">
        <v>1.329</v>
      </c>
      <c r="L653" s="29" t="s">
        <v>1032</v>
      </c>
      <c r="M653" s="29">
        <v>1</v>
      </c>
      <c r="N653" s="29">
        <v>0.3</v>
      </c>
      <c r="O653" s="29">
        <v>1</v>
      </c>
      <c r="P653" s="29">
        <v>1.329</v>
      </c>
      <c r="Q653" s="29" t="s">
        <v>1033</v>
      </c>
    </row>
    <row r="654" spans="1:18" x14ac:dyDescent="0.3">
      <c r="B654" s="29">
        <v>2</v>
      </c>
      <c r="C654" s="29" t="s">
        <v>1050</v>
      </c>
      <c r="D654" s="30" t="s">
        <v>1086</v>
      </c>
      <c r="E654" s="29">
        <v>300</v>
      </c>
      <c r="G654" s="29" t="s">
        <v>1035</v>
      </c>
      <c r="H654" s="29">
        <v>1</v>
      </c>
      <c r="I654" s="29">
        <v>4.43</v>
      </c>
      <c r="J654" s="29">
        <v>1.329</v>
      </c>
      <c r="K654" s="29">
        <v>1.329</v>
      </c>
      <c r="L654" s="29" t="s">
        <v>1032</v>
      </c>
      <c r="M654" s="29">
        <v>1</v>
      </c>
      <c r="N654" s="29">
        <v>0.3</v>
      </c>
      <c r="O654" s="29">
        <v>1</v>
      </c>
      <c r="P654" s="29">
        <v>1.329</v>
      </c>
      <c r="Q654" s="29" t="s">
        <v>1033</v>
      </c>
    </row>
    <row r="655" spans="1:18" x14ac:dyDescent="0.3">
      <c r="B655" s="29">
        <v>3</v>
      </c>
      <c r="C655" s="29" t="s">
        <v>1088</v>
      </c>
      <c r="D655" s="29">
        <v>9</v>
      </c>
      <c r="E655" s="29">
        <v>180</v>
      </c>
      <c r="F655" s="29">
        <v>180</v>
      </c>
      <c r="G655" s="29" t="s">
        <v>1035</v>
      </c>
      <c r="H655" s="29">
        <v>1</v>
      </c>
      <c r="J655" s="29">
        <v>2.2890600000000001</v>
      </c>
      <c r="K655" s="29">
        <v>2.2890600000000001</v>
      </c>
      <c r="L655" s="29" t="s">
        <v>1036</v>
      </c>
      <c r="M655" s="29">
        <v>1</v>
      </c>
      <c r="O655" s="29">
        <v>1</v>
      </c>
      <c r="P655" s="29">
        <v>2.2890600000000001</v>
      </c>
      <c r="Q655" s="29" t="s">
        <v>1037</v>
      </c>
      <c r="R655" t="s">
        <v>1130</v>
      </c>
    </row>
    <row r="656" spans="1:18" x14ac:dyDescent="0.3">
      <c r="B656" s="29">
        <v>4</v>
      </c>
      <c r="C656" s="29" t="s">
        <v>1038</v>
      </c>
      <c r="D656" s="30" t="s">
        <v>287</v>
      </c>
      <c r="G656" s="29" t="s">
        <v>1031</v>
      </c>
      <c r="H656" s="29">
        <v>4</v>
      </c>
      <c r="J656" s="29">
        <v>1</v>
      </c>
      <c r="K656" s="29">
        <v>4</v>
      </c>
      <c r="L656" s="29" t="s">
        <v>1039</v>
      </c>
      <c r="M656" s="29">
        <v>1</v>
      </c>
      <c r="O656" s="29">
        <v>4</v>
      </c>
      <c r="P656" s="29">
        <v>4</v>
      </c>
      <c r="Q656" s="29" t="s">
        <v>1040</v>
      </c>
    </row>
    <row r="657" spans="1:18" x14ac:dyDescent="0.3">
      <c r="A657" s="29" t="s">
        <v>515</v>
      </c>
      <c r="B657" s="29">
        <v>1</v>
      </c>
      <c r="C657" s="29" t="s">
        <v>1050</v>
      </c>
      <c r="D657" s="29" t="s">
        <v>1086</v>
      </c>
      <c r="E657" s="29">
        <v>300</v>
      </c>
      <c r="G657" s="29" t="s">
        <v>1035</v>
      </c>
      <c r="H657" s="29">
        <v>1</v>
      </c>
      <c r="I657" s="29">
        <v>4.43</v>
      </c>
      <c r="J657" s="29">
        <v>1.329</v>
      </c>
      <c r="K657" s="29">
        <v>1.329</v>
      </c>
      <c r="L657" s="29" t="s">
        <v>1032</v>
      </c>
      <c r="M657" s="29">
        <v>1</v>
      </c>
      <c r="N657" s="29">
        <v>0.3</v>
      </c>
      <c r="O657" s="29">
        <v>1</v>
      </c>
      <c r="P657" s="29">
        <v>1.329</v>
      </c>
      <c r="Q657" s="29" t="s">
        <v>1033</v>
      </c>
    </row>
    <row r="658" spans="1:18" x14ac:dyDescent="0.3">
      <c r="B658" s="29">
        <v>2</v>
      </c>
      <c r="C658" s="29" t="s">
        <v>1050</v>
      </c>
      <c r="D658" s="30" t="s">
        <v>1086</v>
      </c>
      <c r="E658" s="29">
        <v>300</v>
      </c>
      <c r="G658" s="29" t="s">
        <v>1035</v>
      </c>
      <c r="H658" s="29">
        <v>1</v>
      </c>
      <c r="I658" s="29">
        <v>4.43</v>
      </c>
      <c r="J658" s="29">
        <v>1.329</v>
      </c>
      <c r="K658" s="29">
        <v>1.329</v>
      </c>
      <c r="L658" s="29" t="s">
        <v>1032</v>
      </c>
      <c r="M658" s="29">
        <v>1</v>
      </c>
      <c r="N658" s="29">
        <v>0.3</v>
      </c>
      <c r="O658" s="29">
        <v>1</v>
      </c>
      <c r="P658" s="29">
        <v>1.329</v>
      </c>
      <c r="Q658" s="29" t="s">
        <v>1033</v>
      </c>
    </row>
    <row r="659" spans="1:18" x14ac:dyDescent="0.3">
      <c r="B659" s="29">
        <v>3</v>
      </c>
      <c r="C659" s="29" t="s">
        <v>1088</v>
      </c>
      <c r="D659" s="29">
        <v>9</v>
      </c>
      <c r="E659" s="29">
        <v>180</v>
      </c>
      <c r="F659" s="29">
        <v>180</v>
      </c>
      <c r="G659" s="29" t="s">
        <v>1035</v>
      </c>
      <c r="H659" s="29">
        <v>1</v>
      </c>
      <c r="J659" s="29">
        <v>2.2890600000000001</v>
      </c>
      <c r="K659" s="29">
        <v>2.2890600000000001</v>
      </c>
      <c r="L659" s="29" t="s">
        <v>1036</v>
      </c>
      <c r="M659" s="29">
        <v>1</v>
      </c>
      <c r="O659" s="29">
        <v>1</v>
      </c>
      <c r="P659" s="29">
        <v>2.2890600000000001</v>
      </c>
      <c r="Q659" s="29" t="s">
        <v>1037</v>
      </c>
      <c r="R659" t="s">
        <v>1130</v>
      </c>
    </row>
    <row r="660" spans="1:18" x14ac:dyDescent="0.3">
      <c r="B660" s="29">
        <v>4</v>
      </c>
      <c r="C660" s="29" t="s">
        <v>1038</v>
      </c>
      <c r="D660" s="30" t="s">
        <v>287</v>
      </c>
      <c r="G660" s="29" t="s">
        <v>1031</v>
      </c>
      <c r="H660" s="29">
        <v>4</v>
      </c>
      <c r="J660" s="29">
        <v>1</v>
      </c>
      <c r="K660" s="29">
        <v>4</v>
      </c>
      <c r="L660" s="29" t="s">
        <v>1039</v>
      </c>
      <c r="M660" s="29">
        <v>1</v>
      </c>
      <c r="O660" s="29">
        <v>4</v>
      </c>
      <c r="P660" s="29">
        <v>4</v>
      </c>
      <c r="Q660" s="29" t="s">
        <v>1040</v>
      </c>
    </row>
    <row r="661" spans="1:18" x14ac:dyDescent="0.3">
      <c r="A661" s="29" t="s">
        <v>515</v>
      </c>
      <c r="B661" s="29">
        <v>1</v>
      </c>
      <c r="C661" s="29" t="s">
        <v>1050</v>
      </c>
      <c r="D661" s="29" t="s">
        <v>1086</v>
      </c>
      <c r="E661" s="29">
        <v>300</v>
      </c>
      <c r="G661" s="29" t="s">
        <v>1035</v>
      </c>
      <c r="H661" s="29">
        <v>1</v>
      </c>
      <c r="I661" s="29">
        <v>4.43</v>
      </c>
      <c r="J661" s="29">
        <v>1.329</v>
      </c>
      <c r="K661" s="29">
        <v>1.329</v>
      </c>
      <c r="L661" s="29" t="s">
        <v>1032</v>
      </c>
      <c r="M661" s="29">
        <v>1</v>
      </c>
      <c r="N661" s="29">
        <v>0.3</v>
      </c>
      <c r="O661" s="29">
        <v>1</v>
      </c>
      <c r="P661" s="29">
        <v>1.329</v>
      </c>
      <c r="Q661" s="29" t="s">
        <v>1033</v>
      </c>
    </row>
    <row r="662" spans="1:18" x14ac:dyDescent="0.3">
      <c r="B662" s="29">
        <v>2</v>
      </c>
      <c r="C662" s="29" t="s">
        <v>1050</v>
      </c>
      <c r="D662" s="30" t="s">
        <v>1086</v>
      </c>
      <c r="E662" s="29">
        <v>300</v>
      </c>
      <c r="G662" s="29" t="s">
        <v>1035</v>
      </c>
      <c r="H662" s="29">
        <v>1</v>
      </c>
      <c r="I662" s="29">
        <v>4.43</v>
      </c>
      <c r="J662" s="29">
        <v>1.329</v>
      </c>
      <c r="K662" s="29">
        <v>1.329</v>
      </c>
      <c r="L662" s="29" t="s">
        <v>1032</v>
      </c>
      <c r="M662" s="29">
        <v>1</v>
      </c>
      <c r="N662" s="29">
        <v>0.3</v>
      </c>
      <c r="O662" s="29">
        <v>1</v>
      </c>
      <c r="P662" s="29">
        <v>1.329</v>
      </c>
      <c r="Q662" s="29" t="s">
        <v>1033</v>
      </c>
    </row>
    <row r="663" spans="1:18" x14ac:dyDescent="0.3">
      <c r="B663" s="29">
        <v>3</v>
      </c>
      <c r="C663" s="29" t="s">
        <v>1088</v>
      </c>
      <c r="D663" s="29">
        <v>9</v>
      </c>
      <c r="E663" s="29">
        <v>180</v>
      </c>
      <c r="F663" s="29">
        <v>180</v>
      </c>
      <c r="G663" s="29" t="s">
        <v>1035</v>
      </c>
      <c r="H663" s="29">
        <v>1</v>
      </c>
      <c r="J663" s="29">
        <v>2.2890600000000001</v>
      </c>
      <c r="K663" s="29">
        <v>2.2890600000000001</v>
      </c>
      <c r="L663" s="29" t="s">
        <v>1036</v>
      </c>
      <c r="M663" s="29">
        <v>1</v>
      </c>
      <c r="O663" s="29">
        <v>1</v>
      </c>
      <c r="P663" s="29">
        <v>2.2890600000000001</v>
      </c>
      <c r="Q663" s="29" t="s">
        <v>1037</v>
      </c>
      <c r="R663" t="s">
        <v>1130</v>
      </c>
    </row>
    <row r="664" spans="1:18" x14ac:dyDescent="0.3">
      <c r="B664" s="29">
        <v>4</v>
      </c>
      <c r="C664" s="29" t="s">
        <v>1038</v>
      </c>
      <c r="D664" s="30" t="s">
        <v>287</v>
      </c>
      <c r="G664" s="29" t="s">
        <v>1031</v>
      </c>
      <c r="H664" s="29">
        <v>4</v>
      </c>
      <c r="J664" s="29">
        <v>1</v>
      </c>
      <c r="K664" s="29">
        <v>4</v>
      </c>
      <c r="L664" s="29" t="s">
        <v>1039</v>
      </c>
      <c r="M664" s="29">
        <v>1</v>
      </c>
      <c r="O664" s="29">
        <v>4</v>
      </c>
      <c r="P664" s="29">
        <v>4</v>
      </c>
      <c r="Q664" s="29" t="s">
        <v>1040</v>
      </c>
    </row>
    <row r="665" spans="1:18" x14ac:dyDescent="0.3">
      <c r="A665" s="29" t="s">
        <v>515</v>
      </c>
      <c r="B665" s="29">
        <v>1</v>
      </c>
      <c r="C665" s="29" t="s">
        <v>1050</v>
      </c>
      <c r="D665" s="29" t="s">
        <v>1086</v>
      </c>
      <c r="E665" s="29">
        <v>300</v>
      </c>
      <c r="G665" s="29" t="s">
        <v>1035</v>
      </c>
      <c r="H665" s="29">
        <v>1</v>
      </c>
      <c r="I665" s="29">
        <v>4.43</v>
      </c>
      <c r="J665" s="29">
        <v>1.329</v>
      </c>
      <c r="K665" s="29">
        <v>1.329</v>
      </c>
      <c r="L665" s="29" t="s">
        <v>1032</v>
      </c>
      <c r="M665" s="29">
        <v>1</v>
      </c>
      <c r="N665" s="29">
        <v>0.3</v>
      </c>
      <c r="O665" s="29">
        <v>1</v>
      </c>
      <c r="P665" s="29">
        <v>1.329</v>
      </c>
      <c r="Q665" s="29" t="s">
        <v>1033</v>
      </c>
    </row>
    <row r="666" spans="1:18" x14ac:dyDescent="0.3">
      <c r="B666" s="29">
        <v>2</v>
      </c>
      <c r="C666" s="29" t="s">
        <v>1050</v>
      </c>
      <c r="D666" s="30" t="s">
        <v>1086</v>
      </c>
      <c r="E666" s="29">
        <v>300</v>
      </c>
      <c r="G666" s="29" t="s">
        <v>1035</v>
      </c>
      <c r="H666" s="29">
        <v>1</v>
      </c>
      <c r="I666" s="29">
        <v>4.43</v>
      </c>
      <c r="J666" s="29">
        <v>1.329</v>
      </c>
      <c r="K666" s="29">
        <v>1.329</v>
      </c>
      <c r="L666" s="29" t="s">
        <v>1032</v>
      </c>
      <c r="M666" s="29">
        <v>1</v>
      </c>
      <c r="N666" s="29">
        <v>0.3</v>
      </c>
      <c r="O666" s="29">
        <v>1</v>
      </c>
      <c r="P666" s="29">
        <v>1.329</v>
      </c>
      <c r="Q666" s="29" t="s">
        <v>1033</v>
      </c>
    </row>
    <row r="667" spans="1:18" x14ac:dyDescent="0.3">
      <c r="B667" s="29">
        <v>3</v>
      </c>
      <c r="C667" s="29" t="s">
        <v>1088</v>
      </c>
      <c r="D667" s="29">
        <v>9</v>
      </c>
      <c r="E667" s="29">
        <v>180</v>
      </c>
      <c r="F667" s="29">
        <v>180</v>
      </c>
      <c r="G667" s="29" t="s">
        <v>1035</v>
      </c>
      <c r="H667" s="29">
        <v>1</v>
      </c>
      <c r="J667" s="29">
        <v>2.2890600000000001</v>
      </c>
      <c r="K667" s="29">
        <v>2.2890600000000001</v>
      </c>
      <c r="L667" s="29" t="s">
        <v>1036</v>
      </c>
      <c r="M667" s="29">
        <v>1</v>
      </c>
      <c r="O667" s="29">
        <v>1</v>
      </c>
      <c r="P667" s="29">
        <v>2.2890600000000001</v>
      </c>
      <c r="Q667" s="29" t="s">
        <v>1037</v>
      </c>
      <c r="R667" t="s">
        <v>1130</v>
      </c>
    </row>
    <row r="668" spans="1:18" x14ac:dyDescent="0.3">
      <c r="B668" s="29">
        <v>4</v>
      </c>
      <c r="C668" s="29" t="s">
        <v>1038</v>
      </c>
      <c r="D668" s="30" t="s">
        <v>287</v>
      </c>
      <c r="G668" s="29" t="s">
        <v>1031</v>
      </c>
      <c r="H668" s="29">
        <v>4</v>
      </c>
      <c r="J668" s="29">
        <v>1</v>
      </c>
      <c r="K668" s="29">
        <v>4</v>
      </c>
      <c r="L668" s="29" t="s">
        <v>1039</v>
      </c>
      <c r="M668" s="29">
        <v>1</v>
      </c>
      <c r="O668" s="29">
        <v>4</v>
      </c>
      <c r="P668" s="29">
        <v>4</v>
      </c>
      <c r="Q668" s="29" t="s">
        <v>1040</v>
      </c>
    </row>
    <row r="669" spans="1:18" x14ac:dyDescent="0.3">
      <c r="A669" s="29" t="s">
        <v>516</v>
      </c>
      <c r="B669" s="29">
        <v>1</v>
      </c>
      <c r="C669" s="29" t="s">
        <v>1050</v>
      </c>
      <c r="D669" s="29" t="s">
        <v>1086</v>
      </c>
      <c r="E669" s="29">
        <v>400</v>
      </c>
      <c r="G669" s="29" t="s">
        <v>1035</v>
      </c>
      <c r="H669" s="29">
        <v>1</v>
      </c>
      <c r="I669" s="29">
        <v>4.43</v>
      </c>
      <c r="J669" s="29">
        <v>1.772</v>
      </c>
      <c r="K669" s="29">
        <v>1.772</v>
      </c>
      <c r="L669" s="29" t="s">
        <v>1032</v>
      </c>
      <c r="M669" s="29">
        <v>1</v>
      </c>
      <c r="N669" s="29">
        <v>0.4</v>
      </c>
      <c r="O669" s="29">
        <v>1</v>
      </c>
      <c r="P669" s="29">
        <v>1.772</v>
      </c>
      <c r="Q669" s="29" t="s">
        <v>1033</v>
      </c>
    </row>
    <row r="670" spans="1:18" x14ac:dyDescent="0.3">
      <c r="B670" s="29">
        <v>2</v>
      </c>
      <c r="C670" s="29" t="s">
        <v>1050</v>
      </c>
      <c r="D670" s="30" t="s">
        <v>1086</v>
      </c>
      <c r="E670" s="29">
        <v>300</v>
      </c>
      <c r="G670" s="29" t="s">
        <v>1035</v>
      </c>
      <c r="H670" s="29">
        <v>1</v>
      </c>
      <c r="I670" s="29">
        <v>4.43</v>
      </c>
      <c r="J670" s="29">
        <v>1.329</v>
      </c>
      <c r="K670" s="29">
        <v>1.329</v>
      </c>
      <c r="L670" s="29" t="s">
        <v>1032</v>
      </c>
      <c r="M670" s="29">
        <v>1</v>
      </c>
      <c r="N670" s="29">
        <v>0.3</v>
      </c>
      <c r="O670" s="29">
        <v>1</v>
      </c>
      <c r="P670" s="29">
        <v>1.329</v>
      </c>
      <c r="Q670" s="29" t="s">
        <v>1033</v>
      </c>
    </row>
    <row r="671" spans="1:18" x14ac:dyDescent="0.3">
      <c r="B671" s="29">
        <v>3</v>
      </c>
      <c r="C671" s="29" t="s">
        <v>1088</v>
      </c>
      <c r="D671" s="29">
        <v>9</v>
      </c>
      <c r="E671" s="29">
        <v>180</v>
      </c>
      <c r="F671" s="29">
        <v>180</v>
      </c>
      <c r="G671" s="29" t="s">
        <v>1035</v>
      </c>
      <c r="H671" s="29">
        <v>1</v>
      </c>
      <c r="J671" s="29">
        <v>2.2890600000000001</v>
      </c>
      <c r="K671" s="29">
        <v>2.2890600000000001</v>
      </c>
      <c r="L671" s="29" t="s">
        <v>1036</v>
      </c>
      <c r="M671" s="29">
        <v>1</v>
      </c>
      <c r="O671" s="29">
        <v>1</v>
      </c>
      <c r="P671" s="29">
        <v>2.2890600000000001</v>
      </c>
      <c r="Q671" s="29" t="s">
        <v>1037</v>
      </c>
      <c r="R671" t="s">
        <v>1130</v>
      </c>
    </row>
    <row r="672" spans="1:18" x14ac:dyDescent="0.3">
      <c r="B672" s="29">
        <v>4</v>
      </c>
      <c r="C672" s="29" t="s">
        <v>1038</v>
      </c>
      <c r="D672" s="30" t="s">
        <v>287</v>
      </c>
      <c r="G672" s="29" t="s">
        <v>1031</v>
      </c>
      <c r="H672" s="29">
        <v>4</v>
      </c>
      <c r="J672" s="29">
        <v>1</v>
      </c>
      <c r="K672" s="29">
        <v>4</v>
      </c>
      <c r="L672" s="29" t="s">
        <v>1039</v>
      </c>
      <c r="M672" s="29">
        <v>1</v>
      </c>
      <c r="O672" s="29">
        <v>4</v>
      </c>
      <c r="P672" s="29">
        <v>4</v>
      </c>
      <c r="Q672" s="29" t="s">
        <v>1040</v>
      </c>
    </row>
    <row r="673" spans="1:18" x14ac:dyDescent="0.3">
      <c r="A673" s="29" t="s">
        <v>516</v>
      </c>
      <c r="B673" s="29">
        <v>1</v>
      </c>
      <c r="C673" s="29" t="s">
        <v>1050</v>
      </c>
      <c r="D673" s="29" t="s">
        <v>1086</v>
      </c>
      <c r="E673" s="29">
        <v>400</v>
      </c>
      <c r="G673" s="29" t="s">
        <v>1035</v>
      </c>
      <c r="H673" s="29">
        <v>1</v>
      </c>
      <c r="I673" s="29">
        <v>4.43</v>
      </c>
      <c r="J673" s="29">
        <v>1.772</v>
      </c>
      <c r="K673" s="29">
        <v>1.772</v>
      </c>
      <c r="L673" s="29" t="s">
        <v>1032</v>
      </c>
      <c r="M673" s="29">
        <v>1</v>
      </c>
      <c r="N673" s="29">
        <v>0.4</v>
      </c>
      <c r="O673" s="29">
        <v>1</v>
      </c>
      <c r="P673" s="29">
        <v>1.772</v>
      </c>
      <c r="Q673" s="29" t="s">
        <v>1033</v>
      </c>
    </row>
    <row r="674" spans="1:18" x14ac:dyDescent="0.3">
      <c r="B674" s="29">
        <v>2</v>
      </c>
      <c r="C674" s="29" t="s">
        <v>1050</v>
      </c>
      <c r="D674" s="30" t="s">
        <v>1086</v>
      </c>
      <c r="E674" s="29">
        <v>300</v>
      </c>
      <c r="G674" s="29" t="s">
        <v>1035</v>
      </c>
      <c r="H674" s="29">
        <v>1</v>
      </c>
      <c r="I674" s="29">
        <v>4.43</v>
      </c>
      <c r="J674" s="29">
        <v>1.329</v>
      </c>
      <c r="K674" s="29">
        <v>1.329</v>
      </c>
      <c r="L674" s="29" t="s">
        <v>1032</v>
      </c>
      <c r="M674" s="29">
        <v>1</v>
      </c>
      <c r="N674" s="29">
        <v>0.3</v>
      </c>
      <c r="O674" s="29">
        <v>1</v>
      </c>
      <c r="P674" s="29">
        <v>1.329</v>
      </c>
      <c r="Q674" s="29" t="s">
        <v>1033</v>
      </c>
    </row>
    <row r="675" spans="1:18" x14ac:dyDescent="0.3">
      <c r="B675" s="29">
        <v>3</v>
      </c>
      <c r="C675" s="29" t="s">
        <v>1088</v>
      </c>
      <c r="D675" s="29">
        <v>9</v>
      </c>
      <c r="E675" s="29">
        <v>180</v>
      </c>
      <c r="F675" s="29">
        <v>180</v>
      </c>
      <c r="G675" s="29" t="s">
        <v>1035</v>
      </c>
      <c r="H675" s="29">
        <v>1</v>
      </c>
      <c r="J675" s="29">
        <v>2.2890600000000001</v>
      </c>
      <c r="K675" s="29">
        <v>2.2890600000000001</v>
      </c>
      <c r="L675" s="29" t="s">
        <v>1036</v>
      </c>
      <c r="M675" s="29">
        <v>1</v>
      </c>
      <c r="O675" s="29">
        <v>1</v>
      </c>
      <c r="P675" s="29">
        <v>2.2890600000000001</v>
      </c>
      <c r="Q675" s="29" t="s">
        <v>1037</v>
      </c>
      <c r="R675" t="s">
        <v>1130</v>
      </c>
    </row>
    <row r="676" spans="1:18" x14ac:dyDescent="0.3">
      <c r="B676" s="29">
        <v>4</v>
      </c>
      <c r="C676" s="29" t="s">
        <v>1038</v>
      </c>
      <c r="D676" s="30" t="s">
        <v>287</v>
      </c>
      <c r="G676" s="29" t="s">
        <v>1031</v>
      </c>
      <c r="H676" s="29">
        <v>4</v>
      </c>
      <c r="J676" s="29">
        <v>1</v>
      </c>
      <c r="K676" s="29">
        <v>4</v>
      </c>
      <c r="L676" s="29" t="s">
        <v>1039</v>
      </c>
      <c r="M676" s="29">
        <v>1</v>
      </c>
      <c r="O676" s="29">
        <v>4</v>
      </c>
      <c r="P676" s="29">
        <v>4</v>
      </c>
      <c r="Q676" s="29" t="s">
        <v>1040</v>
      </c>
    </row>
    <row r="677" spans="1:18" x14ac:dyDescent="0.3">
      <c r="A677" s="29" t="s">
        <v>516</v>
      </c>
      <c r="B677" s="29">
        <v>1</v>
      </c>
      <c r="C677" s="29" t="s">
        <v>1050</v>
      </c>
      <c r="D677" s="29" t="s">
        <v>1086</v>
      </c>
      <c r="E677" s="29">
        <v>400</v>
      </c>
      <c r="G677" s="29" t="s">
        <v>1035</v>
      </c>
      <c r="H677" s="29">
        <v>1</v>
      </c>
      <c r="I677" s="29">
        <v>4.43</v>
      </c>
      <c r="J677" s="29">
        <v>1.772</v>
      </c>
      <c r="K677" s="29">
        <v>1.772</v>
      </c>
      <c r="L677" s="29" t="s">
        <v>1032</v>
      </c>
      <c r="M677" s="29">
        <v>1</v>
      </c>
      <c r="N677" s="29">
        <v>0.4</v>
      </c>
      <c r="O677" s="29">
        <v>1</v>
      </c>
      <c r="P677" s="29">
        <v>1.772</v>
      </c>
      <c r="Q677" s="29" t="s">
        <v>1033</v>
      </c>
    </row>
    <row r="678" spans="1:18" x14ac:dyDescent="0.3">
      <c r="B678" s="29">
        <v>2</v>
      </c>
      <c r="C678" s="29" t="s">
        <v>1050</v>
      </c>
      <c r="D678" s="30" t="s">
        <v>1086</v>
      </c>
      <c r="E678" s="29">
        <v>300</v>
      </c>
      <c r="G678" s="29" t="s">
        <v>1035</v>
      </c>
      <c r="H678" s="29">
        <v>1</v>
      </c>
      <c r="I678" s="29">
        <v>4.43</v>
      </c>
      <c r="J678" s="29">
        <v>1.329</v>
      </c>
      <c r="K678" s="29">
        <v>1.329</v>
      </c>
      <c r="L678" s="29" t="s">
        <v>1032</v>
      </c>
      <c r="M678" s="29">
        <v>1</v>
      </c>
      <c r="N678" s="29">
        <v>0.3</v>
      </c>
      <c r="O678" s="29">
        <v>1</v>
      </c>
      <c r="P678" s="29">
        <v>1.329</v>
      </c>
      <c r="Q678" s="29" t="s">
        <v>1033</v>
      </c>
    </row>
    <row r="679" spans="1:18" x14ac:dyDescent="0.3">
      <c r="B679" s="29">
        <v>3</v>
      </c>
      <c r="C679" s="29" t="s">
        <v>1088</v>
      </c>
      <c r="D679" s="29">
        <v>9</v>
      </c>
      <c r="E679" s="29">
        <v>180</v>
      </c>
      <c r="F679" s="29">
        <v>180</v>
      </c>
      <c r="G679" s="29" t="s">
        <v>1035</v>
      </c>
      <c r="H679" s="29">
        <v>1</v>
      </c>
      <c r="J679" s="29">
        <v>2.2890600000000001</v>
      </c>
      <c r="K679" s="29">
        <v>2.2890600000000001</v>
      </c>
      <c r="L679" s="29" t="s">
        <v>1036</v>
      </c>
      <c r="M679" s="29">
        <v>1</v>
      </c>
      <c r="O679" s="29">
        <v>1</v>
      </c>
      <c r="P679" s="29">
        <v>2.2890600000000001</v>
      </c>
      <c r="Q679" s="29" t="s">
        <v>1037</v>
      </c>
      <c r="R679" t="s">
        <v>1130</v>
      </c>
    </row>
    <row r="680" spans="1:18" x14ac:dyDescent="0.3">
      <c r="B680" s="29">
        <v>4</v>
      </c>
      <c r="C680" s="29" t="s">
        <v>1038</v>
      </c>
      <c r="D680" s="30" t="s">
        <v>287</v>
      </c>
      <c r="G680" s="29" t="s">
        <v>1031</v>
      </c>
      <c r="H680" s="29">
        <v>4</v>
      </c>
      <c r="J680" s="29">
        <v>1</v>
      </c>
      <c r="K680" s="29">
        <v>4</v>
      </c>
      <c r="L680" s="29" t="s">
        <v>1039</v>
      </c>
      <c r="M680" s="29">
        <v>1</v>
      </c>
      <c r="O680" s="29">
        <v>4</v>
      </c>
      <c r="P680" s="29">
        <v>4</v>
      </c>
      <c r="Q680" s="29" t="s">
        <v>1040</v>
      </c>
    </row>
    <row r="681" spans="1:18" x14ac:dyDescent="0.3">
      <c r="A681" s="29" t="s">
        <v>516</v>
      </c>
      <c r="B681" s="29">
        <v>1</v>
      </c>
      <c r="C681" s="29" t="s">
        <v>1050</v>
      </c>
      <c r="D681" s="29" t="s">
        <v>1086</v>
      </c>
      <c r="E681" s="29">
        <v>400</v>
      </c>
      <c r="G681" s="29" t="s">
        <v>1035</v>
      </c>
      <c r="H681" s="29">
        <v>1</v>
      </c>
      <c r="I681" s="29">
        <v>4.43</v>
      </c>
      <c r="J681" s="29">
        <v>1.772</v>
      </c>
      <c r="K681" s="29">
        <v>1.772</v>
      </c>
      <c r="L681" s="29" t="s">
        <v>1032</v>
      </c>
      <c r="M681" s="29">
        <v>1</v>
      </c>
      <c r="N681" s="29">
        <v>0.4</v>
      </c>
      <c r="O681" s="29">
        <v>1</v>
      </c>
      <c r="P681" s="29">
        <v>1.772</v>
      </c>
      <c r="Q681" s="29" t="s">
        <v>1033</v>
      </c>
    </row>
    <row r="682" spans="1:18" x14ac:dyDescent="0.3">
      <c r="B682" s="29">
        <v>2</v>
      </c>
      <c r="C682" s="29" t="s">
        <v>1050</v>
      </c>
      <c r="D682" s="30" t="s">
        <v>1086</v>
      </c>
      <c r="E682" s="29">
        <v>300</v>
      </c>
      <c r="G682" s="29" t="s">
        <v>1035</v>
      </c>
      <c r="H682" s="29">
        <v>1</v>
      </c>
      <c r="I682" s="29">
        <v>4.43</v>
      </c>
      <c r="J682" s="29">
        <v>1.329</v>
      </c>
      <c r="K682" s="29">
        <v>1.329</v>
      </c>
      <c r="L682" s="29" t="s">
        <v>1032</v>
      </c>
      <c r="M682" s="29">
        <v>1</v>
      </c>
      <c r="N682" s="29">
        <v>0.3</v>
      </c>
      <c r="O682" s="29">
        <v>1</v>
      </c>
      <c r="P682" s="29">
        <v>1.329</v>
      </c>
      <c r="Q682" s="29" t="s">
        <v>1033</v>
      </c>
    </row>
    <row r="683" spans="1:18" x14ac:dyDescent="0.3">
      <c r="B683" s="29">
        <v>3</v>
      </c>
      <c r="C683" s="29" t="s">
        <v>1088</v>
      </c>
      <c r="D683" s="29">
        <v>9</v>
      </c>
      <c r="E683" s="29">
        <v>180</v>
      </c>
      <c r="F683" s="29">
        <v>180</v>
      </c>
      <c r="G683" s="29" t="s">
        <v>1035</v>
      </c>
      <c r="H683" s="29">
        <v>1</v>
      </c>
      <c r="J683" s="29">
        <v>2.2890600000000001</v>
      </c>
      <c r="K683" s="29">
        <v>2.2890600000000001</v>
      </c>
      <c r="L683" s="29" t="s">
        <v>1036</v>
      </c>
      <c r="M683" s="29">
        <v>1</v>
      </c>
      <c r="O683" s="29">
        <v>1</v>
      </c>
      <c r="P683" s="29">
        <v>2.2890600000000001</v>
      </c>
      <c r="Q683" s="29" t="s">
        <v>1037</v>
      </c>
      <c r="R683" t="s">
        <v>1130</v>
      </c>
    </row>
    <row r="684" spans="1:18" x14ac:dyDescent="0.3">
      <c r="B684" s="29">
        <v>4</v>
      </c>
      <c r="C684" s="29" t="s">
        <v>1038</v>
      </c>
      <c r="D684" s="30" t="s">
        <v>287</v>
      </c>
      <c r="G684" s="29" t="s">
        <v>1031</v>
      </c>
      <c r="H684" s="29">
        <v>4</v>
      </c>
      <c r="J684" s="29">
        <v>1</v>
      </c>
      <c r="K684" s="29">
        <v>4</v>
      </c>
      <c r="L684" s="29" t="s">
        <v>1039</v>
      </c>
      <c r="M684" s="29">
        <v>1</v>
      </c>
      <c r="O684" s="29">
        <v>4</v>
      </c>
      <c r="P684" s="29">
        <v>4</v>
      </c>
      <c r="Q684" s="29" t="s">
        <v>1040</v>
      </c>
    </row>
    <row r="685" spans="1:18" x14ac:dyDescent="0.3">
      <c r="A685" s="29" t="s">
        <v>517</v>
      </c>
      <c r="B685" s="29">
        <v>1</v>
      </c>
      <c r="C685" s="29" t="s">
        <v>1050</v>
      </c>
      <c r="D685" s="29" t="s">
        <v>1086</v>
      </c>
      <c r="E685" s="29">
        <v>500</v>
      </c>
      <c r="G685" s="29" t="s">
        <v>1035</v>
      </c>
      <c r="H685" s="29">
        <v>1</v>
      </c>
      <c r="I685" s="29">
        <v>4.43</v>
      </c>
      <c r="J685" s="29">
        <v>2.2149999999999999</v>
      </c>
      <c r="K685" s="29">
        <v>2.2149999999999999</v>
      </c>
      <c r="L685" s="29" t="s">
        <v>1032</v>
      </c>
      <c r="M685" s="29">
        <v>1</v>
      </c>
      <c r="N685" s="29">
        <v>0.5</v>
      </c>
      <c r="O685" s="29">
        <v>1</v>
      </c>
      <c r="P685" s="29">
        <v>2.2149999999999999</v>
      </c>
      <c r="Q685" s="29" t="s">
        <v>1033</v>
      </c>
    </row>
    <row r="686" spans="1:18" x14ac:dyDescent="0.3">
      <c r="B686" s="29">
        <v>2</v>
      </c>
      <c r="C686" s="29" t="s">
        <v>1050</v>
      </c>
      <c r="D686" s="30" t="s">
        <v>1086</v>
      </c>
      <c r="E686" s="29">
        <v>300</v>
      </c>
      <c r="G686" s="29" t="s">
        <v>1035</v>
      </c>
      <c r="H686" s="29">
        <v>1</v>
      </c>
      <c r="I686" s="29">
        <v>4.43</v>
      </c>
      <c r="J686" s="29">
        <v>1.329</v>
      </c>
      <c r="K686" s="29">
        <v>1.329</v>
      </c>
      <c r="L686" s="29" t="s">
        <v>1032</v>
      </c>
      <c r="M686" s="29">
        <v>1</v>
      </c>
      <c r="N686" s="29">
        <v>0.3</v>
      </c>
      <c r="O686" s="29">
        <v>1</v>
      </c>
      <c r="P686" s="29">
        <v>1.329</v>
      </c>
      <c r="Q686" s="29" t="s">
        <v>1033</v>
      </c>
    </row>
    <row r="687" spans="1:18" x14ac:dyDescent="0.3">
      <c r="B687" s="29">
        <v>3</v>
      </c>
      <c r="C687" s="29" t="s">
        <v>1088</v>
      </c>
      <c r="D687" s="29">
        <v>9</v>
      </c>
      <c r="E687" s="29">
        <v>180</v>
      </c>
      <c r="F687" s="29">
        <v>180</v>
      </c>
      <c r="G687" s="29" t="s">
        <v>1035</v>
      </c>
      <c r="H687" s="29">
        <v>1</v>
      </c>
      <c r="J687" s="29">
        <v>2.2890600000000001</v>
      </c>
      <c r="K687" s="29">
        <v>2.2890600000000001</v>
      </c>
      <c r="L687" s="29" t="s">
        <v>1036</v>
      </c>
      <c r="M687" s="29">
        <v>1</v>
      </c>
      <c r="O687" s="29">
        <v>1</v>
      </c>
      <c r="P687" s="29">
        <v>2.2890600000000001</v>
      </c>
      <c r="Q687" s="29" t="s">
        <v>1037</v>
      </c>
      <c r="R687" t="s">
        <v>1130</v>
      </c>
    </row>
    <row r="688" spans="1:18" x14ac:dyDescent="0.3">
      <c r="B688" s="29">
        <v>4</v>
      </c>
      <c r="C688" s="29" t="s">
        <v>1038</v>
      </c>
      <c r="D688" s="30" t="s">
        <v>287</v>
      </c>
      <c r="G688" s="29" t="s">
        <v>1031</v>
      </c>
      <c r="H688" s="29">
        <v>4</v>
      </c>
      <c r="J688" s="29">
        <v>1</v>
      </c>
      <c r="K688" s="29">
        <v>4</v>
      </c>
      <c r="L688" s="29" t="s">
        <v>1039</v>
      </c>
      <c r="M688" s="29">
        <v>1</v>
      </c>
      <c r="O688" s="29">
        <v>4</v>
      </c>
      <c r="P688" s="29">
        <v>4</v>
      </c>
      <c r="Q688" s="29" t="s">
        <v>1040</v>
      </c>
    </row>
    <row r="689" spans="1:18" x14ac:dyDescent="0.3">
      <c r="A689" s="29" t="s">
        <v>517</v>
      </c>
      <c r="B689" s="29">
        <v>1</v>
      </c>
      <c r="C689" s="29" t="s">
        <v>1050</v>
      </c>
      <c r="D689" s="29" t="s">
        <v>1086</v>
      </c>
      <c r="E689" s="29">
        <v>500</v>
      </c>
      <c r="G689" s="29" t="s">
        <v>1035</v>
      </c>
      <c r="H689" s="29">
        <v>1</v>
      </c>
      <c r="I689" s="29">
        <v>4.43</v>
      </c>
      <c r="J689" s="29">
        <v>2.2149999999999999</v>
      </c>
      <c r="K689" s="29">
        <v>2.2149999999999999</v>
      </c>
      <c r="L689" s="29" t="s">
        <v>1032</v>
      </c>
      <c r="M689" s="29">
        <v>1</v>
      </c>
      <c r="N689" s="29">
        <v>0.5</v>
      </c>
      <c r="O689" s="29">
        <v>1</v>
      </c>
      <c r="P689" s="29">
        <v>2.2149999999999999</v>
      </c>
      <c r="Q689" s="29" t="s">
        <v>1033</v>
      </c>
    </row>
    <row r="690" spans="1:18" x14ac:dyDescent="0.3">
      <c r="B690" s="29">
        <v>2</v>
      </c>
      <c r="C690" s="29" t="s">
        <v>1050</v>
      </c>
      <c r="D690" s="30" t="s">
        <v>1086</v>
      </c>
      <c r="E690" s="29">
        <v>300</v>
      </c>
      <c r="G690" s="29" t="s">
        <v>1035</v>
      </c>
      <c r="H690" s="29">
        <v>1</v>
      </c>
      <c r="I690" s="29">
        <v>4.43</v>
      </c>
      <c r="J690" s="29">
        <v>1.329</v>
      </c>
      <c r="K690" s="29">
        <v>1.329</v>
      </c>
      <c r="L690" s="29" t="s">
        <v>1032</v>
      </c>
      <c r="M690" s="29">
        <v>1</v>
      </c>
      <c r="N690" s="29">
        <v>0.3</v>
      </c>
      <c r="O690" s="29">
        <v>1</v>
      </c>
      <c r="P690" s="29">
        <v>1.329</v>
      </c>
      <c r="Q690" s="29" t="s">
        <v>1033</v>
      </c>
    </row>
    <row r="691" spans="1:18" x14ac:dyDescent="0.3">
      <c r="B691" s="29">
        <v>3</v>
      </c>
      <c r="C691" s="29" t="s">
        <v>1088</v>
      </c>
      <c r="D691" s="29">
        <v>9</v>
      </c>
      <c r="E691" s="29">
        <v>180</v>
      </c>
      <c r="F691" s="29">
        <v>180</v>
      </c>
      <c r="G691" s="29" t="s">
        <v>1035</v>
      </c>
      <c r="H691" s="29">
        <v>1</v>
      </c>
      <c r="J691" s="29">
        <v>2.2890600000000001</v>
      </c>
      <c r="K691" s="29">
        <v>2.2890600000000001</v>
      </c>
      <c r="L691" s="29" t="s">
        <v>1036</v>
      </c>
      <c r="M691" s="29">
        <v>1</v>
      </c>
      <c r="O691" s="29">
        <v>1</v>
      </c>
      <c r="P691" s="29">
        <v>2.2890600000000001</v>
      </c>
      <c r="Q691" s="29" t="s">
        <v>1037</v>
      </c>
      <c r="R691" t="s">
        <v>1130</v>
      </c>
    </row>
    <row r="692" spans="1:18" x14ac:dyDescent="0.3">
      <c r="B692" s="29">
        <v>4</v>
      </c>
      <c r="C692" s="29" t="s">
        <v>1038</v>
      </c>
      <c r="D692" s="30" t="s">
        <v>287</v>
      </c>
      <c r="G692" s="29" t="s">
        <v>1031</v>
      </c>
      <c r="H692" s="29">
        <v>4</v>
      </c>
      <c r="J692" s="29">
        <v>1</v>
      </c>
      <c r="K692" s="29">
        <v>4</v>
      </c>
      <c r="L692" s="29" t="s">
        <v>1039</v>
      </c>
      <c r="M692" s="29">
        <v>1</v>
      </c>
      <c r="O692" s="29">
        <v>4</v>
      </c>
      <c r="P692" s="29">
        <v>4</v>
      </c>
      <c r="Q692" s="29" t="s">
        <v>1040</v>
      </c>
    </row>
    <row r="693" spans="1:18" x14ac:dyDescent="0.3">
      <c r="A693" s="29" t="s">
        <v>518</v>
      </c>
      <c r="B693" s="29">
        <v>1</v>
      </c>
      <c r="C693" s="29" t="s">
        <v>1050</v>
      </c>
      <c r="D693" s="29" t="s">
        <v>1086</v>
      </c>
      <c r="E693" s="29">
        <v>700</v>
      </c>
      <c r="G693" s="29" t="s">
        <v>1035</v>
      </c>
      <c r="H693" s="29">
        <v>1</v>
      </c>
      <c r="I693" s="29">
        <v>4.43</v>
      </c>
      <c r="J693" s="29">
        <v>3.1009999999999995</v>
      </c>
      <c r="K693" s="29">
        <v>3.1009999999999995</v>
      </c>
      <c r="L693" s="29" t="s">
        <v>1032</v>
      </c>
      <c r="M693" s="29">
        <v>1</v>
      </c>
      <c r="N693" s="29">
        <v>0.7</v>
      </c>
      <c r="O693" s="29">
        <v>1</v>
      </c>
      <c r="P693" s="29">
        <v>3.1009999999999995</v>
      </c>
      <c r="Q693" s="29" t="s">
        <v>1033</v>
      </c>
    </row>
    <row r="694" spans="1:18" x14ac:dyDescent="0.3">
      <c r="B694" s="29">
        <v>2</v>
      </c>
      <c r="C694" s="29" t="s">
        <v>1050</v>
      </c>
      <c r="D694" s="30" t="s">
        <v>1086</v>
      </c>
      <c r="E694" s="29">
        <v>300</v>
      </c>
      <c r="G694" s="29" t="s">
        <v>1035</v>
      </c>
      <c r="H694" s="29">
        <v>1</v>
      </c>
      <c r="I694" s="29">
        <v>4.43</v>
      </c>
      <c r="J694" s="29">
        <v>1.329</v>
      </c>
      <c r="K694" s="29">
        <v>1.329</v>
      </c>
      <c r="L694" s="29" t="s">
        <v>1032</v>
      </c>
      <c r="M694" s="29">
        <v>1</v>
      </c>
      <c r="N694" s="29">
        <v>0.3</v>
      </c>
      <c r="O694" s="29">
        <v>1</v>
      </c>
      <c r="P694" s="29">
        <v>1.329</v>
      </c>
      <c r="Q694" s="29" t="s">
        <v>1033</v>
      </c>
    </row>
    <row r="695" spans="1:18" x14ac:dyDescent="0.3">
      <c r="B695" s="29">
        <v>3</v>
      </c>
      <c r="C695" s="29" t="s">
        <v>1088</v>
      </c>
      <c r="D695" s="29">
        <v>9</v>
      </c>
      <c r="E695" s="29">
        <v>180</v>
      </c>
      <c r="F695" s="29">
        <v>180</v>
      </c>
      <c r="G695" s="29" t="s">
        <v>1035</v>
      </c>
      <c r="H695" s="29">
        <v>1</v>
      </c>
      <c r="J695" s="29">
        <v>2.2890600000000001</v>
      </c>
      <c r="K695" s="29">
        <v>2.2890600000000001</v>
      </c>
      <c r="L695" s="29" t="s">
        <v>1036</v>
      </c>
      <c r="M695" s="29">
        <v>1</v>
      </c>
      <c r="O695" s="29">
        <v>1</v>
      </c>
      <c r="P695" s="29">
        <v>2.2890600000000001</v>
      </c>
      <c r="Q695" s="29" t="s">
        <v>1037</v>
      </c>
      <c r="R695" t="s">
        <v>1130</v>
      </c>
    </row>
    <row r="696" spans="1:18" x14ac:dyDescent="0.3">
      <c r="B696" s="29">
        <v>4</v>
      </c>
      <c r="C696" s="29" t="s">
        <v>1038</v>
      </c>
      <c r="D696" s="30" t="s">
        <v>287</v>
      </c>
      <c r="G696" s="29" t="s">
        <v>1031</v>
      </c>
      <c r="H696" s="29">
        <v>4</v>
      </c>
      <c r="J696" s="29">
        <v>1</v>
      </c>
      <c r="K696" s="29">
        <v>4</v>
      </c>
      <c r="L696" s="29" t="s">
        <v>1039</v>
      </c>
      <c r="M696" s="29">
        <v>1</v>
      </c>
      <c r="O696" s="29">
        <v>4</v>
      </c>
      <c r="P696" s="29">
        <v>4</v>
      </c>
      <c r="Q696" s="29" t="s">
        <v>1040</v>
      </c>
    </row>
    <row r="697" spans="1:18" x14ac:dyDescent="0.3">
      <c r="A697" s="29" t="s">
        <v>518</v>
      </c>
      <c r="B697" s="29">
        <v>1</v>
      </c>
      <c r="C697" s="29" t="s">
        <v>1050</v>
      </c>
      <c r="D697" s="29" t="s">
        <v>1086</v>
      </c>
      <c r="E697" s="29">
        <v>700</v>
      </c>
      <c r="G697" s="29" t="s">
        <v>1035</v>
      </c>
      <c r="H697" s="29">
        <v>1</v>
      </c>
      <c r="I697" s="29">
        <v>4.43</v>
      </c>
      <c r="J697" s="29">
        <v>3.1009999999999995</v>
      </c>
      <c r="K697" s="29">
        <v>3.1009999999999995</v>
      </c>
      <c r="L697" s="29" t="s">
        <v>1032</v>
      </c>
      <c r="M697" s="29">
        <v>1</v>
      </c>
      <c r="N697" s="29">
        <v>0.7</v>
      </c>
      <c r="O697" s="29">
        <v>1</v>
      </c>
      <c r="P697" s="29">
        <v>3.1009999999999995</v>
      </c>
      <c r="Q697" s="29" t="s">
        <v>1033</v>
      </c>
    </row>
    <row r="698" spans="1:18" x14ac:dyDescent="0.3">
      <c r="B698" s="29">
        <v>2</v>
      </c>
      <c r="C698" s="29" t="s">
        <v>1050</v>
      </c>
      <c r="D698" s="30" t="s">
        <v>1086</v>
      </c>
      <c r="E698" s="29">
        <v>300</v>
      </c>
      <c r="G698" s="29" t="s">
        <v>1035</v>
      </c>
      <c r="H698" s="29">
        <v>1</v>
      </c>
      <c r="I698" s="29">
        <v>4.43</v>
      </c>
      <c r="J698" s="29">
        <v>1.329</v>
      </c>
      <c r="K698" s="29">
        <v>1.329</v>
      </c>
      <c r="L698" s="29" t="s">
        <v>1032</v>
      </c>
      <c r="M698" s="29">
        <v>1</v>
      </c>
      <c r="N698" s="29">
        <v>0.3</v>
      </c>
      <c r="O698" s="29">
        <v>1</v>
      </c>
      <c r="P698" s="29">
        <v>1.329</v>
      </c>
      <c r="Q698" s="29" t="s">
        <v>1033</v>
      </c>
    </row>
    <row r="699" spans="1:18" x14ac:dyDescent="0.3">
      <c r="B699" s="29">
        <v>3</v>
      </c>
      <c r="C699" s="29" t="s">
        <v>1088</v>
      </c>
      <c r="D699" s="29">
        <v>9</v>
      </c>
      <c r="E699" s="29">
        <v>180</v>
      </c>
      <c r="F699" s="29">
        <v>180</v>
      </c>
      <c r="G699" s="29" t="s">
        <v>1035</v>
      </c>
      <c r="H699" s="29">
        <v>1</v>
      </c>
      <c r="J699" s="29">
        <v>2.2890600000000001</v>
      </c>
      <c r="K699" s="29">
        <v>2.2890600000000001</v>
      </c>
      <c r="L699" s="29" t="s">
        <v>1036</v>
      </c>
      <c r="M699" s="29">
        <v>1</v>
      </c>
      <c r="O699" s="29">
        <v>1</v>
      </c>
      <c r="P699" s="29">
        <v>2.2890600000000001</v>
      </c>
      <c r="Q699" s="29" t="s">
        <v>1037</v>
      </c>
      <c r="R699" t="s">
        <v>1130</v>
      </c>
    </row>
    <row r="700" spans="1:18" x14ac:dyDescent="0.3">
      <c r="B700" s="29">
        <v>4</v>
      </c>
      <c r="C700" s="29" t="s">
        <v>1038</v>
      </c>
      <c r="D700" s="30" t="s">
        <v>287</v>
      </c>
      <c r="G700" s="29" t="s">
        <v>1031</v>
      </c>
      <c r="H700" s="29">
        <v>4</v>
      </c>
      <c r="J700" s="29">
        <v>1</v>
      </c>
      <c r="K700" s="29">
        <v>4</v>
      </c>
      <c r="L700" s="29" t="s">
        <v>1039</v>
      </c>
      <c r="M700" s="29">
        <v>1</v>
      </c>
      <c r="O700" s="29">
        <v>4</v>
      </c>
      <c r="P700" s="29">
        <v>4</v>
      </c>
      <c r="Q700" s="29" t="s">
        <v>1040</v>
      </c>
    </row>
    <row r="701" spans="1:18" x14ac:dyDescent="0.3">
      <c r="A701" s="29" t="s">
        <v>518</v>
      </c>
      <c r="B701" s="29">
        <v>1</v>
      </c>
      <c r="C701" s="29" t="s">
        <v>1050</v>
      </c>
      <c r="D701" s="29" t="s">
        <v>1086</v>
      </c>
      <c r="E701" s="29">
        <v>700</v>
      </c>
      <c r="G701" s="29" t="s">
        <v>1035</v>
      </c>
      <c r="H701" s="29">
        <v>1</v>
      </c>
      <c r="I701" s="29">
        <v>4.43</v>
      </c>
      <c r="J701" s="29">
        <v>3.1009999999999995</v>
      </c>
      <c r="K701" s="29">
        <v>3.1009999999999995</v>
      </c>
      <c r="L701" s="29" t="s">
        <v>1032</v>
      </c>
      <c r="M701" s="29">
        <v>1</v>
      </c>
      <c r="N701" s="29">
        <v>0.7</v>
      </c>
      <c r="O701" s="29">
        <v>1</v>
      </c>
      <c r="P701" s="29">
        <v>3.1009999999999995</v>
      </c>
      <c r="Q701" s="29" t="s">
        <v>1033</v>
      </c>
    </row>
    <row r="702" spans="1:18" x14ac:dyDescent="0.3">
      <c r="B702" s="29">
        <v>2</v>
      </c>
      <c r="C702" s="29" t="s">
        <v>1050</v>
      </c>
      <c r="D702" s="30" t="s">
        <v>1086</v>
      </c>
      <c r="E702" s="29">
        <v>300</v>
      </c>
      <c r="G702" s="29" t="s">
        <v>1035</v>
      </c>
      <c r="H702" s="29">
        <v>1</v>
      </c>
      <c r="I702" s="29">
        <v>4.43</v>
      </c>
      <c r="J702" s="29">
        <v>1.329</v>
      </c>
      <c r="K702" s="29">
        <v>1.329</v>
      </c>
      <c r="L702" s="29" t="s">
        <v>1032</v>
      </c>
      <c r="M702" s="29">
        <v>1</v>
      </c>
      <c r="N702" s="29">
        <v>0.3</v>
      </c>
      <c r="O702" s="29">
        <v>1</v>
      </c>
      <c r="P702" s="29">
        <v>1.329</v>
      </c>
      <c r="Q702" s="29" t="s">
        <v>1033</v>
      </c>
    </row>
    <row r="703" spans="1:18" x14ac:dyDescent="0.3">
      <c r="B703" s="29">
        <v>3</v>
      </c>
      <c r="C703" s="29" t="s">
        <v>1088</v>
      </c>
      <c r="D703" s="29">
        <v>9</v>
      </c>
      <c r="E703" s="29">
        <v>180</v>
      </c>
      <c r="F703" s="29">
        <v>180</v>
      </c>
      <c r="G703" s="29" t="s">
        <v>1035</v>
      </c>
      <c r="H703" s="29">
        <v>1</v>
      </c>
      <c r="J703" s="29">
        <v>2.2890600000000001</v>
      </c>
      <c r="K703" s="29">
        <v>2.2890600000000001</v>
      </c>
      <c r="L703" s="29" t="s">
        <v>1036</v>
      </c>
      <c r="M703" s="29">
        <v>1</v>
      </c>
      <c r="O703" s="29">
        <v>1</v>
      </c>
      <c r="P703" s="29">
        <v>2.2890600000000001</v>
      </c>
      <c r="Q703" s="29" t="s">
        <v>1037</v>
      </c>
      <c r="R703" t="s">
        <v>1130</v>
      </c>
    </row>
    <row r="704" spans="1:18" x14ac:dyDescent="0.3">
      <c r="B704" s="29">
        <v>4</v>
      </c>
      <c r="C704" s="29" t="s">
        <v>1038</v>
      </c>
      <c r="D704" s="30" t="s">
        <v>287</v>
      </c>
      <c r="G704" s="29" t="s">
        <v>1031</v>
      </c>
      <c r="H704" s="29">
        <v>4</v>
      </c>
      <c r="J704" s="29">
        <v>1</v>
      </c>
      <c r="K704" s="29">
        <v>4</v>
      </c>
      <c r="L704" s="29" t="s">
        <v>1039</v>
      </c>
      <c r="M704" s="29">
        <v>1</v>
      </c>
      <c r="O704" s="29">
        <v>4</v>
      </c>
      <c r="P704" s="29">
        <v>4</v>
      </c>
      <c r="Q704" s="29" t="s">
        <v>1040</v>
      </c>
    </row>
    <row r="705" spans="1:18" x14ac:dyDescent="0.3">
      <c r="A705" s="29" t="s">
        <v>519</v>
      </c>
      <c r="B705" s="29">
        <v>1</v>
      </c>
      <c r="C705" s="29" t="s">
        <v>1050</v>
      </c>
      <c r="D705" s="29" t="s">
        <v>1086</v>
      </c>
      <c r="E705" s="29">
        <v>800</v>
      </c>
      <c r="G705" s="29" t="s">
        <v>1035</v>
      </c>
      <c r="H705" s="29">
        <v>1</v>
      </c>
      <c r="I705" s="29">
        <v>4.43</v>
      </c>
      <c r="J705" s="29">
        <v>3.544</v>
      </c>
      <c r="K705" s="29">
        <v>3.544</v>
      </c>
      <c r="L705" s="29" t="s">
        <v>1032</v>
      </c>
      <c r="M705" s="29">
        <v>1</v>
      </c>
      <c r="N705" s="29">
        <v>0.8</v>
      </c>
      <c r="O705" s="29">
        <v>1</v>
      </c>
      <c r="P705" s="29">
        <v>3.544</v>
      </c>
      <c r="Q705" s="29" t="s">
        <v>1033</v>
      </c>
    </row>
    <row r="706" spans="1:18" x14ac:dyDescent="0.3">
      <c r="B706" s="29">
        <v>2</v>
      </c>
      <c r="C706" s="29" t="s">
        <v>1050</v>
      </c>
      <c r="D706" s="30" t="s">
        <v>1086</v>
      </c>
      <c r="E706" s="29">
        <v>300</v>
      </c>
      <c r="G706" s="29" t="s">
        <v>1035</v>
      </c>
      <c r="H706" s="29">
        <v>1</v>
      </c>
      <c r="I706" s="29">
        <v>4.43</v>
      </c>
      <c r="J706" s="29">
        <v>1.329</v>
      </c>
      <c r="K706" s="29">
        <v>1.329</v>
      </c>
      <c r="L706" s="29" t="s">
        <v>1032</v>
      </c>
      <c r="M706" s="29">
        <v>1</v>
      </c>
      <c r="N706" s="29">
        <v>0.3</v>
      </c>
      <c r="O706" s="29">
        <v>1</v>
      </c>
      <c r="P706" s="29">
        <v>1.329</v>
      </c>
      <c r="Q706" s="29" t="s">
        <v>1033</v>
      </c>
    </row>
    <row r="707" spans="1:18" x14ac:dyDescent="0.3">
      <c r="B707" s="29">
        <v>3</v>
      </c>
      <c r="C707" s="29" t="s">
        <v>1088</v>
      </c>
      <c r="D707" s="29">
        <v>9</v>
      </c>
      <c r="E707" s="29">
        <v>180</v>
      </c>
      <c r="F707" s="29">
        <v>180</v>
      </c>
      <c r="G707" s="29" t="s">
        <v>1035</v>
      </c>
      <c r="H707" s="29">
        <v>1</v>
      </c>
      <c r="J707" s="29">
        <v>2.2890600000000001</v>
      </c>
      <c r="K707" s="29">
        <v>2.2890600000000001</v>
      </c>
      <c r="L707" s="29" t="s">
        <v>1036</v>
      </c>
      <c r="M707" s="29">
        <v>1</v>
      </c>
      <c r="O707" s="29">
        <v>1</v>
      </c>
      <c r="P707" s="29">
        <v>2.2890600000000001</v>
      </c>
      <c r="Q707" s="29" t="s">
        <v>1037</v>
      </c>
      <c r="R707" t="s">
        <v>1130</v>
      </c>
    </row>
    <row r="708" spans="1:18" x14ac:dyDescent="0.3">
      <c r="B708" s="29">
        <v>4</v>
      </c>
      <c r="C708" s="29" t="s">
        <v>1038</v>
      </c>
      <c r="D708" s="30" t="s">
        <v>287</v>
      </c>
      <c r="G708" s="29" t="s">
        <v>1031</v>
      </c>
      <c r="H708" s="29">
        <v>4</v>
      </c>
      <c r="J708" s="29">
        <v>1</v>
      </c>
      <c r="K708" s="29">
        <v>4</v>
      </c>
      <c r="L708" s="29" t="s">
        <v>1039</v>
      </c>
      <c r="M708" s="29">
        <v>1</v>
      </c>
      <c r="O708" s="29">
        <v>4</v>
      </c>
      <c r="P708" s="29">
        <v>4</v>
      </c>
      <c r="Q708" s="29" t="s">
        <v>1040</v>
      </c>
    </row>
    <row r="709" spans="1:18" x14ac:dyDescent="0.3">
      <c r="A709" s="29" t="s">
        <v>519</v>
      </c>
      <c r="B709" s="29">
        <v>1</v>
      </c>
      <c r="C709" s="29" t="s">
        <v>1050</v>
      </c>
      <c r="D709" s="29" t="s">
        <v>1086</v>
      </c>
      <c r="E709" s="29">
        <v>800</v>
      </c>
      <c r="G709" s="29" t="s">
        <v>1035</v>
      </c>
      <c r="H709" s="29">
        <v>1</v>
      </c>
      <c r="I709" s="29">
        <v>4.43</v>
      </c>
      <c r="J709" s="29">
        <v>3.544</v>
      </c>
      <c r="K709" s="29">
        <v>3.544</v>
      </c>
      <c r="L709" s="29" t="s">
        <v>1032</v>
      </c>
      <c r="M709" s="29">
        <v>1</v>
      </c>
      <c r="N709" s="29">
        <v>0.8</v>
      </c>
      <c r="O709" s="29">
        <v>1</v>
      </c>
      <c r="P709" s="29">
        <v>3.544</v>
      </c>
      <c r="Q709" s="29" t="s">
        <v>1033</v>
      </c>
    </row>
    <row r="710" spans="1:18" x14ac:dyDescent="0.3">
      <c r="B710" s="29">
        <v>2</v>
      </c>
      <c r="C710" s="29" t="s">
        <v>1050</v>
      </c>
      <c r="D710" s="30" t="s">
        <v>1086</v>
      </c>
      <c r="E710" s="29">
        <v>300</v>
      </c>
      <c r="G710" s="29" t="s">
        <v>1035</v>
      </c>
      <c r="H710" s="29">
        <v>1</v>
      </c>
      <c r="I710" s="29">
        <v>4.43</v>
      </c>
      <c r="J710" s="29">
        <v>1.329</v>
      </c>
      <c r="K710" s="29">
        <v>1.329</v>
      </c>
      <c r="L710" s="29" t="s">
        <v>1032</v>
      </c>
      <c r="M710" s="29">
        <v>1</v>
      </c>
      <c r="N710" s="29">
        <v>0.3</v>
      </c>
      <c r="O710" s="29">
        <v>1</v>
      </c>
      <c r="P710" s="29">
        <v>1.329</v>
      </c>
      <c r="Q710" s="29" t="s">
        <v>1033</v>
      </c>
    </row>
    <row r="711" spans="1:18" x14ac:dyDescent="0.3">
      <c r="B711" s="29">
        <v>3</v>
      </c>
      <c r="C711" s="29" t="s">
        <v>1088</v>
      </c>
      <c r="D711" s="29">
        <v>9</v>
      </c>
      <c r="E711" s="29">
        <v>180</v>
      </c>
      <c r="F711" s="29">
        <v>180</v>
      </c>
      <c r="G711" s="29" t="s">
        <v>1035</v>
      </c>
      <c r="H711" s="29">
        <v>1</v>
      </c>
      <c r="J711" s="29">
        <v>2.2890600000000001</v>
      </c>
      <c r="K711" s="29">
        <v>2.2890600000000001</v>
      </c>
      <c r="L711" s="29" t="s">
        <v>1036</v>
      </c>
      <c r="M711" s="29">
        <v>1</v>
      </c>
      <c r="O711" s="29">
        <v>1</v>
      </c>
      <c r="P711" s="29">
        <v>2.2890600000000001</v>
      </c>
      <c r="Q711" s="29" t="s">
        <v>1037</v>
      </c>
      <c r="R711" t="s">
        <v>1130</v>
      </c>
    </row>
    <row r="712" spans="1:18" x14ac:dyDescent="0.3">
      <c r="B712" s="29">
        <v>4</v>
      </c>
      <c r="C712" s="29" t="s">
        <v>1038</v>
      </c>
      <c r="D712" s="30" t="s">
        <v>287</v>
      </c>
      <c r="G712" s="29" t="s">
        <v>1031</v>
      </c>
      <c r="H712" s="29">
        <v>4</v>
      </c>
      <c r="J712" s="29">
        <v>1</v>
      </c>
      <c r="K712" s="29">
        <v>4</v>
      </c>
      <c r="L712" s="29" t="s">
        <v>1039</v>
      </c>
      <c r="M712" s="29">
        <v>1</v>
      </c>
      <c r="O712" s="29">
        <v>4</v>
      </c>
      <c r="P712" s="29">
        <v>4</v>
      </c>
      <c r="Q712" s="29" t="s">
        <v>1040</v>
      </c>
    </row>
    <row r="713" spans="1:18" x14ac:dyDescent="0.3">
      <c r="A713" s="29" t="s">
        <v>520</v>
      </c>
      <c r="B713" s="29">
        <v>1</v>
      </c>
      <c r="C713" s="29" t="s">
        <v>1050</v>
      </c>
      <c r="D713" s="29" t="s">
        <v>1086</v>
      </c>
      <c r="E713" s="29">
        <v>800</v>
      </c>
      <c r="G713" s="29" t="s">
        <v>1035</v>
      </c>
      <c r="H713" s="29">
        <v>1</v>
      </c>
      <c r="I713" s="29">
        <v>4.43</v>
      </c>
      <c r="J713" s="29">
        <v>3.544</v>
      </c>
      <c r="K713" s="29">
        <v>3.544</v>
      </c>
      <c r="L713" s="29" t="s">
        <v>1032</v>
      </c>
      <c r="M713" s="29">
        <v>1</v>
      </c>
      <c r="N713" s="29">
        <v>0.8</v>
      </c>
      <c r="O713" s="29">
        <v>1</v>
      </c>
      <c r="P713" s="29">
        <v>3.544</v>
      </c>
      <c r="Q713" s="29" t="s">
        <v>1033</v>
      </c>
    </row>
    <row r="714" spans="1:18" x14ac:dyDescent="0.3">
      <c r="B714" s="29">
        <v>2</v>
      </c>
      <c r="C714" s="29" t="s">
        <v>1050</v>
      </c>
      <c r="D714" s="30" t="s">
        <v>1086</v>
      </c>
      <c r="E714" s="29">
        <v>500</v>
      </c>
      <c r="G714" s="29" t="s">
        <v>1035</v>
      </c>
      <c r="H714" s="29">
        <v>1</v>
      </c>
      <c r="I714" s="29">
        <v>4.43</v>
      </c>
      <c r="J714" s="29">
        <v>2.2149999999999999</v>
      </c>
      <c r="K714" s="29">
        <v>2.2149999999999999</v>
      </c>
      <c r="L714" s="29" t="s">
        <v>1032</v>
      </c>
      <c r="M714" s="29">
        <v>1</v>
      </c>
      <c r="N714" s="29">
        <v>0.5</v>
      </c>
      <c r="O714" s="29">
        <v>1</v>
      </c>
      <c r="P714" s="29">
        <v>2.2149999999999999</v>
      </c>
      <c r="Q714" s="29" t="s">
        <v>1033</v>
      </c>
    </row>
    <row r="715" spans="1:18" x14ac:dyDescent="0.3">
      <c r="B715" s="29">
        <v>3</v>
      </c>
      <c r="C715" s="29" t="s">
        <v>1088</v>
      </c>
      <c r="D715" s="29">
        <v>9</v>
      </c>
      <c r="E715" s="29">
        <v>180</v>
      </c>
      <c r="F715" s="29">
        <v>180</v>
      </c>
      <c r="G715" s="29" t="s">
        <v>1035</v>
      </c>
      <c r="H715" s="29">
        <v>1</v>
      </c>
      <c r="J715" s="29">
        <v>2.2890600000000001</v>
      </c>
      <c r="K715" s="29">
        <v>2.2890600000000001</v>
      </c>
      <c r="L715" s="29" t="s">
        <v>1036</v>
      </c>
      <c r="M715" s="29">
        <v>1</v>
      </c>
      <c r="O715" s="29">
        <v>1</v>
      </c>
      <c r="P715" s="29">
        <v>2.2890600000000001</v>
      </c>
      <c r="Q715" s="29" t="s">
        <v>1037</v>
      </c>
      <c r="R715" t="s">
        <v>1130</v>
      </c>
    </row>
    <row r="716" spans="1:18" x14ac:dyDescent="0.3">
      <c r="B716" s="29">
        <v>4</v>
      </c>
      <c r="C716" s="29" t="s">
        <v>1038</v>
      </c>
      <c r="D716" s="30" t="s">
        <v>287</v>
      </c>
      <c r="G716" s="29" t="s">
        <v>1031</v>
      </c>
      <c r="H716" s="29">
        <v>4</v>
      </c>
      <c r="J716" s="29">
        <v>1</v>
      </c>
      <c r="K716" s="29">
        <v>4</v>
      </c>
      <c r="L716" s="29" t="s">
        <v>1039</v>
      </c>
      <c r="M716" s="29">
        <v>1</v>
      </c>
      <c r="O716" s="29">
        <v>4</v>
      </c>
      <c r="P716" s="29">
        <v>4</v>
      </c>
      <c r="Q716" s="29" t="s">
        <v>1040</v>
      </c>
    </row>
    <row r="717" spans="1:18" x14ac:dyDescent="0.3">
      <c r="A717" s="29" t="s">
        <v>521</v>
      </c>
      <c r="B717" s="29">
        <v>1</v>
      </c>
      <c r="C717" s="29" t="s">
        <v>1050</v>
      </c>
      <c r="D717" s="29" t="s">
        <v>1086</v>
      </c>
      <c r="E717" s="29">
        <v>900</v>
      </c>
      <c r="G717" s="29" t="s">
        <v>1035</v>
      </c>
      <c r="H717" s="29">
        <v>1</v>
      </c>
      <c r="I717" s="29">
        <v>4.43</v>
      </c>
      <c r="J717" s="29">
        <v>3.9869999999999997</v>
      </c>
      <c r="K717" s="29">
        <v>3.9869999999999997</v>
      </c>
      <c r="L717" s="29" t="s">
        <v>1032</v>
      </c>
      <c r="M717" s="29">
        <v>1</v>
      </c>
      <c r="N717" s="29">
        <v>0.9</v>
      </c>
      <c r="O717" s="29">
        <v>1</v>
      </c>
      <c r="P717" s="29">
        <v>3.9869999999999997</v>
      </c>
      <c r="Q717" s="29" t="s">
        <v>1033</v>
      </c>
    </row>
    <row r="718" spans="1:18" x14ac:dyDescent="0.3">
      <c r="B718" s="29">
        <v>2</v>
      </c>
      <c r="C718" s="29" t="s">
        <v>1050</v>
      </c>
      <c r="D718" s="30" t="s">
        <v>1086</v>
      </c>
      <c r="E718" s="29">
        <v>300</v>
      </c>
      <c r="G718" s="29" t="s">
        <v>1035</v>
      </c>
      <c r="H718" s="29">
        <v>1</v>
      </c>
      <c r="I718" s="29">
        <v>4.43</v>
      </c>
      <c r="J718" s="29">
        <v>1.329</v>
      </c>
      <c r="K718" s="29">
        <v>1.329</v>
      </c>
      <c r="L718" s="29" t="s">
        <v>1032</v>
      </c>
      <c r="M718" s="29">
        <v>1</v>
      </c>
      <c r="N718" s="29">
        <v>0.3</v>
      </c>
      <c r="O718" s="29">
        <v>1</v>
      </c>
      <c r="P718" s="29">
        <v>1.329</v>
      </c>
      <c r="Q718" s="29" t="s">
        <v>1033</v>
      </c>
    </row>
    <row r="719" spans="1:18" x14ac:dyDescent="0.3">
      <c r="B719" s="29">
        <v>3</v>
      </c>
      <c r="C719" s="29" t="s">
        <v>1088</v>
      </c>
      <c r="D719" s="29">
        <v>9</v>
      </c>
      <c r="E719" s="29">
        <v>180</v>
      </c>
      <c r="F719" s="29">
        <v>180</v>
      </c>
      <c r="G719" s="29" t="s">
        <v>1035</v>
      </c>
      <c r="H719" s="29">
        <v>1</v>
      </c>
      <c r="J719" s="29">
        <v>2.2890600000000001</v>
      </c>
      <c r="K719" s="29">
        <v>2.2890600000000001</v>
      </c>
      <c r="L719" s="29" t="s">
        <v>1036</v>
      </c>
      <c r="M719" s="29">
        <v>1</v>
      </c>
      <c r="O719" s="29">
        <v>1</v>
      </c>
      <c r="P719" s="29">
        <v>2.2890600000000001</v>
      </c>
      <c r="Q719" s="29" t="s">
        <v>1037</v>
      </c>
      <c r="R719" t="s">
        <v>1130</v>
      </c>
    </row>
    <row r="720" spans="1:18" x14ac:dyDescent="0.3">
      <c r="B720" s="29">
        <v>4</v>
      </c>
      <c r="C720" s="29" t="s">
        <v>1038</v>
      </c>
      <c r="D720" s="30" t="s">
        <v>287</v>
      </c>
      <c r="G720" s="29" t="s">
        <v>1031</v>
      </c>
      <c r="H720" s="29">
        <v>4</v>
      </c>
      <c r="J720" s="29">
        <v>1</v>
      </c>
      <c r="K720" s="29">
        <v>4</v>
      </c>
      <c r="L720" s="29" t="s">
        <v>1039</v>
      </c>
      <c r="M720" s="29">
        <v>1</v>
      </c>
      <c r="O720" s="29">
        <v>4</v>
      </c>
      <c r="P720" s="29">
        <v>4</v>
      </c>
      <c r="Q720" s="29" t="s">
        <v>1040</v>
      </c>
    </row>
    <row r="721" spans="1:18" x14ac:dyDescent="0.3">
      <c r="A721" s="29" t="s">
        <v>522</v>
      </c>
      <c r="B721" s="29">
        <v>1</v>
      </c>
      <c r="C721" s="29" t="s">
        <v>1050</v>
      </c>
      <c r="D721" s="29" t="s">
        <v>1086</v>
      </c>
      <c r="E721" s="29">
        <v>1000</v>
      </c>
      <c r="G721" s="29" t="s">
        <v>1035</v>
      </c>
      <c r="H721" s="29">
        <v>1</v>
      </c>
      <c r="I721" s="29">
        <v>4.43</v>
      </c>
      <c r="J721" s="29">
        <v>4.43</v>
      </c>
      <c r="K721" s="29">
        <v>4.43</v>
      </c>
      <c r="L721" s="29" t="s">
        <v>1032</v>
      </c>
      <c r="M721" s="29">
        <v>1</v>
      </c>
      <c r="N721" s="29">
        <v>1</v>
      </c>
      <c r="O721" s="29">
        <v>1</v>
      </c>
      <c r="P721" s="29">
        <v>4.43</v>
      </c>
      <c r="Q721" s="29" t="s">
        <v>1033</v>
      </c>
    </row>
    <row r="722" spans="1:18" x14ac:dyDescent="0.3">
      <c r="B722" s="29">
        <v>2</v>
      </c>
      <c r="C722" s="29" t="s">
        <v>1050</v>
      </c>
      <c r="D722" s="30" t="s">
        <v>1086</v>
      </c>
      <c r="E722" s="29">
        <v>300</v>
      </c>
      <c r="G722" s="29" t="s">
        <v>1035</v>
      </c>
      <c r="H722" s="29">
        <v>1</v>
      </c>
      <c r="I722" s="29">
        <v>4.43</v>
      </c>
      <c r="J722" s="29">
        <v>1.329</v>
      </c>
      <c r="K722" s="29">
        <v>1.329</v>
      </c>
      <c r="L722" s="29" t="s">
        <v>1032</v>
      </c>
      <c r="M722" s="29">
        <v>1</v>
      </c>
      <c r="N722" s="29">
        <v>0.3</v>
      </c>
      <c r="O722" s="29">
        <v>1</v>
      </c>
      <c r="P722" s="29">
        <v>1.329</v>
      </c>
      <c r="Q722" s="29" t="s">
        <v>1033</v>
      </c>
    </row>
    <row r="723" spans="1:18" x14ac:dyDescent="0.3">
      <c r="B723" s="29">
        <v>3</v>
      </c>
      <c r="C723" s="29" t="s">
        <v>1088</v>
      </c>
      <c r="D723" s="29">
        <v>9</v>
      </c>
      <c r="E723" s="29">
        <v>180</v>
      </c>
      <c r="F723" s="29">
        <v>180</v>
      </c>
      <c r="G723" s="29" t="s">
        <v>1035</v>
      </c>
      <c r="H723" s="29">
        <v>1</v>
      </c>
      <c r="J723" s="29">
        <v>2.2890600000000001</v>
      </c>
      <c r="K723" s="29">
        <v>2.2890600000000001</v>
      </c>
      <c r="L723" s="29" t="s">
        <v>1036</v>
      </c>
      <c r="M723" s="29">
        <v>1</v>
      </c>
      <c r="O723" s="29">
        <v>1</v>
      </c>
      <c r="P723" s="29">
        <v>2.2890600000000001</v>
      </c>
      <c r="Q723" s="29" t="s">
        <v>1037</v>
      </c>
      <c r="R723" t="s">
        <v>1130</v>
      </c>
    </row>
    <row r="724" spans="1:18" x14ac:dyDescent="0.3">
      <c r="B724" s="29">
        <v>4</v>
      </c>
      <c r="C724" s="29" t="s">
        <v>1038</v>
      </c>
      <c r="D724" s="30" t="s">
        <v>287</v>
      </c>
      <c r="G724" s="29" t="s">
        <v>1031</v>
      </c>
      <c r="H724" s="29">
        <v>4</v>
      </c>
      <c r="J724" s="29">
        <v>1</v>
      </c>
      <c r="K724" s="29">
        <v>4</v>
      </c>
      <c r="L724" s="29" t="s">
        <v>1039</v>
      </c>
      <c r="M724" s="29">
        <v>1</v>
      </c>
      <c r="O724" s="29">
        <v>4</v>
      </c>
      <c r="P724" s="29">
        <v>4</v>
      </c>
      <c r="Q724" s="29" t="s">
        <v>1040</v>
      </c>
    </row>
    <row r="725" spans="1:18" x14ac:dyDescent="0.3">
      <c r="A725" s="29" t="s">
        <v>522</v>
      </c>
      <c r="B725" s="29">
        <v>1</v>
      </c>
      <c r="C725" s="29" t="s">
        <v>1050</v>
      </c>
      <c r="D725" s="29" t="s">
        <v>1086</v>
      </c>
      <c r="E725" s="29">
        <v>1000</v>
      </c>
      <c r="G725" s="29" t="s">
        <v>1035</v>
      </c>
      <c r="H725" s="29">
        <v>1</v>
      </c>
      <c r="I725" s="29">
        <v>4.43</v>
      </c>
      <c r="J725" s="29">
        <v>4.43</v>
      </c>
      <c r="K725" s="29">
        <v>4.43</v>
      </c>
      <c r="L725" s="29" t="s">
        <v>1032</v>
      </c>
      <c r="M725" s="29">
        <v>1</v>
      </c>
      <c r="N725" s="29">
        <v>1</v>
      </c>
      <c r="O725" s="29">
        <v>1</v>
      </c>
      <c r="P725" s="29">
        <v>4.43</v>
      </c>
      <c r="Q725" s="29" t="s">
        <v>1033</v>
      </c>
    </row>
    <row r="726" spans="1:18" x14ac:dyDescent="0.3">
      <c r="B726" s="29">
        <v>2</v>
      </c>
      <c r="C726" s="29" t="s">
        <v>1050</v>
      </c>
      <c r="D726" s="30" t="s">
        <v>1086</v>
      </c>
      <c r="E726" s="29">
        <v>300</v>
      </c>
      <c r="G726" s="29" t="s">
        <v>1035</v>
      </c>
      <c r="H726" s="29">
        <v>1</v>
      </c>
      <c r="I726" s="29">
        <v>4.43</v>
      </c>
      <c r="J726" s="29">
        <v>1.329</v>
      </c>
      <c r="K726" s="29">
        <v>1.329</v>
      </c>
      <c r="L726" s="29" t="s">
        <v>1032</v>
      </c>
      <c r="M726" s="29">
        <v>1</v>
      </c>
      <c r="N726" s="29">
        <v>0.3</v>
      </c>
      <c r="O726" s="29">
        <v>1</v>
      </c>
      <c r="P726" s="29">
        <v>1.329</v>
      </c>
      <c r="Q726" s="29" t="s">
        <v>1033</v>
      </c>
    </row>
    <row r="727" spans="1:18" x14ac:dyDescent="0.3">
      <c r="B727" s="29">
        <v>3</v>
      </c>
      <c r="C727" s="29" t="s">
        <v>1088</v>
      </c>
      <c r="D727" s="29">
        <v>9</v>
      </c>
      <c r="E727" s="29">
        <v>180</v>
      </c>
      <c r="F727" s="29">
        <v>180</v>
      </c>
      <c r="G727" s="29" t="s">
        <v>1035</v>
      </c>
      <c r="H727" s="29">
        <v>1</v>
      </c>
      <c r="J727" s="29">
        <v>2.2890600000000001</v>
      </c>
      <c r="K727" s="29">
        <v>2.2890600000000001</v>
      </c>
      <c r="L727" s="29" t="s">
        <v>1036</v>
      </c>
      <c r="M727" s="29">
        <v>1</v>
      </c>
      <c r="O727" s="29">
        <v>1</v>
      </c>
      <c r="P727" s="29">
        <v>2.2890600000000001</v>
      </c>
      <c r="Q727" s="29" t="s">
        <v>1037</v>
      </c>
      <c r="R727" t="s">
        <v>1130</v>
      </c>
    </row>
    <row r="728" spans="1:18" x14ac:dyDescent="0.3">
      <c r="B728" s="29">
        <v>4</v>
      </c>
      <c r="C728" s="29" t="s">
        <v>1038</v>
      </c>
      <c r="D728" s="30" t="s">
        <v>287</v>
      </c>
      <c r="G728" s="29" t="s">
        <v>1031</v>
      </c>
      <c r="H728" s="29">
        <v>4</v>
      </c>
      <c r="J728" s="29">
        <v>1</v>
      </c>
      <c r="K728" s="29">
        <v>4</v>
      </c>
      <c r="L728" s="29" t="s">
        <v>1039</v>
      </c>
      <c r="M728" s="29">
        <v>1</v>
      </c>
      <c r="O728" s="29">
        <v>4</v>
      </c>
      <c r="P728" s="29">
        <v>4</v>
      </c>
      <c r="Q728" s="29" t="s">
        <v>1040</v>
      </c>
    </row>
    <row r="729" spans="1:18" x14ac:dyDescent="0.3">
      <c r="A729" s="29" t="s">
        <v>522</v>
      </c>
      <c r="B729" s="29">
        <v>1</v>
      </c>
      <c r="C729" s="29" t="s">
        <v>1050</v>
      </c>
      <c r="D729" s="29" t="s">
        <v>1086</v>
      </c>
      <c r="E729" s="29">
        <v>1000</v>
      </c>
      <c r="G729" s="29" t="s">
        <v>1035</v>
      </c>
      <c r="H729" s="29">
        <v>1</v>
      </c>
      <c r="I729" s="29">
        <v>4.43</v>
      </c>
      <c r="J729" s="29">
        <v>4.43</v>
      </c>
      <c r="K729" s="29">
        <v>4.43</v>
      </c>
      <c r="L729" s="29" t="s">
        <v>1032</v>
      </c>
      <c r="M729" s="29">
        <v>1</v>
      </c>
      <c r="N729" s="29">
        <v>1</v>
      </c>
      <c r="O729" s="29">
        <v>1</v>
      </c>
      <c r="P729" s="29">
        <v>4.43</v>
      </c>
      <c r="Q729" s="29" t="s">
        <v>1033</v>
      </c>
    </row>
    <row r="730" spans="1:18" x14ac:dyDescent="0.3">
      <c r="B730" s="29">
        <v>2</v>
      </c>
      <c r="C730" s="29" t="s">
        <v>1050</v>
      </c>
      <c r="D730" s="30" t="s">
        <v>1086</v>
      </c>
      <c r="E730" s="29">
        <v>300</v>
      </c>
      <c r="G730" s="29" t="s">
        <v>1035</v>
      </c>
      <c r="H730" s="29">
        <v>1</v>
      </c>
      <c r="I730" s="29">
        <v>4.43</v>
      </c>
      <c r="J730" s="29">
        <v>1.329</v>
      </c>
      <c r="K730" s="29">
        <v>1.329</v>
      </c>
      <c r="L730" s="29" t="s">
        <v>1032</v>
      </c>
      <c r="M730" s="29">
        <v>1</v>
      </c>
      <c r="N730" s="29">
        <v>0.3</v>
      </c>
      <c r="O730" s="29">
        <v>1</v>
      </c>
      <c r="P730" s="29">
        <v>1.329</v>
      </c>
      <c r="Q730" s="29" t="s">
        <v>1033</v>
      </c>
    </row>
    <row r="731" spans="1:18" x14ac:dyDescent="0.3">
      <c r="B731" s="29">
        <v>3</v>
      </c>
      <c r="C731" s="29" t="s">
        <v>1088</v>
      </c>
      <c r="D731" s="29">
        <v>9</v>
      </c>
      <c r="E731" s="29">
        <v>180</v>
      </c>
      <c r="F731" s="29">
        <v>180</v>
      </c>
      <c r="G731" s="29" t="s">
        <v>1035</v>
      </c>
      <c r="H731" s="29">
        <v>1</v>
      </c>
      <c r="J731" s="29">
        <v>2.2890600000000001</v>
      </c>
      <c r="K731" s="29">
        <v>2.2890600000000001</v>
      </c>
      <c r="L731" s="29" t="s">
        <v>1036</v>
      </c>
      <c r="M731" s="29">
        <v>1</v>
      </c>
      <c r="O731" s="29">
        <v>1</v>
      </c>
      <c r="P731" s="29">
        <v>2.2890600000000001</v>
      </c>
      <c r="Q731" s="29" t="s">
        <v>1037</v>
      </c>
      <c r="R731" t="s">
        <v>1130</v>
      </c>
    </row>
    <row r="732" spans="1:18" x14ac:dyDescent="0.3">
      <c r="B732" s="29">
        <v>4</v>
      </c>
      <c r="C732" s="29" t="s">
        <v>1038</v>
      </c>
      <c r="D732" s="30" t="s">
        <v>287</v>
      </c>
      <c r="G732" s="29" t="s">
        <v>1031</v>
      </c>
      <c r="H732" s="29">
        <v>4</v>
      </c>
      <c r="J732" s="29">
        <v>1</v>
      </c>
      <c r="K732" s="29">
        <v>4</v>
      </c>
      <c r="L732" s="29" t="s">
        <v>1039</v>
      </c>
      <c r="M732" s="29">
        <v>1</v>
      </c>
      <c r="O732" s="29">
        <v>4</v>
      </c>
      <c r="P732" s="29">
        <v>4</v>
      </c>
      <c r="Q732" s="29" t="s">
        <v>1040</v>
      </c>
    </row>
    <row r="733" spans="1:18" x14ac:dyDescent="0.3">
      <c r="A733" s="29" t="s">
        <v>523</v>
      </c>
      <c r="B733" s="29">
        <v>1</v>
      </c>
      <c r="C733" s="29" t="s">
        <v>1050</v>
      </c>
      <c r="D733" s="29" t="s">
        <v>1087</v>
      </c>
      <c r="E733" s="29">
        <v>300</v>
      </c>
      <c r="G733" s="29" t="s">
        <v>1035</v>
      </c>
      <c r="H733" s="29">
        <v>1</v>
      </c>
      <c r="I733" s="29">
        <v>9.9600000000000009</v>
      </c>
      <c r="J733" s="29">
        <v>2.988</v>
      </c>
      <c r="K733" s="29">
        <v>2.988</v>
      </c>
      <c r="L733" s="29" t="s">
        <v>1032</v>
      </c>
      <c r="M733" s="29">
        <v>1</v>
      </c>
      <c r="N733" s="29">
        <v>0.3</v>
      </c>
      <c r="O733" s="29">
        <v>1</v>
      </c>
      <c r="P733" s="29">
        <v>2.988</v>
      </c>
      <c r="Q733" s="29" t="s">
        <v>1033</v>
      </c>
    </row>
    <row r="734" spans="1:18" x14ac:dyDescent="0.3">
      <c r="B734" s="29">
        <v>2</v>
      </c>
      <c r="C734" s="29" t="s">
        <v>1050</v>
      </c>
      <c r="D734" s="30" t="s">
        <v>1087</v>
      </c>
      <c r="E734" s="29">
        <v>300</v>
      </c>
      <c r="G734" s="29" t="s">
        <v>1035</v>
      </c>
      <c r="H734" s="29">
        <v>1</v>
      </c>
      <c r="I734" s="29">
        <v>9.9600000000000009</v>
      </c>
      <c r="J734" s="29">
        <v>2.988</v>
      </c>
      <c r="K734" s="29">
        <v>2.988</v>
      </c>
      <c r="L734" s="29" t="s">
        <v>1032</v>
      </c>
      <c r="M734" s="29">
        <v>1</v>
      </c>
      <c r="N734" s="29">
        <v>0.3</v>
      </c>
      <c r="O734" s="29">
        <v>1</v>
      </c>
      <c r="P734" s="29">
        <v>2.988</v>
      </c>
      <c r="Q734" s="29" t="s">
        <v>1033</v>
      </c>
    </row>
    <row r="735" spans="1:18" x14ac:dyDescent="0.3">
      <c r="B735" s="29">
        <v>3</v>
      </c>
      <c r="C735" s="29" t="s">
        <v>1088</v>
      </c>
      <c r="D735" s="29">
        <v>9</v>
      </c>
      <c r="E735" s="29">
        <v>260</v>
      </c>
      <c r="F735" s="29">
        <v>260</v>
      </c>
      <c r="G735" s="29" t="s">
        <v>1035</v>
      </c>
      <c r="H735" s="29">
        <v>1</v>
      </c>
      <c r="J735" s="29">
        <v>4.7759399999999994</v>
      </c>
      <c r="K735" s="29">
        <v>4.7759399999999994</v>
      </c>
      <c r="L735" s="29" t="s">
        <v>1036</v>
      </c>
      <c r="M735" s="29">
        <v>1</v>
      </c>
      <c r="O735" s="29">
        <v>1</v>
      </c>
      <c r="P735" s="29">
        <v>4.7759399999999994</v>
      </c>
      <c r="Q735" s="29" t="s">
        <v>1037</v>
      </c>
      <c r="R735" t="s">
        <v>1128</v>
      </c>
    </row>
    <row r="736" spans="1:18" x14ac:dyDescent="0.3">
      <c r="B736" s="29">
        <v>4</v>
      </c>
      <c r="C736" s="29" t="s">
        <v>1038</v>
      </c>
      <c r="D736" s="30" t="s">
        <v>287</v>
      </c>
      <c r="G736" s="29" t="s">
        <v>1031</v>
      </c>
      <c r="H736" s="29">
        <v>4</v>
      </c>
      <c r="J736" s="29">
        <v>1</v>
      </c>
      <c r="K736" s="29">
        <v>4</v>
      </c>
      <c r="L736" s="29" t="s">
        <v>1039</v>
      </c>
      <c r="M736" s="29">
        <v>1</v>
      </c>
      <c r="O736" s="29">
        <v>4</v>
      </c>
      <c r="P736" s="29">
        <v>4</v>
      </c>
      <c r="Q736" s="29" t="s">
        <v>1040</v>
      </c>
    </row>
    <row r="737" spans="1:18" x14ac:dyDescent="0.3">
      <c r="A737" s="29" t="s">
        <v>524</v>
      </c>
      <c r="B737" s="29">
        <v>1</v>
      </c>
      <c r="C737" s="29" t="s">
        <v>1050</v>
      </c>
      <c r="D737" s="29" t="s">
        <v>1087</v>
      </c>
      <c r="E737" s="29">
        <v>400</v>
      </c>
      <c r="G737" s="29" t="s">
        <v>1035</v>
      </c>
      <c r="H737" s="29">
        <v>1</v>
      </c>
      <c r="I737" s="29">
        <v>9.9600000000000009</v>
      </c>
      <c r="J737" s="29">
        <v>3.9840000000000004</v>
      </c>
      <c r="K737" s="29">
        <v>3.9840000000000004</v>
      </c>
      <c r="L737" s="29" t="s">
        <v>1032</v>
      </c>
      <c r="M737" s="29">
        <v>1</v>
      </c>
      <c r="N737" s="29">
        <v>0.4</v>
      </c>
      <c r="O737" s="29">
        <v>1</v>
      </c>
      <c r="P737" s="29">
        <v>3.9840000000000004</v>
      </c>
      <c r="Q737" s="29" t="s">
        <v>1033</v>
      </c>
    </row>
    <row r="738" spans="1:18" x14ac:dyDescent="0.3">
      <c r="B738" s="29">
        <v>2</v>
      </c>
      <c r="C738" s="29" t="s">
        <v>1050</v>
      </c>
      <c r="D738" s="30" t="s">
        <v>1087</v>
      </c>
      <c r="E738" s="29">
        <v>300</v>
      </c>
      <c r="G738" s="29" t="s">
        <v>1035</v>
      </c>
      <c r="H738" s="29">
        <v>1</v>
      </c>
      <c r="I738" s="29">
        <v>9.9600000000000009</v>
      </c>
      <c r="J738" s="29">
        <v>2.988</v>
      </c>
      <c r="K738" s="29">
        <v>2.988</v>
      </c>
      <c r="L738" s="29" t="s">
        <v>1032</v>
      </c>
      <c r="M738" s="29">
        <v>1</v>
      </c>
      <c r="N738" s="29">
        <v>0.3</v>
      </c>
      <c r="O738" s="29">
        <v>1</v>
      </c>
      <c r="P738" s="29">
        <v>2.988</v>
      </c>
      <c r="Q738" s="29" t="s">
        <v>1033</v>
      </c>
    </row>
    <row r="739" spans="1:18" x14ac:dyDescent="0.3">
      <c r="B739" s="29">
        <v>3</v>
      </c>
      <c r="C739" s="29" t="s">
        <v>1088</v>
      </c>
      <c r="D739" s="29">
        <v>9</v>
      </c>
      <c r="E739" s="29">
        <v>260</v>
      </c>
      <c r="F739" s="29">
        <v>260</v>
      </c>
      <c r="G739" s="29" t="s">
        <v>1035</v>
      </c>
      <c r="H739" s="29">
        <v>1</v>
      </c>
      <c r="J739" s="29">
        <v>4.7759399999999994</v>
      </c>
      <c r="K739" s="29">
        <v>4.7759399999999994</v>
      </c>
      <c r="L739" s="29" t="s">
        <v>1036</v>
      </c>
      <c r="M739" s="29">
        <v>1</v>
      </c>
      <c r="O739" s="29">
        <v>1</v>
      </c>
      <c r="P739" s="29">
        <v>4.7759399999999994</v>
      </c>
      <c r="Q739" s="29" t="s">
        <v>1037</v>
      </c>
      <c r="R739" t="s">
        <v>1128</v>
      </c>
    </row>
    <row r="740" spans="1:18" x14ac:dyDescent="0.3">
      <c r="B740" s="29">
        <v>4</v>
      </c>
      <c r="C740" s="29" t="s">
        <v>1038</v>
      </c>
      <c r="D740" s="30" t="s">
        <v>287</v>
      </c>
      <c r="G740" s="29" t="s">
        <v>1031</v>
      </c>
      <c r="H740" s="29">
        <v>4</v>
      </c>
      <c r="J740" s="29">
        <v>1</v>
      </c>
      <c r="K740" s="29">
        <v>4</v>
      </c>
      <c r="L740" s="29" t="s">
        <v>1039</v>
      </c>
      <c r="M740" s="29">
        <v>1</v>
      </c>
      <c r="O740" s="29">
        <v>4</v>
      </c>
      <c r="P740" s="29">
        <v>4</v>
      </c>
      <c r="Q740" s="29" t="s">
        <v>1040</v>
      </c>
    </row>
    <row r="741" spans="1:18" x14ac:dyDescent="0.3">
      <c r="A741" s="29" t="s">
        <v>524</v>
      </c>
      <c r="B741" s="29">
        <v>1</v>
      </c>
      <c r="C741" s="29" t="s">
        <v>1050</v>
      </c>
      <c r="D741" s="29" t="s">
        <v>1087</v>
      </c>
      <c r="E741" s="29">
        <v>400</v>
      </c>
      <c r="G741" s="29" t="s">
        <v>1035</v>
      </c>
      <c r="H741" s="29">
        <v>1</v>
      </c>
      <c r="I741" s="29">
        <v>9.9600000000000009</v>
      </c>
      <c r="J741" s="29">
        <v>3.9840000000000004</v>
      </c>
      <c r="K741" s="29">
        <v>3.9840000000000004</v>
      </c>
      <c r="L741" s="29" t="s">
        <v>1032</v>
      </c>
      <c r="M741" s="29">
        <v>1</v>
      </c>
      <c r="N741" s="29">
        <v>0.4</v>
      </c>
      <c r="O741" s="29">
        <v>1</v>
      </c>
      <c r="P741" s="29">
        <v>3.9840000000000004</v>
      </c>
      <c r="Q741" s="29" t="s">
        <v>1033</v>
      </c>
    </row>
    <row r="742" spans="1:18" x14ac:dyDescent="0.3">
      <c r="B742" s="29">
        <v>2</v>
      </c>
      <c r="C742" s="29" t="s">
        <v>1050</v>
      </c>
      <c r="D742" s="30" t="s">
        <v>1087</v>
      </c>
      <c r="E742" s="29">
        <v>300</v>
      </c>
      <c r="G742" s="29" t="s">
        <v>1035</v>
      </c>
      <c r="H742" s="29">
        <v>1</v>
      </c>
      <c r="I742" s="29">
        <v>9.9600000000000009</v>
      </c>
      <c r="J742" s="29">
        <v>2.988</v>
      </c>
      <c r="K742" s="29">
        <v>2.988</v>
      </c>
      <c r="L742" s="29" t="s">
        <v>1032</v>
      </c>
      <c r="M742" s="29">
        <v>1</v>
      </c>
      <c r="N742" s="29">
        <v>0.3</v>
      </c>
      <c r="O742" s="29">
        <v>1</v>
      </c>
      <c r="P742" s="29">
        <v>2.988</v>
      </c>
      <c r="Q742" s="29" t="s">
        <v>1033</v>
      </c>
    </row>
    <row r="743" spans="1:18" x14ac:dyDescent="0.3">
      <c r="B743" s="29">
        <v>3</v>
      </c>
      <c r="C743" s="29" t="s">
        <v>1088</v>
      </c>
      <c r="D743" s="29">
        <v>9</v>
      </c>
      <c r="E743" s="29">
        <v>260</v>
      </c>
      <c r="F743" s="29">
        <v>260</v>
      </c>
      <c r="G743" s="29" t="s">
        <v>1035</v>
      </c>
      <c r="H743" s="29">
        <v>1</v>
      </c>
      <c r="J743" s="29">
        <v>4.7759399999999994</v>
      </c>
      <c r="K743" s="29">
        <v>4.7759399999999994</v>
      </c>
      <c r="L743" s="29" t="s">
        <v>1036</v>
      </c>
      <c r="M743" s="29">
        <v>1</v>
      </c>
      <c r="O743" s="29">
        <v>1</v>
      </c>
      <c r="P743" s="29">
        <v>4.7759399999999994</v>
      </c>
      <c r="Q743" s="29" t="s">
        <v>1037</v>
      </c>
      <c r="R743" t="s">
        <v>1128</v>
      </c>
    </row>
    <row r="744" spans="1:18" x14ac:dyDescent="0.3">
      <c r="B744" s="29">
        <v>4</v>
      </c>
      <c r="C744" s="29" t="s">
        <v>1038</v>
      </c>
      <c r="D744" s="30" t="s">
        <v>287</v>
      </c>
      <c r="G744" s="29" t="s">
        <v>1031</v>
      </c>
      <c r="H744" s="29">
        <v>4</v>
      </c>
      <c r="J744" s="29">
        <v>1</v>
      </c>
      <c r="K744" s="29">
        <v>4</v>
      </c>
      <c r="L744" s="29" t="s">
        <v>1039</v>
      </c>
      <c r="M744" s="29">
        <v>1</v>
      </c>
      <c r="O744" s="29">
        <v>4</v>
      </c>
      <c r="P744" s="29">
        <v>4</v>
      </c>
      <c r="Q744" s="29" t="s">
        <v>1040</v>
      </c>
    </row>
    <row r="745" spans="1:18" x14ac:dyDescent="0.3">
      <c r="A745" s="29" t="s">
        <v>525</v>
      </c>
      <c r="B745" s="29">
        <v>1</v>
      </c>
      <c r="C745" s="29" t="s">
        <v>1050</v>
      </c>
      <c r="D745" s="29" t="s">
        <v>1087</v>
      </c>
      <c r="E745" s="29">
        <v>800</v>
      </c>
      <c r="G745" s="29" t="s">
        <v>1035</v>
      </c>
      <c r="H745" s="29">
        <v>1</v>
      </c>
      <c r="I745" s="29">
        <v>9.9600000000000009</v>
      </c>
      <c r="J745" s="29">
        <v>7.9680000000000009</v>
      </c>
      <c r="K745" s="29">
        <v>7.9680000000000009</v>
      </c>
      <c r="L745" s="29" t="s">
        <v>1032</v>
      </c>
      <c r="M745" s="29">
        <v>1</v>
      </c>
      <c r="N745" s="29">
        <v>0.8</v>
      </c>
      <c r="O745" s="29">
        <v>1</v>
      </c>
      <c r="P745" s="29">
        <v>7.9680000000000009</v>
      </c>
      <c r="Q745" s="29" t="s">
        <v>1033</v>
      </c>
    </row>
    <row r="746" spans="1:18" x14ac:dyDescent="0.3">
      <c r="B746" s="29">
        <v>2</v>
      </c>
      <c r="C746" s="29" t="s">
        <v>1050</v>
      </c>
      <c r="D746" s="30" t="s">
        <v>1087</v>
      </c>
      <c r="E746" s="29">
        <v>500</v>
      </c>
      <c r="G746" s="29" t="s">
        <v>1035</v>
      </c>
      <c r="H746" s="29">
        <v>1</v>
      </c>
      <c r="I746" s="29">
        <v>9.9600000000000009</v>
      </c>
      <c r="J746" s="29">
        <v>4.9800000000000004</v>
      </c>
      <c r="K746" s="29">
        <v>4.9800000000000004</v>
      </c>
      <c r="L746" s="29" t="s">
        <v>1032</v>
      </c>
      <c r="M746" s="29">
        <v>1</v>
      </c>
      <c r="N746" s="29">
        <v>0.5</v>
      </c>
      <c r="O746" s="29">
        <v>1</v>
      </c>
      <c r="P746" s="29">
        <v>4.9800000000000004</v>
      </c>
      <c r="Q746" s="29" t="s">
        <v>1033</v>
      </c>
    </row>
    <row r="747" spans="1:18" x14ac:dyDescent="0.3">
      <c r="B747" s="29">
        <v>3</v>
      </c>
      <c r="C747" s="29" t="s">
        <v>1088</v>
      </c>
      <c r="D747" s="29">
        <v>9</v>
      </c>
      <c r="E747" s="29">
        <v>260</v>
      </c>
      <c r="F747" s="29">
        <v>260</v>
      </c>
      <c r="G747" s="29" t="s">
        <v>1035</v>
      </c>
      <c r="H747" s="29">
        <v>1</v>
      </c>
      <c r="J747" s="29">
        <v>4.7759399999999994</v>
      </c>
      <c r="K747" s="29">
        <v>4.7759399999999994</v>
      </c>
      <c r="L747" s="29" t="s">
        <v>1036</v>
      </c>
      <c r="M747" s="29">
        <v>1</v>
      </c>
      <c r="O747" s="29">
        <v>1</v>
      </c>
      <c r="P747" s="29">
        <v>4.7759399999999994</v>
      </c>
      <c r="Q747" s="29" t="s">
        <v>1037</v>
      </c>
      <c r="R747" t="s">
        <v>1128</v>
      </c>
    </row>
    <row r="748" spans="1:18" x14ac:dyDescent="0.3">
      <c r="B748" s="29">
        <v>4</v>
      </c>
      <c r="C748" s="29" t="s">
        <v>1038</v>
      </c>
      <c r="D748" s="30" t="s">
        <v>287</v>
      </c>
      <c r="G748" s="29" t="s">
        <v>1031</v>
      </c>
      <c r="H748" s="29">
        <v>4</v>
      </c>
      <c r="J748" s="29">
        <v>1</v>
      </c>
      <c r="K748" s="29">
        <v>4</v>
      </c>
      <c r="L748" s="29" t="s">
        <v>1039</v>
      </c>
      <c r="M748" s="29">
        <v>1</v>
      </c>
      <c r="O748" s="29">
        <v>4</v>
      </c>
      <c r="P748" s="29">
        <v>4</v>
      </c>
      <c r="Q748" s="29" t="s">
        <v>1040</v>
      </c>
    </row>
    <row r="749" spans="1:18" x14ac:dyDescent="0.3">
      <c r="A749" s="29" t="s">
        <v>526</v>
      </c>
      <c r="B749" s="29">
        <v>1</v>
      </c>
      <c r="C749" s="29" t="s">
        <v>1050</v>
      </c>
      <c r="D749" s="29" t="s">
        <v>1087</v>
      </c>
      <c r="E749" s="29">
        <v>900</v>
      </c>
      <c r="G749" s="29" t="s">
        <v>1035</v>
      </c>
      <c r="H749" s="29">
        <v>1</v>
      </c>
      <c r="I749" s="29">
        <v>9.9600000000000009</v>
      </c>
      <c r="J749" s="29">
        <v>8.9640000000000004</v>
      </c>
      <c r="K749" s="29">
        <v>8.9640000000000004</v>
      </c>
      <c r="L749" s="29" t="s">
        <v>1032</v>
      </c>
      <c r="M749" s="29">
        <v>1</v>
      </c>
      <c r="N749" s="29">
        <v>0.9</v>
      </c>
      <c r="O749" s="29">
        <v>1</v>
      </c>
      <c r="P749" s="29">
        <v>8.9640000000000004</v>
      </c>
      <c r="Q749" s="29" t="s">
        <v>1033</v>
      </c>
    </row>
    <row r="750" spans="1:18" x14ac:dyDescent="0.3">
      <c r="B750" s="29">
        <v>2</v>
      </c>
      <c r="C750" s="29" t="s">
        <v>1050</v>
      </c>
      <c r="D750" s="30" t="s">
        <v>1087</v>
      </c>
      <c r="E750" s="29">
        <v>300</v>
      </c>
      <c r="G750" s="29" t="s">
        <v>1035</v>
      </c>
      <c r="H750" s="29">
        <v>1</v>
      </c>
      <c r="I750" s="29">
        <v>9.9600000000000009</v>
      </c>
      <c r="J750" s="29">
        <v>2.988</v>
      </c>
      <c r="K750" s="29">
        <v>2.988</v>
      </c>
      <c r="L750" s="29" t="s">
        <v>1032</v>
      </c>
      <c r="M750" s="29">
        <v>1</v>
      </c>
      <c r="N750" s="29">
        <v>0.3</v>
      </c>
      <c r="O750" s="29">
        <v>1</v>
      </c>
      <c r="P750" s="29">
        <v>2.988</v>
      </c>
      <c r="Q750" s="29" t="s">
        <v>1033</v>
      </c>
    </row>
    <row r="751" spans="1:18" x14ac:dyDescent="0.3">
      <c r="B751" s="29">
        <v>3</v>
      </c>
      <c r="C751" s="29" t="s">
        <v>1088</v>
      </c>
      <c r="D751" s="29">
        <v>9</v>
      </c>
      <c r="E751" s="29">
        <v>260</v>
      </c>
      <c r="F751" s="29">
        <v>260</v>
      </c>
      <c r="G751" s="29" t="s">
        <v>1035</v>
      </c>
      <c r="H751" s="29">
        <v>1</v>
      </c>
      <c r="J751" s="29">
        <v>4.7759399999999994</v>
      </c>
      <c r="K751" s="29">
        <v>4.7759399999999994</v>
      </c>
      <c r="L751" s="29" t="s">
        <v>1036</v>
      </c>
      <c r="M751" s="29">
        <v>1</v>
      </c>
      <c r="O751" s="29">
        <v>1</v>
      </c>
      <c r="P751" s="29">
        <v>4.7759399999999994</v>
      </c>
      <c r="Q751" s="29" t="s">
        <v>1037</v>
      </c>
      <c r="R751" t="s">
        <v>1128</v>
      </c>
    </row>
    <row r="752" spans="1:18" x14ac:dyDescent="0.3">
      <c r="B752" s="29">
        <v>4</v>
      </c>
      <c r="C752" s="29" t="s">
        <v>1038</v>
      </c>
      <c r="D752" s="30" t="s">
        <v>287</v>
      </c>
      <c r="G752" s="29" t="s">
        <v>1031</v>
      </c>
      <c r="H752" s="29">
        <v>4</v>
      </c>
      <c r="J752" s="29">
        <v>1</v>
      </c>
      <c r="K752" s="29">
        <v>4</v>
      </c>
      <c r="L752" s="29" t="s">
        <v>1039</v>
      </c>
      <c r="M752" s="29">
        <v>1</v>
      </c>
      <c r="O752" s="29">
        <v>4</v>
      </c>
      <c r="P752" s="29">
        <v>4</v>
      </c>
      <c r="Q752" s="29" t="s">
        <v>1040</v>
      </c>
    </row>
    <row r="753" spans="1:18" x14ac:dyDescent="0.3">
      <c r="A753" s="29" t="s">
        <v>526</v>
      </c>
      <c r="B753" s="29">
        <v>1</v>
      </c>
      <c r="C753" s="29" t="s">
        <v>1050</v>
      </c>
      <c r="D753" s="29" t="s">
        <v>1087</v>
      </c>
      <c r="E753" s="29">
        <v>900</v>
      </c>
      <c r="G753" s="29" t="s">
        <v>1035</v>
      </c>
      <c r="H753" s="29">
        <v>1</v>
      </c>
      <c r="I753" s="29">
        <v>9.9600000000000009</v>
      </c>
      <c r="J753" s="29">
        <v>8.9640000000000004</v>
      </c>
      <c r="K753" s="29">
        <v>8.9640000000000004</v>
      </c>
      <c r="L753" s="29" t="s">
        <v>1032</v>
      </c>
      <c r="M753" s="29">
        <v>1</v>
      </c>
      <c r="N753" s="29">
        <v>0.9</v>
      </c>
      <c r="O753" s="29">
        <v>1</v>
      </c>
      <c r="P753" s="29">
        <v>8.9640000000000004</v>
      </c>
      <c r="Q753" s="29" t="s">
        <v>1033</v>
      </c>
    </row>
    <row r="754" spans="1:18" x14ac:dyDescent="0.3">
      <c r="B754" s="29">
        <v>2</v>
      </c>
      <c r="C754" s="29" t="s">
        <v>1050</v>
      </c>
      <c r="D754" s="30" t="s">
        <v>1087</v>
      </c>
      <c r="E754" s="29">
        <v>300</v>
      </c>
      <c r="G754" s="29" t="s">
        <v>1035</v>
      </c>
      <c r="H754" s="29">
        <v>1</v>
      </c>
      <c r="I754" s="29">
        <v>9.9600000000000009</v>
      </c>
      <c r="J754" s="29">
        <v>2.988</v>
      </c>
      <c r="K754" s="29">
        <v>2.988</v>
      </c>
      <c r="L754" s="29" t="s">
        <v>1032</v>
      </c>
      <c r="M754" s="29">
        <v>1</v>
      </c>
      <c r="N754" s="29">
        <v>0.3</v>
      </c>
      <c r="O754" s="29">
        <v>1</v>
      </c>
      <c r="P754" s="29">
        <v>2.988</v>
      </c>
      <c r="Q754" s="29" t="s">
        <v>1033</v>
      </c>
    </row>
    <row r="755" spans="1:18" x14ac:dyDescent="0.3">
      <c r="B755" s="29">
        <v>3</v>
      </c>
      <c r="C755" s="29" t="s">
        <v>1088</v>
      </c>
      <c r="D755" s="29">
        <v>9</v>
      </c>
      <c r="E755" s="29">
        <v>260</v>
      </c>
      <c r="F755" s="29">
        <v>260</v>
      </c>
      <c r="G755" s="29" t="s">
        <v>1035</v>
      </c>
      <c r="H755" s="29">
        <v>1</v>
      </c>
      <c r="J755" s="29">
        <v>4.7759399999999994</v>
      </c>
      <c r="K755" s="29">
        <v>4.7759399999999994</v>
      </c>
      <c r="L755" s="29" t="s">
        <v>1036</v>
      </c>
      <c r="M755" s="29">
        <v>1</v>
      </c>
      <c r="O755" s="29">
        <v>1</v>
      </c>
      <c r="P755" s="29">
        <v>4.7759399999999994</v>
      </c>
      <c r="Q755" s="29" t="s">
        <v>1037</v>
      </c>
      <c r="R755" t="s">
        <v>1128</v>
      </c>
    </row>
    <row r="756" spans="1:18" x14ac:dyDescent="0.3">
      <c r="B756" s="29">
        <v>4</v>
      </c>
      <c r="C756" s="29" t="s">
        <v>1038</v>
      </c>
      <c r="D756" s="30" t="s">
        <v>287</v>
      </c>
      <c r="G756" s="29" t="s">
        <v>1031</v>
      </c>
      <c r="H756" s="29">
        <v>4</v>
      </c>
      <c r="J756" s="29">
        <v>1</v>
      </c>
      <c r="K756" s="29">
        <v>4</v>
      </c>
      <c r="L756" s="29" t="s">
        <v>1039</v>
      </c>
      <c r="M756" s="29">
        <v>1</v>
      </c>
      <c r="O756" s="29">
        <v>4</v>
      </c>
      <c r="P756" s="29">
        <v>4</v>
      </c>
      <c r="Q756" s="29" t="s">
        <v>1040</v>
      </c>
    </row>
    <row r="757" spans="1:18" x14ac:dyDescent="0.3">
      <c r="A757" s="29" t="s">
        <v>527</v>
      </c>
      <c r="B757" s="29">
        <v>1</v>
      </c>
      <c r="C757" s="29" t="s">
        <v>1050</v>
      </c>
      <c r="D757" s="29" t="s">
        <v>1087</v>
      </c>
      <c r="E757" s="29">
        <v>1000</v>
      </c>
      <c r="G757" s="29" t="s">
        <v>1035</v>
      </c>
      <c r="H757" s="29">
        <v>1</v>
      </c>
      <c r="I757" s="29">
        <v>9.9600000000000009</v>
      </c>
      <c r="J757" s="29">
        <v>9.9600000000000009</v>
      </c>
      <c r="K757" s="29">
        <v>9.9600000000000009</v>
      </c>
      <c r="L757" s="29" t="s">
        <v>1032</v>
      </c>
      <c r="M757" s="29">
        <v>1</v>
      </c>
      <c r="N757" s="29">
        <v>1</v>
      </c>
      <c r="O757" s="29">
        <v>1</v>
      </c>
      <c r="P757" s="29">
        <v>9.9600000000000009</v>
      </c>
      <c r="Q757" s="29" t="s">
        <v>1033</v>
      </c>
    </row>
    <row r="758" spans="1:18" x14ac:dyDescent="0.3">
      <c r="B758" s="29">
        <v>2</v>
      </c>
      <c r="C758" s="29" t="s">
        <v>1050</v>
      </c>
      <c r="D758" s="30" t="s">
        <v>1087</v>
      </c>
      <c r="E758" s="29">
        <v>300</v>
      </c>
      <c r="G758" s="29" t="s">
        <v>1035</v>
      </c>
      <c r="H758" s="29">
        <v>1</v>
      </c>
      <c r="I758" s="29">
        <v>9.9600000000000009</v>
      </c>
      <c r="J758" s="29">
        <v>2.988</v>
      </c>
      <c r="K758" s="29">
        <v>2.988</v>
      </c>
      <c r="L758" s="29" t="s">
        <v>1032</v>
      </c>
      <c r="M758" s="29">
        <v>1</v>
      </c>
      <c r="N758" s="29">
        <v>0.3</v>
      </c>
      <c r="O758" s="29">
        <v>1</v>
      </c>
      <c r="P758" s="29">
        <v>2.988</v>
      </c>
      <c r="Q758" s="29" t="s">
        <v>1033</v>
      </c>
    </row>
    <row r="759" spans="1:18" x14ac:dyDescent="0.3">
      <c r="B759" s="29">
        <v>3</v>
      </c>
      <c r="C759" s="29" t="s">
        <v>1088</v>
      </c>
      <c r="D759" s="29">
        <v>9</v>
      </c>
      <c r="E759" s="29">
        <v>260</v>
      </c>
      <c r="F759" s="29">
        <v>260</v>
      </c>
      <c r="G759" s="29" t="s">
        <v>1035</v>
      </c>
      <c r="H759" s="29">
        <v>1</v>
      </c>
      <c r="J759" s="29">
        <v>4.7759399999999994</v>
      </c>
      <c r="K759" s="29">
        <v>4.7759399999999994</v>
      </c>
      <c r="L759" s="29" t="s">
        <v>1036</v>
      </c>
      <c r="M759" s="29">
        <v>1</v>
      </c>
      <c r="O759" s="29">
        <v>1</v>
      </c>
      <c r="P759" s="29">
        <v>4.7759399999999994</v>
      </c>
      <c r="Q759" s="29" t="s">
        <v>1037</v>
      </c>
      <c r="R759" t="s">
        <v>1128</v>
      </c>
    </row>
    <row r="760" spans="1:18" x14ac:dyDescent="0.3">
      <c r="B760" s="29">
        <v>4</v>
      </c>
      <c r="C760" s="29" t="s">
        <v>1038</v>
      </c>
      <c r="D760" s="30" t="s">
        <v>287</v>
      </c>
      <c r="G760" s="29" t="s">
        <v>1031</v>
      </c>
      <c r="H760" s="29">
        <v>4</v>
      </c>
      <c r="J760" s="29">
        <v>1</v>
      </c>
      <c r="K760" s="29">
        <v>4</v>
      </c>
      <c r="L760" s="29" t="s">
        <v>1039</v>
      </c>
      <c r="M760" s="29">
        <v>1</v>
      </c>
      <c r="O760" s="29">
        <v>4</v>
      </c>
      <c r="P760" s="29">
        <v>4</v>
      </c>
      <c r="Q760" s="29" t="s">
        <v>1040</v>
      </c>
    </row>
    <row r="761" spans="1:18" x14ac:dyDescent="0.3">
      <c r="A761" s="29" t="s">
        <v>527</v>
      </c>
      <c r="B761" s="29">
        <v>1</v>
      </c>
      <c r="C761" s="29" t="s">
        <v>1050</v>
      </c>
      <c r="D761" s="29" t="s">
        <v>1087</v>
      </c>
      <c r="E761" s="29">
        <v>1000</v>
      </c>
      <c r="G761" s="29" t="s">
        <v>1035</v>
      </c>
      <c r="H761" s="29">
        <v>1</v>
      </c>
      <c r="I761" s="29">
        <v>9.9600000000000009</v>
      </c>
      <c r="J761" s="29">
        <v>9.9600000000000009</v>
      </c>
      <c r="K761" s="29">
        <v>9.9600000000000009</v>
      </c>
      <c r="L761" s="29" t="s">
        <v>1032</v>
      </c>
      <c r="M761" s="29">
        <v>1</v>
      </c>
      <c r="N761" s="29">
        <v>1</v>
      </c>
      <c r="O761" s="29">
        <v>1</v>
      </c>
      <c r="P761" s="29">
        <v>9.9600000000000009</v>
      </c>
      <c r="Q761" s="29" t="s">
        <v>1033</v>
      </c>
    </row>
    <row r="762" spans="1:18" x14ac:dyDescent="0.3">
      <c r="B762" s="29">
        <v>2</v>
      </c>
      <c r="C762" s="29" t="s">
        <v>1050</v>
      </c>
      <c r="D762" s="30" t="s">
        <v>1087</v>
      </c>
      <c r="E762" s="29">
        <v>300</v>
      </c>
      <c r="G762" s="29" t="s">
        <v>1035</v>
      </c>
      <c r="H762" s="29">
        <v>1</v>
      </c>
      <c r="I762" s="29">
        <v>9.9600000000000009</v>
      </c>
      <c r="J762" s="29">
        <v>2.988</v>
      </c>
      <c r="K762" s="29">
        <v>2.988</v>
      </c>
      <c r="L762" s="29" t="s">
        <v>1032</v>
      </c>
      <c r="M762" s="29">
        <v>1</v>
      </c>
      <c r="N762" s="29">
        <v>0.3</v>
      </c>
      <c r="O762" s="29">
        <v>1</v>
      </c>
      <c r="P762" s="29">
        <v>2.988</v>
      </c>
      <c r="Q762" s="29" t="s">
        <v>1033</v>
      </c>
    </row>
    <row r="763" spans="1:18" x14ac:dyDescent="0.3">
      <c r="B763" s="29">
        <v>3</v>
      </c>
      <c r="C763" s="29" t="s">
        <v>1088</v>
      </c>
      <c r="D763" s="29">
        <v>9</v>
      </c>
      <c r="E763" s="29">
        <v>260</v>
      </c>
      <c r="F763" s="29">
        <v>260</v>
      </c>
      <c r="G763" s="29" t="s">
        <v>1035</v>
      </c>
      <c r="H763" s="29">
        <v>1</v>
      </c>
      <c r="J763" s="29">
        <v>4.7759399999999994</v>
      </c>
      <c r="K763" s="29">
        <v>4.7759399999999994</v>
      </c>
      <c r="L763" s="29" t="s">
        <v>1036</v>
      </c>
      <c r="M763" s="29">
        <v>1</v>
      </c>
      <c r="O763" s="29">
        <v>1</v>
      </c>
      <c r="P763" s="29">
        <v>4.7759399999999994</v>
      </c>
      <c r="Q763" s="29" t="s">
        <v>1037</v>
      </c>
      <c r="R763" t="s">
        <v>1128</v>
      </c>
    </row>
    <row r="764" spans="1:18" x14ac:dyDescent="0.3">
      <c r="B764" s="29">
        <v>4</v>
      </c>
      <c r="C764" s="29" t="s">
        <v>1038</v>
      </c>
      <c r="D764" s="30" t="s">
        <v>287</v>
      </c>
      <c r="G764" s="29" t="s">
        <v>1031</v>
      </c>
      <c r="H764" s="29">
        <v>4</v>
      </c>
      <c r="J764" s="29">
        <v>1</v>
      </c>
      <c r="K764" s="29">
        <v>4</v>
      </c>
      <c r="L764" s="29" t="s">
        <v>1039</v>
      </c>
      <c r="M764" s="29">
        <v>1</v>
      </c>
      <c r="O764" s="29">
        <v>4</v>
      </c>
      <c r="P764" s="29">
        <v>4</v>
      </c>
      <c r="Q764" s="29" t="s">
        <v>1040</v>
      </c>
    </row>
    <row r="765" spans="1:18" x14ac:dyDescent="0.3">
      <c r="A765" s="29" t="s">
        <v>528</v>
      </c>
      <c r="B765" s="29">
        <v>1</v>
      </c>
      <c r="C765" s="29" t="s">
        <v>1050</v>
      </c>
      <c r="D765" s="29" t="s">
        <v>1087</v>
      </c>
      <c r="E765" s="29">
        <v>1000</v>
      </c>
      <c r="G765" s="29" t="s">
        <v>1035</v>
      </c>
      <c r="H765" s="29">
        <v>1</v>
      </c>
      <c r="I765" s="29">
        <v>9.9600000000000009</v>
      </c>
      <c r="J765" s="29">
        <v>9.9600000000000009</v>
      </c>
      <c r="K765" s="29">
        <v>9.9600000000000009</v>
      </c>
      <c r="L765" s="29" t="s">
        <v>1032</v>
      </c>
      <c r="M765" s="29">
        <v>1</v>
      </c>
      <c r="N765" s="29">
        <v>1</v>
      </c>
      <c r="O765" s="29">
        <v>1</v>
      </c>
      <c r="P765" s="29">
        <v>9.9600000000000009</v>
      </c>
      <c r="Q765" s="29" t="s">
        <v>1033</v>
      </c>
    </row>
    <row r="766" spans="1:18" x14ac:dyDescent="0.3">
      <c r="B766" s="29">
        <v>2</v>
      </c>
      <c r="C766" s="29" t="s">
        <v>1050</v>
      </c>
      <c r="D766" s="30" t="s">
        <v>1087</v>
      </c>
      <c r="E766" s="29">
        <v>500</v>
      </c>
      <c r="G766" s="29" t="s">
        <v>1035</v>
      </c>
      <c r="H766" s="29">
        <v>1</v>
      </c>
      <c r="I766" s="29">
        <v>9.9600000000000009</v>
      </c>
      <c r="J766" s="29">
        <v>4.9800000000000004</v>
      </c>
      <c r="K766" s="29">
        <v>4.9800000000000004</v>
      </c>
      <c r="L766" s="29" t="s">
        <v>1032</v>
      </c>
      <c r="M766" s="29">
        <v>1</v>
      </c>
      <c r="N766" s="29">
        <v>0.5</v>
      </c>
      <c r="O766" s="29">
        <v>1</v>
      </c>
      <c r="P766" s="29">
        <v>4.9800000000000004</v>
      </c>
      <c r="Q766" s="29" t="s">
        <v>1033</v>
      </c>
    </row>
    <row r="767" spans="1:18" x14ac:dyDescent="0.3">
      <c r="B767" s="29">
        <v>3</v>
      </c>
      <c r="C767" s="29" t="s">
        <v>1088</v>
      </c>
      <c r="D767" s="29">
        <v>9</v>
      </c>
      <c r="E767" s="29">
        <v>260</v>
      </c>
      <c r="F767" s="29">
        <v>260</v>
      </c>
      <c r="G767" s="29" t="s">
        <v>1035</v>
      </c>
      <c r="H767" s="29">
        <v>1</v>
      </c>
      <c r="J767" s="29">
        <v>4.7759399999999994</v>
      </c>
      <c r="K767" s="29">
        <v>4.7759399999999994</v>
      </c>
      <c r="L767" s="29" t="s">
        <v>1036</v>
      </c>
      <c r="M767" s="29">
        <v>1</v>
      </c>
      <c r="O767" s="29">
        <v>1</v>
      </c>
      <c r="P767" s="29">
        <v>4.7759399999999994</v>
      </c>
      <c r="Q767" s="29" t="s">
        <v>1037</v>
      </c>
      <c r="R767" t="s">
        <v>1128</v>
      </c>
    </row>
    <row r="768" spans="1:18" x14ac:dyDescent="0.3">
      <c r="B768" s="29">
        <v>4</v>
      </c>
      <c r="C768" s="29" t="s">
        <v>1038</v>
      </c>
      <c r="D768" s="30" t="s">
        <v>287</v>
      </c>
      <c r="G768" s="29" t="s">
        <v>1031</v>
      </c>
      <c r="H768" s="29">
        <v>4</v>
      </c>
      <c r="J768" s="29">
        <v>1</v>
      </c>
      <c r="K768" s="29">
        <v>4</v>
      </c>
      <c r="L768" s="29" t="s">
        <v>1039</v>
      </c>
      <c r="M768" s="29">
        <v>1</v>
      </c>
      <c r="O768" s="29">
        <v>4</v>
      </c>
      <c r="P768" s="29">
        <v>4</v>
      </c>
      <c r="Q768" s="29" t="s">
        <v>1040</v>
      </c>
    </row>
    <row r="769" spans="1:18" x14ac:dyDescent="0.3">
      <c r="A769" s="29" t="s">
        <v>529</v>
      </c>
      <c r="B769" s="29">
        <v>1</v>
      </c>
      <c r="C769" s="29" t="s">
        <v>1050</v>
      </c>
      <c r="D769" s="29" t="s">
        <v>1087</v>
      </c>
      <c r="E769" s="29">
        <v>1100</v>
      </c>
      <c r="G769" s="29" t="s">
        <v>1035</v>
      </c>
      <c r="H769" s="29">
        <v>1</v>
      </c>
      <c r="I769" s="29">
        <v>9.9600000000000009</v>
      </c>
      <c r="J769" s="29">
        <v>10.956000000000001</v>
      </c>
      <c r="K769" s="29">
        <v>10.956000000000001</v>
      </c>
      <c r="L769" s="29" t="s">
        <v>1032</v>
      </c>
      <c r="M769" s="29">
        <v>1</v>
      </c>
      <c r="N769" s="29">
        <v>1.1000000000000001</v>
      </c>
      <c r="O769" s="29">
        <v>1</v>
      </c>
      <c r="P769" s="29">
        <v>10.956000000000001</v>
      </c>
      <c r="Q769" s="29" t="s">
        <v>1033</v>
      </c>
    </row>
    <row r="770" spans="1:18" x14ac:dyDescent="0.3">
      <c r="B770" s="29">
        <v>2</v>
      </c>
      <c r="C770" s="29" t="s">
        <v>1050</v>
      </c>
      <c r="D770" s="30" t="s">
        <v>1087</v>
      </c>
      <c r="E770" s="29">
        <v>300</v>
      </c>
      <c r="G770" s="29" t="s">
        <v>1035</v>
      </c>
      <c r="H770" s="29">
        <v>1</v>
      </c>
      <c r="I770" s="29">
        <v>9.9600000000000009</v>
      </c>
      <c r="J770" s="29">
        <v>2.988</v>
      </c>
      <c r="K770" s="29">
        <v>2.988</v>
      </c>
      <c r="L770" s="29" t="s">
        <v>1032</v>
      </c>
      <c r="M770" s="29">
        <v>1</v>
      </c>
      <c r="N770" s="29">
        <v>0.3</v>
      </c>
      <c r="O770" s="29">
        <v>1</v>
      </c>
      <c r="P770" s="29">
        <v>2.988</v>
      </c>
      <c r="Q770" s="29" t="s">
        <v>1033</v>
      </c>
    </row>
    <row r="771" spans="1:18" x14ac:dyDescent="0.3">
      <c r="B771" s="29">
        <v>3</v>
      </c>
      <c r="C771" s="29" t="s">
        <v>1088</v>
      </c>
      <c r="D771" s="29">
        <v>9</v>
      </c>
      <c r="E771" s="29">
        <v>260</v>
      </c>
      <c r="F771" s="29">
        <v>260</v>
      </c>
      <c r="G771" s="29" t="s">
        <v>1035</v>
      </c>
      <c r="H771" s="29">
        <v>1</v>
      </c>
      <c r="J771" s="29">
        <v>4.7759399999999994</v>
      </c>
      <c r="K771" s="29">
        <v>4.7759399999999994</v>
      </c>
      <c r="L771" s="29" t="s">
        <v>1036</v>
      </c>
      <c r="M771" s="29">
        <v>1</v>
      </c>
      <c r="O771" s="29">
        <v>1</v>
      </c>
      <c r="P771" s="29">
        <v>4.7759399999999994</v>
      </c>
      <c r="Q771" s="29" t="s">
        <v>1037</v>
      </c>
      <c r="R771" t="s">
        <v>1128</v>
      </c>
    </row>
    <row r="772" spans="1:18" x14ac:dyDescent="0.3">
      <c r="B772" s="29">
        <v>4</v>
      </c>
      <c r="C772" s="29" t="s">
        <v>1038</v>
      </c>
      <c r="D772" s="30" t="s">
        <v>287</v>
      </c>
      <c r="G772" s="29" t="s">
        <v>1031</v>
      </c>
      <c r="H772" s="29">
        <v>4</v>
      </c>
      <c r="J772" s="29">
        <v>1</v>
      </c>
      <c r="K772" s="29">
        <v>4</v>
      </c>
      <c r="L772" s="29" t="s">
        <v>1039</v>
      </c>
      <c r="M772" s="29">
        <v>1</v>
      </c>
      <c r="O772" s="29">
        <v>4</v>
      </c>
      <c r="P772" s="29">
        <v>4</v>
      </c>
      <c r="Q772" s="29" t="s">
        <v>1040</v>
      </c>
    </row>
    <row r="773" spans="1:18" x14ac:dyDescent="0.3">
      <c r="A773" s="29" t="s">
        <v>530</v>
      </c>
      <c r="B773" s="29">
        <v>1</v>
      </c>
      <c r="C773" s="29" t="s">
        <v>1050</v>
      </c>
      <c r="D773" s="29" t="s">
        <v>1087</v>
      </c>
      <c r="E773" s="29">
        <v>1300</v>
      </c>
      <c r="G773" s="29" t="s">
        <v>1035</v>
      </c>
      <c r="H773" s="29">
        <v>1</v>
      </c>
      <c r="I773" s="29">
        <v>9.9600000000000009</v>
      </c>
      <c r="J773" s="29">
        <v>12.948000000000002</v>
      </c>
      <c r="K773" s="29">
        <v>12.948000000000002</v>
      </c>
      <c r="L773" s="29" t="s">
        <v>1032</v>
      </c>
      <c r="M773" s="29">
        <v>1</v>
      </c>
      <c r="N773" s="29">
        <v>1.3</v>
      </c>
      <c r="O773" s="29">
        <v>1</v>
      </c>
      <c r="P773" s="29">
        <v>12.948000000000002</v>
      </c>
      <c r="Q773" s="29" t="s">
        <v>1033</v>
      </c>
    </row>
    <row r="774" spans="1:18" x14ac:dyDescent="0.3">
      <c r="B774" s="29">
        <v>2</v>
      </c>
      <c r="C774" s="29" t="s">
        <v>1050</v>
      </c>
      <c r="D774" s="30" t="s">
        <v>1087</v>
      </c>
      <c r="E774" s="29">
        <v>300</v>
      </c>
      <c r="G774" s="29" t="s">
        <v>1035</v>
      </c>
      <c r="H774" s="29">
        <v>1</v>
      </c>
      <c r="I774" s="29">
        <v>9.9600000000000009</v>
      </c>
      <c r="J774" s="29">
        <v>2.988</v>
      </c>
      <c r="K774" s="29">
        <v>2.988</v>
      </c>
      <c r="L774" s="29" t="s">
        <v>1032</v>
      </c>
      <c r="M774" s="29">
        <v>1</v>
      </c>
      <c r="N774" s="29">
        <v>0.3</v>
      </c>
      <c r="O774" s="29">
        <v>1</v>
      </c>
      <c r="P774" s="29">
        <v>2.988</v>
      </c>
      <c r="Q774" s="29" t="s">
        <v>1033</v>
      </c>
    </row>
    <row r="775" spans="1:18" x14ac:dyDescent="0.3">
      <c r="B775" s="29">
        <v>3</v>
      </c>
      <c r="C775" s="29" t="s">
        <v>1088</v>
      </c>
      <c r="D775" s="29">
        <v>9</v>
      </c>
      <c r="E775" s="29">
        <v>260</v>
      </c>
      <c r="F775" s="29">
        <v>260</v>
      </c>
      <c r="G775" s="29" t="s">
        <v>1035</v>
      </c>
      <c r="H775" s="29">
        <v>1</v>
      </c>
      <c r="J775" s="29">
        <v>4.7759399999999994</v>
      </c>
      <c r="K775" s="29">
        <v>4.7759399999999994</v>
      </c>
      <c r="L775" s="29" t="s">
        <v>1036</v>
      </c>
      <c r="M775" s="29">
        <v>1</v>
      </c>
      <c r="O775" s="29">
        <v>1</v>
      </c>
      <c r="P775" s="29">
        <v>4.7759399999999994</v>
      </c>
      <c r="Q775" s="29" t="s">
        <v>1037</v>
      </c>
      <c r="R775" t="s">
        <v>1128</v>
      </c>
    </row>
    <row r="776" spans="1:18" x14ac:dyDescent="0.3">
      <c r="B776" s="29">
        <v>4</v>
      </c>
      <c r="C776" s="29" t="s">
        <v>1038</v>
      </c>
      <c r="D776" s="30" t="s">
        <v>287</v>
      </c>
      <c r="G776" s="29" t="s">
        <v>1031</v>
      </c>
      <c r="H776" s="29">
        <v>4</v>
      </c>
      <c r="J776" s="29">
        <v>1</v>
      </c>
      <c r="K776" s="29">
        <v>4</v>
      </c>
      <c r="L776" s="29" t="s">
        <v>1039</v>
      </c>
      <c r="M776" s="29">
        <v>1</v>
      </c>
      <c r="O776" s="29">
        <v>4</v>
      </c>
      <c r="P776" s="29">
        <v>4</v>
      </c>
      <c r="Q776" s="29" t="s">
        <v>1040</v>
      </c>
    </row>
    <row r="777" spans="1:18" x14ac:dyDescent="0.3">
      <c r="A777" s="29" t="s">
        <v>530</v>
      </c>
      <c r="B777" s="29">
        <v>1</v>
      </c>
      <c r="C777" s="29" t="s">
        <v>1050</v>
      </c>
      <c r="D777" s="29" t="s">
        <v>1087</v>
      </c>
      <c r="E777" s="29">
        <v>1300</v>
      </c>
      <c r="G777" s="29" t="s">
        <v>1035</v>
      </c>
      <c r="H777" s="29">
        <v>1</v>
      </c>
      <c r="I777" s="29">
        <v>9.9600000000000009</v>
      </c>
      <c r="J777" s="29">
        <v>12.948000000000002</v>
      </c>
      <c r="K777" s="29">
        <v>12.948000000000002</v>
      </c>
      <c r="L777" s="29" t="s">
        <v>1032</v>
      </c>
      <c r="M777" s="29">
        <v>1</v>
      </c>
      <c r="N777" s="29">
        <v>1.3</v>
      </c>
      <c r="O777" s="29">
        <v>1</v>
      </c>
      <c r="P777" s="29">
        <v>12.948000000000002</v>
      </c>
      <c r="Q777" s="29" t="s">
        <v>1033</v>
      </c>
    </row>
    <row r="778" spans="1:18" x14ac:dyDescent="0.3">
      <c r="B778" s="29">
        <v>2</v>
      </c>
      <c r="C778" s="29" t="s">
        <v>1050</v>
      </c>
      <c r="D778" s="30" t="s">
        <v>1087</v>
      </c>
      <c r="E778" s="29">
        <v>300</v>
      </c>
      <c r="G778" s="29" t="s">
        <v>1035</v>
      </c>
      <c r="H778" s="29">
        <v>1</v>
      </c>
      <c r="I778" s="29">
        <v>9.9600000000000009</v>
      </c>
      <c r="J778" s="29">
        <v>2.988</v>
      </c>
      <c r="K778" s="29">
        <v>2.988</v>
      </c>
      <c r="L778" s="29" t="s">
        <v>1032</v>
      </c>
      <c r="M778" s="29">
        <v>1</v>
      </c>
      <c r="N778" s="29">
        <v>0.3</v>
      </c>
      <c r="O778" s="29">
        <v>1</v>
      </c>
      <c r="P778" s="29">
        <v>2.988</v>
      </c>
      <c r="Q778" s="29" t="s">
        <v>1033</v>
      </c>
    </row>
    <row r="779" spans="1:18" x14ac:dyDescent="0.3">
      <c r="B779" s="29">
        <v>3</v>
      </c>
      <c r="C779" s="29" t="s">
        <v>1088</v>
      </c>
      <c r="D779" s="29">
        <v>9</v>
      </c>
      <c r="E779" s="29">
        <v>260</v>
      </c>
      <c r="F779" s="29">
        <v>260</v>
      </c>
      <c r="G779" s="29" t="s">
        <v>1035</v>
      </c>
      <c r="H779" s="29">
        <v>1</v>
      </c>
      <c r="J779" s="29">
        <v>4.7759399999999994</v>
      </c>
      <c r="K779" s="29">
        <v>4.7759399999999994</v>
      </c>
      <c r="L779" s="29" t="s">
        <v>1036</v>
      </c>
      <c r="M779" s="29">
        <v>1</v>
      </c>
      <c r="O779" s="29">
        <v>1</v>
      </c>
      <c r="P779" s="29">
        <v>4.7759399999999994</v>
      </c>
      <c r="Q779" s="29" t="s">
        <v>1037</v>
      </c>
      <c r="R779" t="s">
        <v>1128</v>
      </c>
    </row>
    <row r="780" spans="1:18" x14ac:dyDescent="0.3">
      <c r="B780" s="29">
        <v>4</v>
      </c>
      <c r="C780" s="29" t="s">
        <v>1038</v>
      </c>
      <c r="D780" s="30" t="s">
        <v>287</v>
      </c>
      <c r="G780" s="29" t="s">
        <v>1031</v>
      </c>
      <c r="H780" s="29">
        <v>4</v>
      </c>
      <c r="J780" s="29">
        <v>1</v>
      </c>
      <c r="K780" s="29">
        <v>4</v>
      </c>
      <c r="L780" s="29" t="s">
        <v>1039</v>
      </c>
      <c r="M780" s="29">
        <v>1</v>
      </c>
      <c r="O780" s="29">
        <v>4</v>
      </c>
      <c r="P780" s="29">
        <v>4</v>
      </c>
      <c r="Q780" s="29" t="s">
        <v>1040</v>
      </c>
    </row>
    <row r="781" spans="1:18" x14ac:dyDescent="0.3">
      <c r="A781" s="29" t="s">
        <v>531</v>
      </c>
      <c r="B781" s="29">
        <v>1</v>
      </c>
      <c r="C781" s="29" t="s">
        <v>1050</v>
      </c>
      <c r="D781" s="29" t="s">
        <v>1087</v>
      </c>
      <c r="E781" s="29">
        <v>1400</v>
      </c>
      <c r="G781" s="29" t="s">
        <v>1035</v>
      </c>
      <c r="H781" s="29">
        <v>1</v>
      </c>
      <c r="I781" s="29">
        <v>9.9600000000000009</v>
      </c>
      <c r="J781" s="29">
        <v>13.944000000000001</v>
      </c>
      <c r="K781" s="29">
        <v>13.944000000000001</v>
      </c>
      <c r="L781" s="29" t="s">
        <v>1032</v>
      </c>
      <c r="M781" s="29">
        <v>1</v>
      </c>
      <c r="N781" s="29">
        <v>1.4</v>
      </c>
      <c r="O781" s="29">
        <v>1</v>
      </c>
      <c r="P781" s="29">
        <v>13.944000000000001</v>
      </c>
      <c r="Q781" s="29" t="s">
        <v>1033</v>
      </c>
    </row>
    <row r="782" spans="1:18" x14ac:dyDescent="0.3">
      <c r="B782" s="29">
        <v>2</v>
      </c>
      <c r="C782" s="29" t="s">
        <v>1050</v>
      </c>
      <c r="D782" s="30" t="s">
        <v>1087</v>
      </c>
      <c r="E782" s="29">
        <v>500</v>
      </c>
      <c r="G782" s="29" t="s">
        <v>1035</v>
      </c>
      <c r="H782" s="29">
        <v>1</v>
      </c>
      <c r="I782" s="29">
        <v>9.9600000000000009</v>
      </c>
      <c r="J782" s="29">
        <v>4.9800000000000004</v>
      </c>
      <c r="K782" s="29">
        <v>4.9800000000000004</v>
      </c>
      <c r="L782" s="29" t="s">
        <v>1032</v>
      </c>
      <c r="M782" s="29">
        <v>1</v>
      </c>
      <c r="N782" s="29">
        <v>0.5</v>
      </c>
      <c r="O782" s="29">
        <v>1</v>
      </c>
      <c r="P782" s="29">
        <v>4.9800000000000004</v>
      </c>
      <c r="Q782" s="29" t="s">
        <v>1033</v>
      </c>
    </row>
    <row r="783" spans="1:18" x14ac:dyDescent="0.3">
      <c r="B783" s="29">
        <v>3</v>
      </c>
      <c r="C783" s="29" t="s">
        <v>1088</v>
      </c>
      <c r="D783" s="29">
        <v>9</v>
      </c>
      <c r="E783" s="29">
        <v>260</v>
      </c>
      <c r="F783" s="29">
        <v>260</v>
      </c>
      <c r="G783" s="29" t="s">
        <v>1035</v>
      </c>
      <c r="H783" s="29">
        <v>1</v>
      </c>
      <c r="J783" s="29">
        <v>4.7759399999999994</v>
      </c>
      <c r="K783" s="29">
        <v>4.7759399999999994</v>
      </c>
      <c r="L783" s="29" t="s">
        <v>1036</v>
      </c>
      <c r="M783" s="29">
        <v>1</v>
      </c>
      <c r="O783" s="29">
        <v>1</v>
      </c>
      <c r="P783" s="29">
        <v>4.7759399999999994</v>
      </c>
      <c r="Q783" s="29" t="s">
        <v>1037</v>
      </c>
      <c r="R783" t="s">
        <v>1128</v>
      </c>
    </row>
    <row r="784" spans="1:18" x14ac:dyDescent="0.3">
      <c r="B784" s="29">
        <v>4</v>
      </c>
      <c r="C784" s="29" t="s">
        <v>1038</v>
      </c>
      <c r="D784" s="30" t="s">
        <v>287</v>
      </c>
      <c r="G784" s="29" t="s">
        <v>1031</v>
      </c>
      <c r="H784" s="29">
        <v>4</v>
      </c>
      <c r="J784" s="29">
        <v>1</v>
      </c>
      <c r="K784" s="29">
        <v>4</v>
      </c>
      <c r="L784" s="29" t="s">
        <v>1039</v>
      </c>
      <c r="M784" s="29">
        <v>1</v>
      </c>
      <c r="O784" s="29">
        <v>4</v>
      </c>
      <c r="P784" s="29">
        <v>4</v>
      </c>
      <c r="Q784" s="29" t="s">
        <v>1040</v>
      </c>
    </row>
    <row r="785" spans="1:18" x14ac:dyDescent="0.3">
      <c r="A785" s="29" t="s">
        <v>532</v>
      </c>
      <c r="B785" s="29">
        <v>1</v>
      </c>
      <c r="C785" s="29" t="s">
        <v>1050</v>
      </c>
      <c r="D785" s="29" t="s">
        <v>1087</v>
      </c>
      <c r="E785" s="29">
        <v>1500</v>
      </c>
      <c r="G785" s="29" t="s">
        <v>1035</v>
      </c>
      <c r="H785" s="29">
        <v>1</v>
      </c>
      <c r="I785" s="29">
        <v>9.9600000000000009</v>
      </c>
      <c r="J785" s="29">
        <v>14.940000000000001</v>
      </c>
      <c r="K785" s="29">
        <v>14.940000000000001</v>
      </c>
      <c r="L785" s="29" t="s">
        <v>1032</v>
      </c>
      <c r="M785" s="29">
        <v>1</v>
      </c>
      <c r="N785" s="29">
        <v>1.5</v>
      </c>
      <c r="O785" s="29">
        <v>1</v>
      </c>
      <c r="P785" s="29">
        <v>14.940000000000001</v>
      </c>
      <c r="Q785" s="29" t="s">
        <v>1033</v>
      </c>
    </row>
    <row r="786" spans="1:18" x14ac:dyDescent="0.3">
      <c r="B786" s="29">
        <v>2</v>
      </c>
      <c r="C786" s="29" t="s">
        <v>1050</v>
      </c>
      <c r="D786" s="30" t="s">
        <v>1087</v>
      </c>
      <c r="E786" s="29">
        <v>300</v>
      </c>
      <c r="G786" s="29" t="s">
        <v>1035</v>
      </c>
      <c r="H786" s="29">
        <v>1</v>
      </c>
      <c r="I786" s="29">
        <v>9.9600000000000009</v>
      </c>
      <c r="J786" s="29">
        <v>2.988</v>
      </c>
      <c r="K786" s="29">
        <v>2.988</v>
      </c>
      <c r="L786" s="29" t="s">
        <v>1032</v>
      </c>
      <c r="M786" s="29">
        <v>1</v>
      </c>
      <c r="N786" s="29">
        <v>0.3</v>
      </c>
      <c r="O786" s="29">
        <v>1</v>
      </c>
      <c r="P786" s="29">
        <v>2.988</v>
      </c>
      <c r="Q786" s="29" t="s">
        <v>1033</v>
      </c>
    </row>
    <row r="787" spans="1:18" x14ac:dyDescent="0.3">
      <c r="B787" s="29">
        <v>3</v>
      </c>
      <c r="C787" s="29" t="s">
        <v>1088</v>
      </c>
      <c r="D787" s="29">
        <v>9</v>
      </c>
      <c r="E787" s="29">
        <v>260</v>
      </c>
      <c r="F787" s="29">
        <v>260</v>
      </c>
      <c r="G787" s="29" t="s">
        <v>1035</v>
      </c>
      <c r="H787" s="29">
        <v>1</v>
      </c>
      <c r="J787" s="29">
        <v>4.7759399999999994</v>
      </c>
      <c r="K787" s="29">
        <v>4.7759399999999994</v>
      </c>
      <c r="L787" s="29" t="s">
        <v>1036</v>
      </c>
      <c r="M787" s="29">
        <v>1</v>
      </c>
      <c r="O787" s="29">
        <v>1</v>
      </c>
      <c r="P787" s="29">
        <v>4.7759399999999994</v>
      </c>
      <c r="Q787" s="29" t="s">
        <v>1037</v>
      </c>
      <c r="R787" t="s">
        <v>1128</v>
      </c>
    </row>
    <row r="788" spans="1:18" x14ac:dyDescent="0.3">
      <c r="B788" s="29">
        <v>4</v>
      </c>
      <c r="C788" s="29" t="s">
        <v>1038</v>
      </c>
      <c r="D788" s="30" t="s">
        <v>287</v>
      </c>
      <c r="G788" s="29" t="s">
        <v>1031</v>
      </c>
      <c r="H788" s="29">
        <v>4</v>
      </c>
      <c r="J788" s="29">
        <v>1</v>
      </c>
      <c r="K788" s="29">
        <v>4</v>
      </c>
      <c r="L788" s="29" t="s">
        <v>1039</v>
      </c>
      <c r="M788" s="29">
        <v>1</v>
      </c>
      <c r="O788" s="29">
        <v>4</v>
      </c>
      <c r="P788" s="29">
        <v>4</v>
      </c>
      <c r="Q788" s="29" t="s">
        <v>1040</v>
      </c>
    </row>
    <row r="789" spans="1:18" x14ac:dyDescent="0.3">
      <c r="A789" s="29" t="s">
        <v>532</v>
      </c>
      <c r="B789" s="29">
        <v>1</v>
      </c>
      <c r="C789" s="29" t="s">
        <v>1050</v>
      </c>
      <c r="D789" s="29" t="s">
        <v>1087</v>
      </c>
      <c r="E789" s="29">
        <v>1500</v>
      </c>
      <c r="G789" s="29" t="s">
        <v>1035</v>
      </c>
      <c r="H789" s="29">
        <v>1</v>
      </c>
      <c r="I789" s="29">
        <v>9.9600000000000009</v>
      </c>
      <c r="J789" s="29">
        <v>14.940000000000001</v>
      </c>
      <c r="K789" s="29">
        <v>14.940000000000001</v>
      </c>
      <c r="L789" s="29" t="s">
        <v>1032</v>
      </c>
      <c r="M789" s="29">
        <v>1</v>
      </c>
      <c r="N789" s="29">
        <v>1.5</v>
      </c>
      <c r="O789" s="29">
        <v>1</v>
      </c>
      <c r="P789" s="29">
        <v>14.940000000000001</v>
      </c>
      <c r="Q789" s="29" t="s">
        <v>1033</v>
      </c>
    </row>
    <row r="790" spans="1:18" x14ac:dyDescent="0.3">
      <c r="B790" s="29">
        <v>2</v>
      </c>
      <c r="C790" s="29" t="s">
        <v>1050</v>
      </c>
      <c r="D790" s="30" t="s">
        <v>1087</v>
      </c>
      <c r="E790" s="29">
        <v>300</v>
      </c>
      <c r="G790" s="29" t="s">
        <v>1035</v>
      </c>
      <c r="H790" s="29">
        <v>1</v>
      </c>
      <c r="I790" s="29">
        <v>9.9600000000000009</v>
      </c>
      <c r="J790" s="29">
        <v>2.988</v>
      </c>
      <c r="K790" s="29">
        <v>2.988</v>
      </c>
      <c r="L790" s="29" t="s">
        <v>1032</v>
      </c>
      <c r="M790" s="29">
        <v>1</v>
      </c>
      <c r="N790" s="29">
        <v>0.3</v>
      </c>
      <c r="O790" s="29">
        <v>1</v>
      </c>
      <c r="P790" s="29">
        <v>2.988</v>
      </c>
      <c r="Q790" s="29" t="s">
        <v>1033</v>
      </c>
    </row>
    <row r="791" spans="1:18" x14ac:dyDescent="0.3">
      <c r="B791" s="29">
        <v>3</v>
      </c>
      <c r="C791" s="29" t="s">
        <v>1088</v>
      </c>
      <c r="D791" s="29">
        <v>9</v>
      </c>
      <c r="E791" s="29">
        <v>260</v>
      </c>
      <c r="F791" s="29">
        <v>260</v>
      </c>
      <c r="G791" s="29" t="s">
        <v>1035</v>
      </c>
      <c r="H791" s="29">
        <v>1</v>
      </c>
      <c r="J791" s="29">
        <v>4.7759399999999994</v>
      </c>
      <c r="K791" s="29">
        <v>4.7759399999999994</v>
      </c>
      <c r="L791" s="29" t="s">
        <v>1036</v>
      </c>
      <c r="M791" s="29">
        <v>1</v>
      </c>
      <c r="O791" s="29">
        <v>1</v>
      </c>
      <c r="P791" s="29">
        <v>4.7759399999999994</v>
      </c>
      <c r="Q791" s="29" t="s">
        <v>1037</v>
      </c>
      <c r="R791" t="s">
        <v>1128</v>
      </c>
    </row>
    <row r="792" spans="1:18" x14ac:dyDescent="0.3">
      <c r="B792" s="29">
        <v>4</v>
      </c>
      <c r="C792" s="29" t="s">
        <v>1038</v>
      </c>
      <c r="D792" s="30" t="s">
        <v>287</v>
      </c>
      <c r="G792" s="29" t="s">
        <v>1031</v>
      </c>
      <c r="H792" s="29">
        <v>4</v>
      </c>
      <c r="J792" s="29">
        <v>1</v>
      </c>
      <c r="K792" s="29">
        <v>4</v>
      </c>
      <c r="L792" s="29" t="s">
        <v>1039</v>
      </c>
      <c r="M792" s="29">
        <v>1</v>
      </c>
      <c r="O792" s="29">
        <v>4</v>
      </c>
      <c r="P792" s="29">
        <v>4</v>
      </c>
      <c r="Q792" s="29" t="s">
        <v>1040</v>
      </c>
    </row>
    <row r="793" spans="1:18" x14ac:dyDescent="0.3">
      <c r="A793" s="29" t="s">
        <v>533</v>
      </c>
      <c r="B793" s="29">
        <v>1</v>
      </c>
      <c r="C793" s="29" t="s">
        <v>1050</v>
      </c>
      <c r="D793" s="29" t="s">
        <v>1086</v>
      </c>
      <c r="E793" s="29">
        <v>250</v>
      </c>
      <c r="G793" s="29" t="s">
        <v>1035</v>
      </c>
      <c r="H793" s="29">
        <v>1</v>
      </c>
      <c r="I793" s="29">
        <v>4.43</v>
      </c>
      <c r="J793" s="29">
        <v>1.1074999999999999</v>
      </c>
      <c r="K793" s="29">
        <v>1.1074999999999999</v>
      </c>
      <c r="L793" s="29" t="s">
        <v>1032</v>
      </c>
      <c r="M793" s="29">
        <v>1</v>
      </c>
      <c r="N793" s="29">
        <v>0.25</v>
      </c>
      <c r="O793" s="29">
        <v>1</v>
      </c>
      <c r="P793" s="29">
        <v>1.1074999999999999</v>
      </c>
      <c r="Q793" s="29" t="s">
        <v>1033</v>
      </c>
    </row>
    <row r="794" spans="1:18" x14ac:dyDescent="0.3">
      <c r="B794" s="29">
        <v>2</v>
      </c>
      <c r="C794" s="29" t="s">
        <v>1050</v>
      </c>
      <c r="D794" s="29" t="s">
        <v>1086</v>
      </c>
      <c r="E794" s="29">
        <v>300</v>
      </c>
      <c r="G794" s="29" t="s">
        <v>1035</v>
      </c>
      <c r="H794" s="29">
        <v>1</v>
      </c>
      <c r="I794" s="29">
        <v>4.43</v>
      </c>
      <c r="J794" s="29">
        <v>1.329</v>
      </c>
      <c r="K794" s="29">
        <v>1.329</v>
      </c>
      <c r="L794" s="29" t="s">
        <v>1032</v>
      </c>
      <c r="M794" s="29">
        <v>1</v>
      </c>
      <c r="N794" s="29">
        <v>0.3</v>
      </c>
      <c r="O794" s="29">
        <v>1</v>
      </c>
      <c r="P794" s="29">
        <v>1.329</v>
      </c>
      <c r="Q794" s="29" t="s">
        <v>1033</v>
      </c>
    </row>
    <row r="795" spans="1:18" x14ac:dyDescent="0.3">
      <c r="A795" s="29" t="s">
        <v>534</v>
      </c>
      <c r="B795" s="29">
        <v>1</v>
      </c>
      <c r="C795" s="29" t="s">
        <v>1050</v>
      </c>
      <c r="D795" s="29" t="s">
        <v>1086</v>
      </c>
      <c r="E795" s="29">
        <v>350</v>
      </c>
      <c r="G795" s="29" t="s">
        <v>1035</v>
      </c>
      <c r="H795" s="29">
        <v>1</v>
      </c>
      <c r="I795" s="29">
        <v>4.43</v>
      </c>
      <c r="J795" s="29">
        <v>1.5504999999999998</v>
      </c>
      <c r="K795" s="29">
        <v>1.5504999999999998</v>
      </c>
      <c r="L795" s="29" t="s">
        <v>1032</v>
      </c>
      <c r="M795" s="29">
        <v>1</v>
      </c>
      <c r="N795" s="29">
        <v>0.35</v>
      </c>
      <c r="O795" s="29">
        <v>1</v>
      </c>
      <c r="P795" s="29">
        <v>1.5504999999999998</v>
      </c>
      <c r="Q795" s="29" t="s">
        <v>1033</v>
      </c>
    </row>
    <row r="796" spans="1:18" x14ac:dyDescent="0.3">
      <c r="B796" s="29">
        <v>2</v>
      </c>
      <c r="C796" s="29" t="s">
        <v>1050</v>
      </c>
      <c r="D796" s="29" t="s">
        <v>1086</v>
      </c>
      <c r="E796" s="29">
        <v>300</v>
      </c>
      <c r="G796" s="29" t="s">
        <v>1035</v>
      </c>
      <c r="H796" s="29">
        <v>1</v>
      </c>
      <c r="I796" s="29">
        <v>4.43</v>
      </c>
      <c r="J796" s="29">
        <v>1.329</v>
      </c>
      <c r="K796" s="29">
        <v>1.329</v>
      </c>
      <c r="L796" s="29" t="s">
        <v>1032</v>
      </c>
      <c r="M796" s="29">
        <v>1</v>
      </c>
      <c r="N796" s="29">
        <v>0.3</v>
      </c>
      <c r="O796" s="29">
        <v>1</v>
      </c>
      <c r="P796" s="29">
        <v>1.329</v>
      </c>
      <c r="Q796" s="29" t="s">
        <v>1033</v>
      </c>
    </row>
    <row r="797" spans="1:18" x14ac:dyDescent="0.3">
      <c r="A797" s="29" t="s">
        <v>534</v>
      </c>
      <c r="B797" s="29">
        <v>1</v>
      </c>
      <c r="C797" s="29" t="s">
        <v>1050</v>
      </c>
      <c r="D797" s="29" t="s">
        <v>1086</v>
      </c>
      <c r="E797" s="29">
        <v>350</v>
      </c>
      <c r="G797" s="29" t="s">
        <v>1035</v>
      </c>
      <c r="H797" s="29">
        <v>1</v>
      </c>
      <c r="I797" s="29">
        <v>4.43</v>
      </c>
      <c r="J797" s="29">
        <v>1.5504999999999998</v>
      </c>
      <c r="K797" s="29">
        <v>1.5504999999999998</v>
      </c>
      <c r="L797" s="29" t="s">
        <v>1032</v>
      </c>
      <c r="M797" s="29">
        <v>1</v>
      </c>
      <c r="N797" s="29">
        <v>0.35</v>
      </c>
      <c r="O797" s="29">
        <v>1</v>
      </c>
      <c r="P797" s="29">
        <v>1.5504999999999998</v>
      </c>
      <c r="Q797" s="29" t="s">
        <v>1033</v>
      </c>
    </row>
    <row r="798" spans="1:18" x14ac:dyDescent="0.3">
      <c r="B798" s="29">
        <v>2</v>
      </c>
      <c r="C798" s="29" t="s">
        <v>1050</v>
      </c>
      <c r="D798" s="29" t="s">
        <v>1086</v>
      </c>
      <c r="E798" s="29">
        <v>300</v>
      </c>
      <c r="G798" s="29" t="s">
        <v>1035</v>
      </c>
      <c r="H798" s="29">
        <v>1</v>
      </c>
      <c r="I798" s="29">
        <v>4.43</v>
      </c>
      <c r="J798" s="29">
        <v>1.329</v>
      </c>
      <c r="K798" s="29">
        <v>1.329</v>
      </c>
      <c r="L798" s="29" t="s">
        <v>1032</v>
      </c>
      <c r="M798" s="29">
        <v>1</v>
      </c>
      <c r="N798" s="29">
        <v>0.3</v>
      </c>
      <c r="O798" s="29">
        <v>1</v>
      </c>
      <c r="P798" s="29">
        <v>1.329</v>
      </c>
      <c r="Q798" s="29" t="s">
        <v>1033</v>
      </c>
    </row>
    <row r="799" spans="1:18" x14ac:dyDescent="0.3">
      <c r="A799" s="29" t="s">
        <v>535</v>
      </c>
      <c r="B799" s="29">
        <v>1</v>
      </c>
      <c r="C799" s="29" t="s">
        <v>1050</v>
      </c>
      <c r="D799" s="29" t="s">
        <v>1086</v>
      </c>
      <c r="E799" s="29">
        <v>350</v>
      </c>
      <c r="G799" s="29" t="s">
        <v>1035</v>
      </c>
      <c r="H799" s="29">
        <v>1</v>
      </c>
      <c r="I799" s="29">
        <v>4.43</v>
      </c>
      <c r="J799" s="29">
        <v>1.5504999999999998</v>
      </c>
      <c r="K799" s="29">
        <v>1.5504999999999998</v>
      </c>
      <c r="L799" s="29" t="s">
        <v>1032</v>
      </c>
      <c r="M799" s="29">
        <v>1</v>
      </c>
      <c r="N799" s="29">
        <v>0.35</v>
      </c>
      <c r="O799" s="29">
        <v>1</v>
      </c>
      <c r="P799" s="29">
        <v>1.5504999999999998</v>
      </c>
      <c r="Q799" s="29" t="s">
        <v>1033</v>
      </c>
    </row>
    <row r="800" spans="1:18" x14ac:dyDescent="0.3">
      <c r="B800" s="29">
        <v>2</v>
      </c>
      <c r="C800" s="29" t="s">
        <v>1050</v>
      </c>
      <c r="D800" s="29" t="s">
        <v>1086</v>
      </c>
      <c r="E800" s="29">
        <v>500</v>
      </c>
      <c r="G800" s="29" t="s">
        <v>1035</v>
      </c>
      <c r="H800" s="29">
        <v>1</v>
      </c>
      <c r="I800" s="29">
        <v>4.43</v>
      </c>
      <c r="J800" s="29">
        <v>2.2149999999999999</v>
      </c>
      <c r="K800" s="29">
        <v>2.2149999999999999</v>
      </c>
      <c r="L800" s="29" t="s">
        <v>1032</v>
      </c>
      <c r="M800" s="29">
        <v>1</v>
      </c>
      <c r="N800" s="29">
        <v>0.5</v>
      </c>
      <c r="O800" s="29">
        <v>1</v>
      </c>
      <c r="P800" s="29">
        <v>2.2149999999999999</v>
      </c>
      <c r="Q800" s="29" t="s">
        <v>1033</v>
      </c>
    </row>
    <row r="801" spans="1:17" x14ac:dyDescent="0.3">
      <c r="A801" s="29" t="s">
        <v>535</v>
      </c>
      <c r="B801" s="29">
        <v>1</v>
      </c>
      <c r="C801" s="29" t="s">
        <v>1050</v>
      </c>
      <c r="D801" s="29" t="s">
        <v>1086</v>
      </c>
      <c r="E801" s="29">
        <v>350</v>
      </c>
      <c r="G801" s="29" t="s">
        <v>1035</v>
      </c>
      <c r="H801" s="29">
        <v>1</v>
      </c>
      <c r="I801" s="29">
        <v>4.43</v>
      </c>
      <c r="J801" s="29">
        <v>1.5504999999999998</v>
      </c>
      <c r="K801" s="29">
        <v>1.5504999999999998</v>
      </c>
      <c r="L801" s="29" t="s">
        <v>1032</v>
      </c>
      <c r="M801" s="29">
        <v>1</v>
      </c>
      <c r="N801" s="29">
        <v>0.35</v>
      </c>
      <c r="O801" s="29">
        <v>1</v>
      </c>
      <c r="P801" s="29">
        <v>1.5504999999999998</v>
      </c>
      <c r="Q801" s="29" t="s">
        <v>1033</v>
      </c>
    </row>
    <row r="802" spans="1:17" x14ac:dyDescent="0.3">
      <c r="B802" s="29">
        <v>2</v>
      </c>
      <c r="C802" s="29" t="s">
        <v>1050</v>
      </c>
      <c r="D802" s="29" t="s">
        <v>1086</v>
      </c>
      <c r="E802" s="29">
        <v>500</v>
      </c>
      <c r="G802" s="29" t="s">
        <v>1035</v>
      </c>
      <c r="H802" s="29">
        <v>1</v>
      </c>
      <c r="I802" s="29">
        <v>4.43</v>
      </c>
      <c r="J802" s="29">
        <v>2.2149999999999999</v>
      </c>
      <c r="K802" s="29">
        <v>2.2149999999999999</v>
      </c>
      <c r="L802" s="29" t="s">
        <v>1032</v>
      </c>
      <c r="M802" s="29">
        <v>1</v>
      </c>
      <c r="N802" s="29">
        <v>0.5</v>
      </c>
      <c r="O802" s="29">
        <v>1</v>
      </c>
      <c r="P802" s="29">
        <v>2.2149999999999999</v>
      </c>
      <c r="Q802" s="29" t="s">
        <v>1033</v>
      </c>
    </row>
    <row r="803" spans="1:17" x14ac:dyDescent="0.3">
      <c r="A803" s="29" t="s">
        <v>536</v>
      </c>
      <c r="B803" s="29">
        <v>1</v>
      </c>
      <c r="C803" s="29" t="s">
        <v>1050</v>
      </c>
      <c r="D803" s="29" t="s">
        <v>1086</v>
      </c>
      <c r="E803" s="29">
        <v>450</v>
      </c>
      <c r="G803" s="29" t="s">
        <v>1035</v>
      </c>
      <c r="H803" s="29">
        <v>1</v>
      </c>
      <c r="I803" s="29">
        <v>4.43</v>
      </c>
      <c r="J803" s="29">
        <v>1.9934999999999998</v>
      </c>
      <c r="K803" s="29">
        <v>1.9934999999999998</v>
      </c>
      <c r="L803" s="29" t="s">
        <v>1032</v>
      </c>
      <c r="M803" s="29">
        <v>1</v>
      </c>
      <c r="N803" s="29">
        <v>0.45</v>
      </c>
      <c r="O803" s="29">
        <v>1</v>
      </c>
      <c r="P803" s="29">
        <v>1.9934999999999998</v>
      </c>
      <c r="Q803" s="29" t="s">
        <v>1033</v>
      </c>
    </row>
    <row r="804" spans="1:17" x14ac:dyDescent="0.3">
      <c r="B804" s="29">
        <v>2</v>
      </c>
      <c r="C804" s="29" t="s">
        <v>1050</v>
      </c>
      <c r="D804" s="29" t="s">
        <v>1086</v>
      </c>
      <c r="E804" s="29">
        <v>300</v>
      </c>
      <c r="G804" s="29" t="s">
        <v>1035</v>
      </c>
      <c r="H804" s="29">
        <v>1</v>
      </c>
      <c r="I804" s="29">
        <v>4.43</v>
      </c>
      <c r="J804" s="29">
        <v>1.329</v>
      </c>
      <c r="K804" s="29">
        <v>1.329</v>
      </c>
      <c r="L804" s="29" t="s">
        <v>1032</v>
      </c>
      <c r="M804" s="29">
        <v>1</v>
      </c>
      <c r="N804" s="29">
        <v>0.3</v>
      </c>
      <c r="O804" s="29">
        <v>1</v>
      </c>
      <c r="P804" s="29">
        <v>1.329</v>
      </c>
      <c r="Q804" s="29" t="s">
        <v>1033</v>
      </c>
    </row>
    <row r="805" spans="1:17" x14ac:dyDescent="0.3">
      <c r="A805" s="29" t="s">
        <v>536</v>
      </c>
      <c r="B805" s="29">
        <v>1</v>
      </c>
      <c r="C805" s="29" t="s">
        <v>1050</v>
      </c>
      <c r="D805" s="29" t="s">
        <v>1086</v>
      </c>
      <c r="E805" s="29">
        <v>450</v>
      </c>
      <c r="G805" s="29" t="s">
        <v>1035</v>
      </c>
      <c r="H805" s="29">
        <v>1</v>
      </c>
      <c r="I805" s="29">
        <v>4.43</v>
      </c>
      <c r="J805" s="29">
        <v>1.9934999999999998</v>
      </c>
      <c r="K805" s="29">
        <v>1.9934999999999998</v>
      </c>
      <c r="L805" s="29" t="s">
        <v>1032</v>
      </c>
      <c r="M805" s="29">
        <v>1</v>
      </c>
      <c r="N805" s="29">
        <v>0.45</v>
      </c>
      <c r="O805" s="29">
        <v>1</v>
      </c>
      <c r="P805" s="29">
        <v>1.9934999999999998</v>
      </c>
      <c r="Q805" s="29" t="s">
        <v>1033</v>
      </c>
    </row>
    <row r="806" spans="1:17" x14ac:dyDescent="0.3">
      <c r="B806" s="29">
        <v>2</v>
      </c>
      <c r="C806" s="29" t="s">
        <v>1050</v>
      </c>
      <c r="D806" s="29" t="s">
        <v>1086</v>
      </c>
      <c r="E806" s="29">
        <v>300</v>
      </c>
      <c r="G806" s="29" t="s">
        <v>1035</v>
      </c>
      <c r="H806" s="29">
        <v>1</v>
      </c>
      <c r="I806" s="29">
        <v>4.43</v>
      </c>
      <c r="J806" s="29">
        <v>1.329</v>
      </c>
      <c r="K806" s="29">
        <v>1.329</v>
      </c>
      <c r="L806" s="29" t="s">
        <v>1032</v>
      </c>
      <c r="M806" s="29">
        <v>1</v>
      </c>
      <c r="N806" s="29">
        <v>0.3</v>
      </c>
      <c r="O806" s="29">
        <v>1</v>
      </c>
      <c r="P806" s="29">
        <v>1.329</v>
      </c>
      <c r="Q806" s="29" t="s">
        <v>1033</v>
      </c>
    </row>
    <row r="807" spans="1:17" x14ac:dyDescent="0.3">
      <c r="A807" s="29" t="s">
        <v>536</v>
      </c>
      <c r="B807" s="29">
        <v>1</v>
      </c>
      <c r="C807" s="29" t="s">
        <v>1050</v>
      </c>
      <c r="D807" s="29" t="s">
        <v>1086</v>
      </c>
      <c r="E807" s="29">
        <v>450</v>
      </c>
      <c r="G807" s="29" t="s">
        <v>1035</v>
      </c>
      <c r="H807" s="29">
        <v>1</v>
      </c>
      <c r="I807" s="29">
        <v>4.43</v>
      </c>
      <c r="J807" s="29">
        <v>1.9934999999999998</v>
      </c>
      <c r="K807" s="29">
        <v>1.9934999999999998</v>
      </c>
      <c r="L807" s="29" t="s">
        <v>1032</v>
      </c>
      <c r="M807" s="29">
        <v>1</v>
      </c>
      <c r="N807" s="29">
        <v>0.45</v>
      </c>
      <c r="O807" s="29">
        <v>1</v>
      </c>
      <c r="P807" s="29">
        <v>1.9934999999999998</v>
      </c>
      <c r="Q807" s="29" t="s">
        <v>1033</v>
      </c>
    </row>
    <row r="808" spans="1:17" x14ac:dyDescent="0.3">
      <c r="B808" s="29">
        <v>2</v>
      </c>
      <c r="C808" s="29" t="s">
        <v>1050</v>
      </c>
      <c r="D808" s="29" t="s">
        <v>1086</v>
      </c>
      <c r="E808" s="29">
        <v>300</v>
      </c>
      <c r="G808" s="29" t="s">
        <v>1035</v>
      </c>
      <c r="H808" s="29">
        <v>1</v>
      </c>
      <c r="I808" s="29">
        <v>4.43</v>
      </c>
      <c r="J808" s="29">
        <v>1.329</v>
      </c>
      <c r="K808" s="29">
        <v>1.329</v>
      </c>
      <c r="L808" s="29" t="s">
        <v>1032</v>
      </c>
      <c r="M808" s="29">
        <v>1</v>
      </c>
      <c r="N808" s="29">
        <v>0.3</v>
      </c>
      <c r="O808" s="29">
        <v>1</v>
      </c>
      <c r="P808" s="29">
        <v>1.329</v>
      </c>
      <c r="Q808" s="29" t="s">
        <v>1033</v>
      </c>
    </row>
    <row r="809" spans="1:17" x14ac:dyDescent="0.3">
      <c r="A809" s="29" t="s">
        <v>536</v>
      </c>
      <c r="B809" s="29">
        <v>1</v>
      </c>
      <c r="C809" s="29" t="s">
        <v>1050</v>
      </c>
      <c r="D809" s="29" t="s">
        <v>1086</v>
      </c>
      <c r="E809" s="29">
        <v>450</v>
      </c>
      <c r="G809" s="29" t="s">
        <v>1035</v>
      </c>
      <c r="H809" s="29">
        <v>1</v>
      </c>
      <c r="I809" s="29">
        <v>4.43</v>
      </c>
      <c r="J809" s="29">
        <v>1.9934999999999998</v>
      </c>
      <c r="K809" s="29">
        <v>1.9934999999999998</v>
      </c>
      <c r="L809" s="29" t="s">
        <v>1032</v>
      </c>
      <c r="M809" s="29">
        <v>1</v>
      </c>
      <c r="N809" s="29">
        <v>0.45</v>
      </c>
      <c r="O809" s="29">
        <v>1</v>
      </c>
      <c r="P809" s="29">
        <v>1.9934999999999998</v>
      </c>
      <c r="Q809" s="29" t="s">
        <v>1033</v>
      </c>
    </row>
    <row r="810" spans="1:17" x14ac:dyDescent="0.3">
      <c r="B810" s="29">
        <v>2</v>
      </c>
      <c r="C810" s="29" t="s">
        <v>1050</v>
      </c>
      <c r="D810" s="29" t="s">
        <v>1086</v>
      </c>
      <c r="E810" s="29">
        <v>300</v>
      </c>
      <c r="G810" s="29" t="s">
        <v>1035</v>
      </c>
      <c r="H810" s="29">
        <v>1</v>
      </c>
      <c r="I810" s="29">
        <v>4.43</v>
      </c>
      <c r="J810" s="29">
        <v>1.329</v>
      </c>
      <c r="K810" s="29">
        <v>1.329</v>
      </c>
      <c r="L810" s="29" t="s">
        <v>1032</v>
      </c>
      <c r="M810" s="29">
        <v>1</v>
      </c>
      <c r="N810" s="29">
        <v>0.3</v>
      </c>
      <c r="O810" s="29">
        <v>1</v>
      </c>
      <c r="P810" s="29">
        <v>1.329</v>
      </c>
      <c r="Q810" s="29" t="s">
        <v>1033</v>
      </c>
    </row>
    <row r="811" spans="1:17" x14ac:dyDescent="0.3">
      <c r="A811" s="29" t="s">
        <v>536</v>
      </c>
      <c r="B811" s="29">
        <v>1</v>
      </c>
      <c r="C811" s="29" t="s">
        <v>1050</v>
      </c>
      <c r="D811" s="29" t="s">
        <v>1086</v>
      </c>
      <c r="E811" s="29">
        <v>450</v>
      </c>
      <c r="G811" s="29" t="s">
        <v>1035</v>
      </c>
      <c r="H811" s="29">
        <v>1</v>
      </c>
      <c r="I811" s="29">
        <v>4.43</v>
      </c>
      <c r="J811" s="29">
        <v>1.9934999999999998</v>
      </c>
      <c r="K811" s="29">
        <v>1.9934999999999998</v>
      </c>
      <c r="L811" s="29" t="s">
        <v>1032</v>
      </c>
      <c r="M811" s="29">
        <v>1</v>
      </c>
      <c r="N811" s="29">
        <v>0.45</v>
      </c>
      <c r="O811" s="29">
        <v>1</v>
      </c>
      <c r="P811" s="29">
        <v>1.9934999999999998</v>
      </c>
      <c r="Q811" s="29" t="s">
        <v>1033</v>
      </c>
    </row>
    <row r="812" spans="1:17" x14ac:dyDescent="0.3">
      <c r="B812" s="29">
        <v>2</v>
      </c>
      <c r="C812" s="29" t="s">
        <v>1050</v>
      </c>
      <c r="D812" s="29" t="s">
        <v>1086</v>
      </c>
      <c r="E812" s="29">
        <v>300</v>
      </c>
      <c r="G812" s="29" t="s">
        <v>1035</v>
      </c>
      <c r="H812" s="29">
        <v>1</v>
      </c>
      <c r="I812" s="29">
        <v>4.43</v>
      </c>
      <c r="J812" s="29">
        <v>1.329</v>
      </c>
      <c r="K812" s="29">
        <v>1.329</v>
      </c>
      <c r="L812" s="29" t="s">
        <v>1032</v>
      </c>
      <c r="M812" s="29">
        <v>1</v>
      </c>
      <c r="N812" s="29">
        <v>0.3</v>
      </c>
      <c r="O812" s="29">
        <v>1</v>
      </c>
      <c r="P812" s="29">
        <v>1.329</v>
      </c>
      <c r="Q812" s="29" t="s">
        <v>1033</v>
      </c>
    </row>
    <row r="813" spans="1:17" x14ac:dyDescent="0.3">
      <c r="A813" s="29" t="s">
        <v>537</v>
      </c>
      <c r="B813" s="29">
        <v>1</v>
      </c>
      <c r="C813" s="29" t="s">
        <v>1050</v>
      </c>
      <c r="D813" s="29" t="s">
        <v>1086</v>
      </c>
      <c r="E813" s="29">
        <v>450</v>
      </c>
      <c r="G813" s="29" t="s">
        <v>1035</v>
      </c>
      <c r="H813" s="29">
        <v>1</v>
      </c>
      <c r="I813" s="29">
        <v>4.43</v>
      </c>
      <c r="J813" s="29">
        <v>1.9934999999999998</v>
      </c>
      <c r="K813" s="29">
        <v>1.9934999999999998</v>
      </c>
      <c r="L813" s="29" t="s">
        <v>1032</v>
      </c>
      <c r="M813" s="29">
        <v>1</v>
      </c>
      <c r="N813" s="29">
        <v>0.45</v>
      </c>
      <c r="O813" s="29">
        <v>1</v>
      </c>
      <c r="P813" s="29">
        <v>1.9934999999999998</v>
      </c>
      <c r="Q813" s="29" t="s">
        <v>1033</v>
      </c>
    </row>
    <row r="814" spans="1:17" x14ac:dyDescent="0.3">
      <c r="B814" s="29">
        <v>2</v>
      </c>
      <c r="C814" s="29" t="s">
        <v>1050</v>
      </c>
      <c r="D814" s="29" t="s">
        <v>1086</v>
      </c>
      <c r="E814" s="29">
        <v>500</v>
      </c>
      <c r="G814" s="29" t="s">
        <v>1035</v>
      </c>
      <c r="H814" s="29">
        <v>1</v>
      </c>
      <c r="I814" s="29">
        <v>4.43</v>
      </c>
      <c r="J814" s="29">
        <v>2.2149999999999999</v>
      </c>
      <c r="K814" s="29">
        <v>2.2149999999999999</v>
      </c>
      <c r="L814" s="29" t="s">
        <v>1032</v>
      </c>
      <c r="M814" s="29">
        <v>1</v>
      </c>
      <c r="N814" s="29">
        <v>0.5</v>
      </c>
      <c r="O814" s="29">
        <v>1</v>
      </c>
      <c r="P814" s="29">
        <v>2.2149999999999999</v>
      </c>
      <c r="Q814" s="29" t="s">
        <v>1033</v>
      </c>
    </row>
    <row r="815" spans="1:17" x14ac:dyDescent="0.3">
      <c r="A815" s="29" t="s">
        <v>537</v>
      </c>
      <c r="B815" s="29">
        <v>1</v>
      </c>
      <c r="C815" s="29" t="s">
        <v>1050</v>
      </c>
      <c r="D815" s="29" t="s">
        <v>1086</v>
      </c>
      <c r="E815" s="29">
        <v>450</v>
      </c>
      <c r="G815" s="29" t="s">
        <v>1035</v>
      </c>
      <c r="H815" s="29">
        <v>1</v>
      </c>
      <c r="I815" s="29">
        <v>4.43</v>
      </c>
      <c r="J815" s="29">
        <v>1.9934999999999998</v>
      </c>
      <c r="K815" s="29">
        <v>1.9934999999999998</v>
      </c>
      <c r="L815" s="29" t="s">
        <v>1032</v>
      </c>
      <c r="M815" s="29">
        <v>1</v>
      </c>
      <c r="N815" s="29">
        <v>0.45</v>
      </c>
      <c r="O815" s="29">
        <v>1</v>
      </c>
      <c r="P815" s="29">
        <v>1.9934999999999998</v>
      </c>
      <c r="Q815" s="29" t="s">
        <v>1033</v>
      </c>
    </row>
    <row r="816" spans="1:17" x14ac:dyDescent="0.3">
      <c r="B816" s="29">
        <v>2</v>
      </c>
      <c r="C816" s="29" t="s">
        <v>1050</v>
      </c>
      <c r="D816" s="29" t="s">
        <v>1086</v>
      </c>
      <c r="E816" s="29">
        <v>500</v>
      </c>
      <c r="G816" s="29" t="s">
        <v>1035</v>
      </c>
      <c r="H816" s="29">
        <v>1</v>
      </c>
      <c r="I816" s="29">
        <v>4.43</v>
      </c>
      <c r="J816" s="29">
        <v>2.2149999999999999</v>
      </c>
      <c r="K816" s="29">
        <v>2.2149999999999999</v>
      </c>
      <c r="L816" s="29" t="s">
        <v>1032</v>
      </c>
      <c r="M816" s="29">
        <v>1</v>
      </c>
      <c r="N816" s="29">
        <v>0.5</v>
      </c>
      <c r="O816" s="29">
        <v>1</v>
      </c>
      <c r="P816" s="29">
        <v>2.2149999999999999</v>
      </c>
      <c r="Q816" s="29" t="s">
        <v>1033</v>
      </c>
    </row>
    <row r="817" spans="1:17" x14ac:dyDescent="0.3">
      <c r="A817" s="29" t="s">
        <v>538</v>
      </c>
      <c r="B817" s="29">
        <v>1</v>
      </c>
      <c r="C817" s="29" t="s">
        <v>1050</v>
      </c>
      <c r="D817" s="29" t="s">
        <v>1086</v>
      </c>
      <c r="E817" s="29">
        <v>550</v>
      </c>
      <c r="G817" s="29" t="s">
        <v>1035</v>
      </c>
      <c r="H817" s="29">
        <v>1</v>
      </c>
      <c r="I817" s="29">
        <v>4.43</v>
      </c>
      <c r="J817" s="29">
        <v>2.4365000000000001</v>
      </c>
      <c r="K817" s="29">
        <v>2.4365000000000001</v>
      </c>
      <c r="L817" s="29" t="s">
        <v>1032</v>
      </c>
      <c r="M817" s="29">
        <v>1</v>
      </c>
      <c r="N817" s="29">
        <v>0.55000000000000004</v>
      </c>
      <c r="O817" s="29">
        <v>1</v>
      </c>
      <c r="P817" s="29">
        <v>2.4365000000000001</v>
      </c>
      <c r="Q817" s="29" t="s">
        <v>1033</v>
      </c>
    </row>
    <row r="818" spans="1:17" x14ac:dyDescent="0.3">
      <c r="B818" s="29">
        <v>2</v>
      </c>
      <c r="C818" s="29" t="s">
        <v>1050</v>
      </c>
      <c r="D818" s="29" t="s">
        <v>1086</v>
      </c>
      <c r="E818" s="29">
        <v>300</v>
      </c>
      <c r="G818" s="29" t="s">
        <v>1035</v>
      </c>
      <c r="H818" s="29">
        <v>1</v>
      </c>
      <c r="I818" s="29">
        <v>4.43</v>
      </c>
      <c r="J818" s="29">
        <v>1.329</v>
      </c>
      <c r="K818" s="29">
        <v>1.329</v>
      </c>
      <c r="L818" s="29" t="s">
        <v>1032</v>
      </c>
      <c r="M818" s="29">
        <v>1</v>
      </c>
      <c r="N818" s="29">
        <v>0.3</v>
      </c>
      <c r="O818" s="29">
        <v>1</v>
      </c>
      <c r="P818" s="29">
        <v>1.329</v>
      </c>
      <c r="Q818" s="29" t="s">
        <v>1033</v>
      </c>
    </row>
    <row r="819" spans="1:17" x14ac:dyDescent="0.3">
      <c r="A819" s="29" t="s">
        <v>539</v>
      </c>
      <c r="B819" s="29">
        <v>1</v>
      </c>
      <c r="C819" s="29" t="s">
        <v>1050</v>
      </c>
      <c r="D819" s="29" t="s">
        <v>1086</v>
      </c>
      <c r="E819" s="29">
        <v>650</v>
      </c>
      <c r="G819" s="29" t="s">
        <v>1035</v>
      </c>
      <c r="H819" s="29">
        <v>1</v>
      </c>
      <c r="I819" s="29">
        <v>4.43</v>
      </c>
      <c r="J819" s="29">
        <v>2.8794999999999997</v>
      </c>
      <c r="K819" s="29">
        <v>2.8794999999999997</v>
      </c>
      <c r="L819" s="29" t="s">
        <v>1032</v>
      </c>
      <c r="M819" s="29">
        <v>1</v>
      </c>
      <c r="N819" s="29">
        <v>0.65</v>
      </c>
      <c r="O819" s="29">
        <v>1</v>
      </c>
      <c r="P819" s="29">
        <v>2.8794999999999997</v>
      </c>
      <c r="Q819" s="29" t="s">
        <v>1033</v>
      </c>
    </row>
    <row r="820" spans="1:17" x14ac:dyDescent="0.3">
      <c r="B820" s="29">
        <v>2</v>
      </c>
      <c r="C820" s="29" t="s">
        <v>1050</v>
      </c>
      <c r="D820" s="29" t="s">
        <v>1086</v>
      </c>
      <c r="E820" s="29">
        <v>300</v>
      </c>
      <c r="G820" s="29" t="s">
        <v>1035</v>
      </c>
      <c r="H820" s="29">
        <v>1</v>
      </c>
      <c r="I820" s="29">
        <v>4.43</v>
      </c>
      <c r="J820" s="29">
        <v>1.329</v>
      </c>
      <c r="K820" s="29">
        <v>1.329</v>
      </c>
      <c r="L820" s="29" t="s">
        <v>1032</v>
      </c>
      <c r="M820" s="29">
        <v>1</v>
      </c>
      <c r="N820" s="29">
        <v>0.3</v>
      </c>
      <c r="O820" s="29">
        <v>1</v>
      </c>
      <c r="P820" s="29">
        <v>1.329</v>
      </c>
      <c r="Q820" s="29" t="s">
        <v>1033</v>
      </c>
    </row>
    <row r="821" spans="1:17" x14ac:dyDescent="0.3">
      <c r="A821" s="29" t="s">
        <v>539</v>
      </c>
      <c r="B821" s="29">
        <v>1</v>
      </c>
      <c r="C821" s="29" t="s">
        <v>1050</v>
      </c>
      <c r="D821" s="29" t="s">
        <v>1086</v>
      </c>
      <c r="E821" s="29">
        <v>650</v>
      </c>
      <c r="G821" s="29" t="s">
        <v>1035</v>
      </c>
      <c r="H821" s="29">
        <v>1</v>
      </c>
      <c r="I821" s="29">
        <v>4.43</v>
      </c>
      <c r="J821" s="29">
        <v>2.8794999999999997</v>
      </c>
      <c r="K821" s="29">
        <v>2.8794999999999997</v>
      </c>
      <c r="L821" s="29" t="s">
        <v>1032</v>
      </c>
      <c r="M821" s="29">
        <v>1</v>
      </c>
      <c r="N821" s="29">
        <v>0.65</v>
      </c>
      <c r="O821" s="29">
        <v>1</v>
      </c>
      <c r="P821" s="29">
        <v>2.8794999999999997</v>
      </c>
      <c r="Q821" s="29" t="s">
        <v>1033</v>
      </c>
    </row>
    <row r="822" spans="1:17" x14ac:dyDescent="0.3">
      <c r="B822" s="29">
        <v>2</v>
      </c>
      <c r="C822" s="29" t="s">
        <v>1050</v>
      </c>
      <c r="D822" s="29" t="s">
        <v>1086</v>
      </c>
      <c r="E822" s="29">
        <v>300</v>
      </c>
      <c r="G822" s="29" t="s">
        <v>1035</v>
      </c>
      <c r="H822" s="29">
        <v>1</v>
      </c>
      <c r="I822" s="29">
        <v>4.43</v>
      </c>
      <c r="J822" s="29">
        <v>1.329</v>
      </c>
      <c r="K822" s="29">
        <v>1.329</v>
      </c>
      <c r="L822" s="29" t="s">
        <v>1032</v>
      </c>
      <c r="M822" s="29">
        <v>1</v>
      </c>
      <c r="N822" s="29">
        <v>0.3</v>
      </c>
      <c r="O822" s="29">
        <v>1</v>
      </c>
      <c r="P822" s="29">
        <v>1.329</v>
      </c>
      <c r="Q822" s="29" t="s">
        <v>1033</v>
      </c>
    </row>
    <row r="823" spans="1:17" x14ac:dyDescent="0.3">
      <c r="A823" s="29" t="s">
        <v>539</v>
      </c>
      <c r="B823" s="29">
        <v>1</v>
      </c>
      <c r="C823" s="29" t="s">
        <v>1050</v>
      </c>
      <c r="D823" s="29" t="s">
        <v>1086</v>
      </c>
      <c r="E823" s="29">
        <v>650</v>
      </c>
      <c r="G823" s="29" t="s">
        <v>1035</v>
      </c>
      <c r="H823" s="29">
        <v>1</v>
      </c>
      <c r="I823" s="29">
        <v>4.43</v>
      </c>
      <c r="J823" s="29">
        <v>2.8794999999999997</v>
      </c>
      <c r="K823" s="29">
        <v>2.8794999999999997</v>
      </c>
      <c r="L823" s="29" t="s">
        <v>1032</v>
      </c>
      <c r="M823" s="29">
        <v>1</v>
      </c>
      <c r="N823" s="29">
        <v>0.65</v>
      </c>
      <c r="O823" s="29">
        <v>1</v>
      </c>
      <c r="P823" s="29">
        <v>2.8794999999999997</v>
      </c>
      <c r="Q823" s="29" t="s">
        <v>1033</v>
      </c>
    </row>
    <row r="824" spans="1:17" x14ac:dyDescent="0.3">
      <c r="B824" s="29">
        <v>2</v>
      </c>
      <c r="C824" s="29" t="s">
        <v>1050</v>
      </c>
      <c r="D824" s="29" t="s">
        <v>1086</v>
      </c>
      <c r="E824" s="29">
        <v>300</v>
      </c>
      <c r="G824" s="29" t="s">
        <v>1035</v>
      </c>
      <c r="H824" s="29">
        <v>1</v>
      </c>
      <c r="I824" s="29">
        <v>4.43</v>
      </c>
      <c r="J824" s="29">
        <v>1.329</v>
      </c>
      <c r="K824" s="29">
        <v>1.329</v>
      </c>
      <c r="L824" s="29" t="s">
        <v>1032</v>
      </c>
      <c r="M824" s="29">
        <v>1</v>
      </c>
      <c r="N824" s="29">
        <v>0.3</v>
      </c>
      <c r="O824" s="29">
        <v>1</v>
      </c>
      <c r="P824" s="29">
        <v>1.329</v>
      </c>
      <c r="Q824" s="29" t="s">
        <v>1033</v>
      </c>
    </row>
    <row r="825" spans="1:17" x14ac:dyDescent="0.3">
      <c r="A825" s="29" t="s">
        <v>540</v>
      </c>
      <c r="B825" s="29">
        <v>1</v>
      </c>
      <c r="C825" s="29" t="s">
        <v>1050</v>
      </c>
      <c r="D825" s="29" t="s">
        <v>1086</v>
      </c>
      <c r="E825" s="29">
        <v>650</v>
      </c>
      <c r="G825" s="29" t="s">
        <v>1035</v>
      </c>
      <c r="H825" s="29">
        <v>1</v>
      </c>
      <c r="I825" s="29">
        <v>4.43</v>
      </c>
      <c r="J825" s="29">
        <v>2.8794999999999997</v>
      </c>
      <c r="K825" s="29">
        <v>2.8794999999999997</v>
      </c>
      <c r="L825" s="29" t="s">
        <v>1032</v>
      </c>
      <c r="M825" s="29">
        <v>1</v>
      </c>
      <c r="N825" s="29">
        <v>0.65</v>
      </c>
      <c r="O825" s="29">
        <v>1</v>
      </c>
      <c r="P825" s="29">
        <v>2.8794999999999997</v>
      </c>
      <c r="Q825" s="29" t="s">
        <v>1033</v>
      </c>
    </row>
    <row r="826" spans="1:17" x14ac:dyDescent="0.3">
      <c r="B826" s="29">
        <v>2</v>
      </c>
      <c r="C826" s="29" t="s">
        <v>1050</v>
      </c>
      <c r="D826" s="29" t="s">
        <v>1086</v>
      </c>
      <c r="E826" s="29">
        <v>500</v>
      </c>
      <c r="G826" s="29" t="s">
        <v>1035</v>
      </c>
      <c r="H826" s="29">
        <v>1</v>
      </c>
      <c r="I826" s="29">
        <v>4.43</v>
      </c>
      <c r="J826" s="29">
        <v>2.2149999999999999</v>
      </c>
      <c r="K826" s="29">
        <v>2.2149999999999999</v>
      </c>
      <c r="L826" s="29" t="s">
        <v>1032</v>
      </c>
      <c r="M826" s="29">
        <v>1</v>
      </c>
      <c r="N826" s="29">
        <v>0.5</v>
      </c>
      <c r="O826" s="29">
        <v>1</v>
      </c>
      <c r="P826" s="29">
        <v>2.2149999999999999</v>
      </c>
      <c r="Q826" s="29" t="s">
        <v>1033</v>
      </c>
    </row>
    <row r="827" spans="1:17" x14ac:dyDescent="0.3">
      <c r="A827" s="29" t="s">
        <v>541</v>
      </c>
      <c r="B827" s="29">
        <v>1</v>
      </c>
      <c r="C827" s="29" t="s">
        <v>1050</v>
      </c>
      <c r="D827" s="29" t="s">
        <v>1086</v>
      </c>
      <c r="E827" s="29">
        <v>750</v>
      </c>
      <c r="G827" s="29" t="s">
        <v>1035</v>
      </c>
      <c r="H827" s="29">
        <v>1</v>
      </c>
      <c r="I827" s="29">
        <v>4.43</v>
      </c>
      <c r="J827" s="29">
        <v>3.3224999999999998</v>
      </c>
      <c r="K827" s="29">
        <v>3.3224999999999998</v>
      </c>
      <c r="L827" s="29" t="s">
        <v>1032</v>
      </c>
      <c r="M827" s="29">
        <v>1</v>
      </c>
      <c r="N827" s="29">
        <v>0.75</v>
      </c>
      <c r="O827" s="29">
        <v>1</v>
      </c>
      <c r="P827" s="29">
        <v>3.3224999999999998</v>
      </c>
      <c r="Q827" s="29" t="s">
        <v>1033</v>
      </c>
    </row>
    <row r="828" spans="1:17" x14ac:dyDescent="0.3">
      <c r="B828" s="29">
        <v>2</v>
      </c>
      <c r="C828" s="29" t="s">
        <v>1050</v>
      </c>
      <c r="D828" s="29" t="s">
        <v>1086</v>
      </c>
      <c r="E828" s="29">
        <v>300</v>
      </c>
      <c r="G828" s="29" t="s">
        <v>1035</v>
      </c>
      <c r="H828" s="29">
        <v>1</v>
      </c>
      <c r="I828" s="29">
        <v>4.43</v>
      </c>
      <c r="J828" s="29">
        <v>1.329</v>
      </c>
      <c r="K828" s="29">
        <v>1.329</v>
      </c>
      <c r="L828" s="29" t="s">
        <v>1032</v>
      </c>
      <c r="M828" s="29">
        <v>1</v>
      </c>
      <c r="N828" s="29">
        <v>0.3</v>
      </c>
      <c r="O828" s="29">
        <v>1</v>
      </c>
      <c r="P828" s="29">
        <v>1.329</v>
      </c>
      <c r="Q828" s="29" t="s">
        <v>1033</v>
      </c>
    </row>
    <row r="829" spans="1:17" x14ac:dyDescent="0.3">
      <c r="A829" s="29" t="s">
        <v>541</v>
      </c>
      <c r="B829" s="29">
        <v>1</v>
      </c>
      <c r="C829" s="29" t="s">
        <v>1050</v>
      </c>
      <c r="D829" s="29" t="s">
        <v>1086</v>
      </c>
      <c r="E829" s="29">
        <v>750</v>
      </c>
      <c r="G829" s="29" t="s">
        <v>1035</v>
      </c>
      <c r="H829" s="29">
        <v>1</v>
      </c>
      <c r="I829" s="29">
        <v>4.43</v>
      </c>
      <c r="J829" s="29">
        <v>3.3224999999999998</v>
      </c>
      <c r="K829" s="29">
        <v>3.3224999999999998</v>
      </c>
      <c r="L829" s="29" t="s">
        <v>1032</v>
      </c>
      <c r="M829" s="29">
        <v>1</v>
      </c>
      <c r="N829" s="29">
        <v>0.75</v>
      </c>
      <c r="O829" s="29">
        <v>1</v>
      </c>
      <c r="P829" s="29">
        <v>3.3224999999999998</v>
      </c>
      <c r="Q829" s="29" t="s">
        <v>1033</v>
      </c>
    </row>
    <row r="830" spans="1:17" x14ac:dyDescent="0.3">
      <c r="B830" s="29">
        <v>2</v>
      </c>
      <c r="C830" s="29" t="s">
        <v>1050</v>
      </c>
      <c r="D830" s="29" t="s">
        <v>1086</v>
      </c>
      <c r="E830" s="29">
        <v>300</v>
      </c>
      <c r="G830" s="29" t="s">
        <v>1035</v>
      </c>
      <c r="H830" s="29">
        <v>1</v>
      </c>
      <c r="I830" s="29">
        <v>4.43</v>
      </c>
      <c r="J830" s="29">
        <v>1.329</v>
      </c>
      <c r="K830" s="29">
        <v>1.329</v>
      </c>
      <c r="L830" s="29" t="s">
        <v>1032</v>
      </c>
      <c r="M830" s="29">
        <v>1</v>
      </c>
      <c r="N830" s="29">
        <v>0.3</v>
      </c>
      <c r="O830" s="29">
        <v>1</v>
      </c>
      <c r="P830" s="29">
        <v>1.329</v>
      </c>
      <c r="Q830" s="29" t="s">
        <v>1033</v>
      </c>
    </row>
    <row r="831" spans="1:17" x14ac:dyDescent="0.3">
      <c r="A831" s="29" t="s">
        <v>542</v>
      </c>
      <c r="B831" s="29">
        <v>1</v>
      </c>
      <c r="C831" s="29" t="s">
        <v>1050</v>
      </c>
      <c r="D831" s="29" t="s">
        <v>1086</v>
      </c>
      <c r="E831" s="29">
        <v>950</v>
      </c>
      <c r="G831" s="29" t="s">
        <v>1035</v>
      </c>
      <c r="H831" s="29">
        <v>1</v>
      </c>
      <c r="I831" s="29">
        <v>4.43</v>
      </c>
      <c r="J831" s="29">
        <v>4.2084999999999999</v>
      </c>
      <c r="K831" s="29">
        <v>4.2084999999999999</v>
      </c>
      <c r="L831" s="29" t="s">
        <v>1032</v>
      </c>
      <c r="M831" s="29">
        <v>1</v>
      </c>
      <c r="N831" s="29">
        <v>0.95</v>
      </c>
      <c r="O831" s="29">
        <v>1</v>
      </c>
      <c r="P831" s="29">
        <v>4.2084999999999999</v>
      </c>
      <c r="Q831" s="29" t="s">
        <v>1033</v>
      </c>
    </row>
    <row r="832" spans="1:17" x14ac:dyDescent="0.3">
      <c r="B832" s="29">
        <v>2</v>
      </c>
      <c r="C832" s="29" t="s">
        <v>1050</v>
      </c>
      <c r="D832" s="29" t="s">
        <v>1086</v>
      </c>
      <c r="E832" s="29">
        <v>300</v>
      </c>
      <c r="G832" s="29" t="s">
        <v>1035</v>
      </c>
      <c r="H832" s="29">
        <v>1</v>
      </c>
      <c r="I832" s="29">
        <v>4.43</v>
      </c>
      <c r="J832" s="29">
        <v>1.329</v>
      </c>
      <c r="K832" s="29">
        <v>1.329</v>
      </c>
      <c r="L832" s="29" t="s">
        <v>1032</v>
      </c>
      <c r="M832" s="29">
        <v>1</v>
      </c>
      <c r="N832" s="29">
        <v>0.3</v>
      </c>
      <c r="O832" s="29">
        <v>1</v>
      </c>
      <c r="P832" s="29">
        <v>1.329</v>
      </c>
      <c r="Q832" s="29" t="s">
        <v>1033</v>
      </c>
    </row>
    <row r="833" spans="1:17" x14ac:dyDescent="0.3">
      <c r="A833" s="29" t="s">
        <v>543</v>
      </c>
      <c r="B833" s="29">
        <v>1</v>
      </c>
      <c r="C833" s="29" t="s">
        <v>1050</v>
      </c>
      <c r="D833" s="29" t="s">
        <v>1086</v>
      </c>
      <c r="E833" s="29">
        <v>950</v>
      </c>
      <c r="G833" s="29" t="s">
        <v>1035</v>
      </c>
      <c r="H833" s="29">
        <v>1</v>
      </c>
      <c r="I833" s="29">
        <v>4.43</v>
      </c>
      <c r="J833" s="29">
        <v>4.2084999999999999</v>
      </c>
      <c r="K833" s="29">
        <v>4.2084999999999999</v>
      </c>
      <c r="L833" s="29" t="s">
        <v>1032</v>
      </c>
      <c r="M833" s="29">
        <v>1</v>
      </c>
      <c r="N833" s="29">
        <v>0.95</v>
      </c>
      <c r="O833" s="29">
        <v>1</v>
      </c>
      <c r="P833" s="29">
        <v>4.2084999999999999</v>
      </c>
      <c r="Q833" s="29" t="s">
        <v>1033</v>
      </c>
    </row>
    <row r="834" spans="1:17" x14ac:dyDescent="0.3">
      <c r="B834" s="29">
        <v>2</v>
      </c>
      <c r="C834" s="29" t="s">
        <v>1050</v>
      </c>
      <c r="D834" s="29" t="s">
        <v>1086</v>
      </c>
      <c r="E834" s="29">
        <v>500</v>
      </c>
      <c r="G834" s="29" t="s">
        <v>1035</v>
      </c>
      <c r="H834" s="29">
        <v>1</v>
      </c>
      <c r="I834" s="29">
        <v>4.43</v>
      </c>
      <c r="J834" s="29">
        <v>2.2149999999999999</v>
      </c>
      <c r="K834" s="29">
        <v>2.2149999999999999</v>
      </c>
      <c r="L834" s="29" t="s">
        <v>1032</v>
      </c>
      <c r="M834" s="29">
        <v>1</v>
      </c>
      <c r="N834" s="29">
        <v>0.5</v>
      </c>
      <c r="O834" s="29">
        <v>1</v>
      </c>
      <c r="P834" s="29">
        <v>2.2149999999999999</v>
      </c>
      <c r="Q834" s="29" t="s">
        <v>1033</v>
      </c>
    </row>
    <row r="835" spans="1:17" x14ac:dyDescent="0.3">
      <c r="A835" s="29" t="s">
        <v>544</v>
      </c>
      <c r="B835" s="29">
        <v>1</v>
      </c>
      <c r="C835" s="29" t="s">
        <v>1050</v>
      </c>
      <c r="D835" s="29" t="s">
        <v>1087</v>
      </c>
      <c r="E835" s="29">
        <v>175</v>
      </c>
      <c r="G835" s="29" t="s">
        <v>1035</v>
      </c>
      <c r="H835" s="29">
        <v>1</v>
      </c>
      <c r="I835" s="29">
        <v>9.9600000000000009</v>
      </c>
      <c r="J835" s="29">
        <v>1.7430000000000001</v>
      </c>
      <c r="K835" s="29">
        <v>1.7430000000000001</v>
      </c>
      <c r="L835" s="29" t="s">
        <v>1032</v>
      </c>
      <c r="M835" s="29">
        <v>1</v>
      </c>
      <c r="N835" s="29">
        <v>0.17499999999999999</v>
      </c>
      <c r="O835" s="29">
        <v>1</v>
      </c>
      <c r="P835" s="29">
        <v>1.7430000000000001</v>
      </c>
      <c r="Q835" s="29" t="s">
        <v>1033</v>
      </c>
    </row>
    <row r="836" spans="1:17" x14ac:dyDescent="0.3">
      <c r="B836" s="29">
        <v>2</v>
      </c>
      <c r="C836" s="29" t="s">
        <v>1050</v>
      </c>
      <c r="D836" s="29" t="s">
        <v>1087</v>
      </c>
      <c r="E836" s="29">
        <v>300</v>
      </c>
      <c r="G836" s="29" t="s">
        <v>1035</v>
      </c>
      <c r="H836" s="29">
        <v>1</v>
      </c>
      <c r="I836" s="29">
        <v>9.9600000000000009</v>
      </c>
      <c r="J836" s="29">
        <v>2.988</v>
      </c>
      <c r="K836" s="29">
        <v>2.988</v>
      </c>
      <c r="L836" s="29" t="s">
        <v>1032</v>
      </c>
      <c r="M836" s="29">
        <v>1</v>
      </c>
      <c r="N836" s="29">
        <v>0.3</v>
      </c>
      <c r="O836" s="29">
        <v>1</v>
      </c>
      <c r="P836" s="29">
        <v>2.988</v>
      </c>
      <c r="Q836" s="29" t="s">
        <v>1033</v>
      </c>
    </row>
    <row r="837" spans="1:17" x14ac:dyDescent="0.3">
      <c r="A837" s="29" t="s">
        <v>545</v>
      </c>
      <c r="B837" s="29">
        <v>1</v>
      </c>
      <c r="C837" s="29" t="s">
        <v>1050</v>
      </c>
      <c r="D837" s="29" t="s">
        <v>1087</v>
      </c>
      <c r="E837" s="29">
        <v>375</v>
      </c>
      <c r="G837" s="29" t="s">
        <v>1035</v>
      </c>
      <c r="H837" s="29">
        <v>1</v>
      </c>
      <c r="I837" s="29">
        <v>9.9600000000000009</v>
      </c>
      <c r="J837" s="29">
        <v>3.7350000000000003</v>
      </c>
      <c r="K837" s="29">
        <v>3.7350000000000003</v>
      </c>
      <c r="L837" s="29" t="s">
        <v>1032</v>
      </c>
      <c r="M837" s="29">
        <v>1</v>
      </c>
      <c r="N837" s="29">
        <v>0.375</v>
      </c>
      <c r="O837" s="29">
        <v>1</v>
      </c>
      <c r="P837" s="29">
        <v>3.7350000000000003</v>
      </c>
      <c r="Q837" s="29" t="s">
        <v>1033</v>
      </c>
    </row>
    <row r="838" spans="1:17" x14ac:dyDescent="0.3">
      <c r="B838" s="29">
        <v>2</v>
      </c>
      <c r="C838" s="29" t="s">
        <v>1050</v>
      </c>
      <c r="D838" s="29" t="s">
        <v>1087</v>
      </c>
      <c r="E838" s="29">
        <v>300</v>
      </c>
      <c r="G838" s="29" t="s">
        <v>1035</v>
      </c>
      <c r="H838" s="29">
        <v>1</v>
      </c>
      <c r="I838" s="29">
        <v>9.9600000000000009</v>
      </c>
      <c r="J838" s="29">
        <v>2.988</v>
      </c>
      <c r="K838" s="29">
        <v>2.988</v>
      </c>
      <c r="L838" s="29" t="s">
        <v>1032</v>
      </c>
      <c r="M838" s="29">
        <v>1</v>
      </c>
      <c r="N838" s="29">
        <v>0.3</v>
      </c>
      <c r="O838" s="29">
        <v>1</v>
      </c>
      <c r="P838" s="29">
        <v>2.988</v>
      </c>
      <c r="Q838" s="29" t="s">
        <v>1033</v>
      </c>
    </row>
    <row r="839" spans="1:17" x14ac:dyDescent="0.3">
      <c r="A839" s="29" t="s">
        <v>546</v>
      </c>
      <c r="B839" s="29">
        <v>1</v>
      </c>
      <c r="C839" s="29" t="s">
        <v>1050</v>
      </c>
      <c r="D839" s="29" t="s">
        <v>1087</v>
      </c>
      <c r="E839" s="29">
        <v>375</v>
      </c>
      <c r="G839" s="29" t="s">
        <v>1035</v>
      </c>
      <c r="H839" s="29">
        <v>1</v>
      </c>
      <c r="I839" s="29">
        <v>9.9600000000000009</v>
      </c>
      <c r="J839" s="29">
        <v>3.7350000000000003</v>
      </c>
      <c r="K839" s="29">
        <v>3.7350000000000003</v>
      </c>
      <c r="L839" s="29" t="s">
        <v>1032</v>
      </c>
      <c r="M839" s="29">
        <v>1</v>
      </c>
      <c r="N839" s="29">
        <v>0.375</v>
      </c>
      <c r="O839" s="29">
        <v>1</v>
      </c>
      <c r="P839" s="29">
        <v>3.7350000000000003</v>
      </c>
      <c r="Q839" s="29" t="s">
        <v>1033</v>
      </c>
    </row>
    <row r="840" spans="1:17" x14ac:dyDescent="0.3">
      <c r="B840" s="29">
        <v>2</v>
      </c>
      <c r="C840" s="29" t="s">
        <v>1050</v>
      </c>
      <c r="D840" s="29" t="s">
        <v>1087</v>
      </c>
      <c r="E840" s="29">
        <v>500</v>
      </c>
      <c r="G840" s="29" t="s">
        <v>1035</v>
      </c>
      <c r="H840" s="29">
        <v>1</v>
      </c>
      <c r="I840" s="29">
        <v>9.9600000000000009</v>
      </c>
      <c r="J840" s="29">
        <v>4.9800000000000004</v>
      </c>
      <c r="K840" s="29">
        <v>4.9800000000000004</v>
      </c>
      <c r="L840" s="29" t="s">
        <v>1032</v>
      </c>
      <c r="M840" s="29">
        <v>1</v>
      </c>
      <c r="N840" s="29">
        <v>0.5</v>
      </c>
      <c r="O840" s="29">
        <v>1</v>
      </c>
      <c r="P840" s="29">
        <v>4.9800000000000004</v>
      </c>
      <c r="Q840" s="29" t="s">
        <v>1033</v>
      </c>
    </row>
    <row r="841" spans="1:17" x14ac:dyDescent="0.3">
      <c r="A841" s="29" t="s">
        <v>547</v>
      </c>
      <c r="B841" s="29">
        <v>1</v>
      </c>
      <c r="C841" s="29" t="s">
        <v>1050</v>
      </c>
      <c r="D841" s="29" t="s">
        <v>1087</v>
      </c>
      <c r="E841" s="29">
        <v>375</v>
      </c>
      <c r="G841" s="29" t="s">
        <v>1035</v>
      </c>
      <c r="H841" s="29">
        <v>1</v>
      </c>
      <c r="I841" s="29">
        <v>9.9600000000000009</v>
      </c>
      <c r="J841" s="29">
        <v>3.7350000000000003</v>
      </c>
      <c r="K841" s="29">
        <v>3.7350000000000003</v>
      </c>
      <c r="L841" s="29" t="s">
        <v>1032</v>
      </c>
      <c r="M841" s="29">
        <v>1</v>
      </c>
      <c r="N841" s="29">
        <v>0.375</v>
      </c>
      <c r="O841" s="29">
        <v>1</v>
      </c>
      <c r="P841" s="29">
        <v>3.7350000000000003</v>
      </c>
      <c r="Q841" s="29" t="s">
        <v>1033</v>
      </c>
    </row>
    <row r="842" spans="1:17" x14ac:dyDescent="0.3">
      <c r="B842" s="29">
        <v>2</v>
      </c>
      <c r="C842" s="29" t="s">
        <v>1050</v>
      </c>
      <c r="D842" s="29" t="s">
        <v>1087</v>
      </c>
      <c r="E842" s="29">
        <v>700</v>
      </c>
      <c r="G842" s="29" t="s">
        <v>1035</v>
      </c>
      <c r="H842" s="29">
        <v>1</v>
      </c>
      <c r="I842" s="29">
        <v>9.9600000000000009</v>
      </c>
      <c r="J842" s="29">
        <v>6.9720000000000004</v>
      </c>
      <c r="K842" s="29">
        <v>6.9720000000000004</v>
      </c>
      <c r="L842" s="29" t="s">
        <v>1032</v>
      </c>
      <c r="M842" s="29">
        <v>1</v>
      </c>
      <c r="N842" s="29">
        <v>0.7</v>
      </c>
      <c r="O842" s="29">
        <v>1</v>
      </c>
      <c r="P842" s="29">
        <v>6.9720000000000004</v>
      </c>
      <c r="Q842" s="29" t="s">
        <v>1033</v>
      </c>
    </row>
    <row r="843" spans="1:17" x14ac:dyDescent="0.3">
      <c r="A843" s="29" t="s">
        <v>548</v>
      </c>
      <c r="B843" s="29">
        <v>1</v>
      </c>
      <c r="C843" s="29" t="s">
        <v>1050</v>
      </c>
      <c r="D843" s="29" t="s">
        <v>1087</v>
      </c>
      <c r="E843" s="29">
        <v>475</v>
      </c>
      <c r="G843" s="29" t="s">
        <v>1035</v>
      </c>
      <c r="H843" s="29">
        <v>1</v>
      </c>
      <c r="I843" s="29">
        <v>9.9600000000000009</v>
      </c>
      <c r="J843" s="29">
        <v>4.7309999999999999</v>
      </c>
      <c r="K843" s="29">
        <v>4.7309999999999999</v>
      </c>
      <c r="L843" s="29" t="s">
        <v>1032</v>
      </c>
      <c r="M843" s="29">
        <v>1</v>
      </c>
      <c r="N843" s="29">
        <v>0.47499999999999998</v>
      </c>
      <c r="O843" s="29">
        <v>1</v>
      </c>
      <c r="P843" s="29">
        <v>4.7309999999999999</v>
      </c>
      <c r="Q843" s="29" t="s">
        <v>1033</v>
      </c>
    </row>
    <row r="844" spans="1:17" x14ac:dyDescent="0.3">
      <c r="B844" s="29">
        <v>2</v>
      </c>
      <c r="C844" s="29" t="s">
        <v>1050</v>
      </c>
      <c r="D844" s="29" t="s">
        <v>1087</v>
      </c>
      <c r="E844" s="29">
        <v>300</v>
      </c>
      <c r="G844" s="29" t="s">
        <v>1035</v>
      </c>
      <c r="H844" s="29">
        <v>1</v>
      </c>
      <c r="I844" s="29">
        <v>9.9600000000000009</v>
      </c>
      <c r="J844" s="29">
        <v>2.988</v>
      </c>
      <c r="K844" s="29">
        <v>2.988</v>
      </c>
      <c r="L844" s="29" t="s">
        <v>1032</v>
      </c>
      <c r="M844" s="29">
        <v>1</v>
      </c>
      <c r="N844" s="29">
        <v>0.3</v>
      </c>
      <c r="O844" s="29">
        <v>1</v>
      </c>
      <c r="P844" s="29">
        <v>2.988</v>
      </c>
      <c r="Q844" s="29" t="s">
        <v>1033</v>
      </c>
    </row>
    <row r="845" spans="1:17" x14ac:dyDescent="0.3">
      <c r="A845" s="29" t="s">
        <v>548</v>
      </c>
      <c r="B845" s="29">
        <v>1</v>
      </c>
      <c r="C845" s="29" t="s">
        <v>1050</v>
      </c>
      <c r="D845" s="29" t="s">
        <v>1087</v>
      </c>
      <c r="E845" s="29">
        <v>475</v>
      </c>
      <c r="G845" s="29" t="s">
        <v>1035</v>
      </c>
      <c r="H845" s="29">
        <v>1</v>
      </c>
      <c r="I845" s="29">
        <v>9.9600000000000009</v>
      </c>
      <c r="J845" s="29">
        <v>4.7309999999999999</v>
      </c>
      <c r="K845" s="29">
        <v>4.7309999999999999</v>
      </c>
      <c r="L845" s="29" t="s">
        <v>1032</v>
      </c>
      <c r="M845" s="29">
        <v>1</v>
      </c>
      <c r="N845" s="29">
        <v>0.47499999999999998</v>
      </c>
      <c r="O845" s="29">
        <v>1</v>
      </c>
      <c r="P845" s="29">
        <v>4.7309999999999999</v>
      </c>
      <c r="Q845" s="29" t="s">
        <v>1033</v>
      </c>
    </row>
    <row r="846" spans="1:17" x14ac:dyDescent="0.3">
      <c r="B846" s="29">
        <v>2</v>
      </c>
      <c r="C846" s="29" t="s">
        <v>1050</v>
      </c>
      <c r="D846" s="29" t="s">
        <v>1087</v>
      </c>
      <c r="E846" s="29">
        <v>300</v>
      </c>
      <c r="G846" s="29" t="s">
        <v>1035</v>
      </c>
      <c r="H846" s="29">
        <v>1</v>
      </c>
      <c r="I846" s="29">
        <v>9.9600000000000009</v>
      </c>
      <c r="J846" s="29">
        <v>2.988</v>
      </c>
      <c r="K846" s="29">
        <v>2.988</v>
      </c>
      <c r="L846" s="29" t="s">
        <v>1032</v>
      </c>
      <c r="M846" s="29">
        <v>1</v>
      </c>
      <c r="N846" s="29">
        <v>0.3</v>
      </c>
      <c r="O846" s="29">
        <v>1</v>
      </c>
      <c r="P846" s="29">
        <v>2.988</v>
      </c>
      <c r="Q846" s="29" t="s">
        <v>1033</v>
      </c>
    </row>
    <row r="847" spans="1:17" x14ac:dyDescent="0.3">
      <c r="A847" s="29" t="s">
        <v>549</v>
      </c>
      <c r="B847" s="29">
        <v>1</v>
      </c>
      <c r="C847" s="29" t="s">
        <v>1050</v>
      </c>
      <c r="D847" s="29" t="s">
        <v>1087</v>
      </c>
      <c r="E847" s="29">
        <v>475</v>
      </c>
      <c r="G847" s="29" t="s">
        <v>1035</v>
      </c>
      <c r="H847" s="29">
        <v>1</v>
      </c>
      <c r="I847" s="29">
        <v>9.9600000000000009</v>
      </c>
      <c r="J847" s="29">
        <v>4.7309999999999999</v>
      </c>
      <c r="K847" s="29">
        <v>4.7309999999999999</v>
      </c>
      <c r="L847" s="29" t="s">
        <v>1032</v>
      </c>
      <c r="M847" s="29">
        <v>1</v>
      </c>
      <c r="N847" s="29">
        <v>0.47499999999999998</v>
      </c>
      <c r="O847" s="29">
        <v>1</v>
      </c>
      <c r="P847" s="29">
        <v>4.7309999999999999</v>
      </c>
      <c r="Q847" s="29" t="s">
        <v>1033</v>
      </c>
    </row>
    <row r="848" spans="1:17" x14ac:dyDescent="0.3">
      <c r="B848" s="29">
        <v>2</v>
      </c>
      <c r="C848" s="29" t="s">
        <v>1050</v>
      </c>
      <c r="D848" s="29" t="s">
        <v>1087</v>
      </c>
      <c r="E848" s="29">
        <v>500</v>
      </c>
      <c r="G848" s="29" t="s">
        <v>1035</v>
      </c>
      <c r="H848" s="29">
        <v>1</v>
      </c>
      <c r="I848" s="29">
        <v>9.9600000000000009</v>
      </c>
      <c r="J848" s="29">
        <v>4.9800000000000004</v>
      </c>
      <c r="K848" s="29">
        <v>4.9800000000000004</v>
      </c>
      <c r="L848" s="29" t="s">
        <v>1032</v>
      </c>
      <c r="M848" s="29">
        <v>1</v>
      </c>
      <c r="N848" s="29">
        <v>0.5</v>
      </c>
      <c r="O848" s="29">
        <v>1</v>
      </c>
      <c r="P848" s="29">
        <v>4.9800000000000004</v>
      </c>
      <c r="Q848" s="29" t="s">
        <v>1033</v>
      </c>
    </row>
    <row r="849" spans="1:17" x14ac:dyDescent="0.3">
      <c r="A849" s="29" t="s">
        <v>550</v>
      </c>
      <c r="B849" s="29">
        <v>1</v>
      </c>
      <c r="C849" s="29" t="s">
        <v>1050</v>
      </c>
      <c r="D849" s="29" t="s">
        <v>1087</v>
      </c>
      <c r="E849" s="29">
        <v>475</v>
      </c>
      <c r="G849" s="29" t="s">
        <v>1035</v>
      </c>
      <c r="H849" s="29">
        <v>1</v>
      </c>
      <c r="I849" s="29">
        <v>9.9600000000000009</v>
      </c>
      <c r="J849" s="29">
        <v>4.7309999999999999</v>
      </c>
      <c r="K849" s="29">
        <v>4.7309999999999999</v>
      </c>
      <c r="L849" s="29" t="s">
        <v>1032</v>
      </c>
      <c r="M849" s="29">
        <v>1</v>
      </c>
      <c r="N849" s="29">
        <v>0.47499999999999998</v>
      </c>
      <c r="O849" s="29">
        <v>1</v>
      </c>
      <c r="P849" s="29">
        <v>4.7309999999999999</v>
      </c>
      <c r="Q849" s="29" t="s">
        <v>1033</v>
      </c>
    </row>
    <row r="850" spans="1:17" x14ac:dyDescent="0.3">
      <c r="B850" s="29">
        <v>2</v>
      </c>
      <c r="C850" s="29" t="s">
        <v>1050</v>
      </c>
      <c r="D850" s="29" t="s">
        <v>1087</v>
      </c>
      <c r="E850" s="29">
        <v>600</v>
      </c>
      <c r="G850" s="29" t="s">
        <v>1035</v>
      </c>
      <c r="H850" s="29">
        <v>1</v>
      </c>
      <c r="I850" s="29">
        <v>9.9600000000000009</v>
      </c>
      <c r="J850" s="29">
        <v>5.976</v>
      </c>
      <c r="K850" s="29">
        <v>5.976</v>
      </c>
      <c r="L850" s="29" t="s">
        <v>1032</v>
      </c>
      <c r="M850" s="29">
        <v>1</v>
      </c>
      <c r="N850" s="29">
        <v>0.6</v>
      </c>
      <c r="O850" s="29">
        <v>1</v>
      </c>
      <c r="P850" s="29">
        <v>5.976</v>
      </c>
      <c r="Q850" s="29" t="s">
        <v>1033</v>
      </c>
    </row>
    <row r="851" spans="1:17" x14ac:dyDescent="0.3">
      <c r="A851" s="29" t="s">
        <v>551</v>
      </c>
      <c r="B851" s="29">
        <v>1</v>
      </c>
      <c r="C851" s="29" t="s">
        <v>1050</v>
      </c>
      <c r="D851" s="29" t="s">
        <v>1087</v>
      </c>
      <c r="E851" s="29">
        <v>475</v>
      </c>
      <c r="G851" s="29" t="s">
        <v>1035</v>
      </c>
      <c r="H851" s="29">
        <v>1</v>
      </c>
      <c r="I851" s="29">
        <v>9.9600000000000009</v>
      </c>
      <c r="J851" s="29">
        <v>4.7309999999999999</v>
      </c>
      <c r="K851" s="29">
        <v>4.7309999999999999</v>
      </c>
      <c r="L851" s="29" t="s">
        <v>1032</v>
      </c>
      <c r="M851" s="29">
        <v>1</v>
      </c>
      <c r="N851" s="29">
        <v>0.47499999999999998</v>
      </c>
      <c r="O851" s="29">
        <v>1</v>
      </c>
      <c r="P851" s="29">
        <v>4.7309999999999999</v>
      </c>
      <c r="Q851" s="29" t="s">
        <v>1033</v>
      </c>
    </row>
    <row r="852" spans="1:17" x14ac:dyDescent="0.3">
      <c r="B852" s="29">
        <v>2</v>
      </c>
      <c r="C852" s="29" t="s">
        <v>1050</v>
      </c>
      <c r="D852" s="29" t="s">
        <v>1087</v>
      </c>
      <c r="E852" s="29">
        <v>700</v>
      </c>
      <c r="G852" s="29" t="s">
        <v>1035</v>
      </c>
      <c r="H852" s="29">
        <v>1</v>
      </c>
      <c r="I852" s="29">
        <v>9.9600000000000009</v>
      </c>
      <c r="J852" s="29">
        <v>6.9720000000000004</v>
      </c>
      <c r="K852" s="29">
        <v>6.9720000000000004</v>
      </c>
      <c r="L852" s="29" t="s">
        <v>1032</v>
      </c>
      <c r="M852" s="29">
        <v>1</v>
      </c>
      <c r="N852" s="29">
        <v>0.7</v>
      </c>
      <c r="O852" s="29">
        <v>1</v>
      </c>
      <c r="P852" s="29">
        <v>6.9720000000000004</v>
      </c>
      <c r="Q852" s="29" t="s">
        <v>1033</v>
      </c>
    </row>
    <row r="853" spans="1:17" x14ac:dyDescent="0.3">
      <c r="A853" s="29" t="s">
        <v>552</v>
      </c>
      <c r="B853" s="29">
        <v>1</v>
      </c>
      <c r="C853" s="29" t="s">
        <v>1050</v>
      </c>
      <c r="D853" s="29" t="s">
        <v>1087</v>
      </c>
      <c r="E853" s="29">
        <v>475</v>
      </c>
      <c r="G853" s="29" t="s">
        <v>1035</v>
      </c>
      <c r="H853" s="29">
        <v>1</v>
      </c>
      <c r="I853" s="29">
        <v>9.9600000000000009</v>
      </c>
      <c r="J853" s="29">
        <v>4.7309999999999999</v>
      </c>
      <c r="K853" s="29">
        <v>4.7309999999999999</v>
      </c>
      <c r="L853" s="29" t="s">
        <v>1032</v>
      </c>
      <c r="M853" s="29">
        <v>1</v>
      </c>
      <c r="N853" s="29">
        <v>0.47499999999999998</v>
      </c>
      <c r="O853" s="29">
        <v>1</v>
      </c>
      <c r="P853" s="29">
        <v>4.7309999999999999</v>
      </c>
      <c r="Q853" s="29" t="s">
        <v>1033</v>
      </c>
    </row>
    <row r="854" spans="1:17" x14ac:dyDescent="0.3">
      <c r="B854" s="29">
        <v>2</v>
      </c>
      <c r="C854" s="29" t="s">
        <v>1050</v>
      </c>
      <c r="D854" s="29" t="s">
        <v>1087</v>
      </c>
      <c r="E854" s="29">
        <v>800</v>
      </c>
      <c r="G854" s="29" t="s">
        <v>1035</v>
      </c>
      <c r="H854" s="29">
        <v>1</v>
      </c>
      <c r="I854" s="29">
        <v>9.9600000000000009</v>
      </c>
      <c r="J854" s="29">
        <v>7.9680000000000009</v>
      </c>
      <c r="K854" s="29">
        <v>7.9680000000000009</v>
      </c>
      <c r="L854" s="29" t="s">
        <v>1032</v>
      </c>
      <c r="M854" s="29">
        <v>1</v>
      </c>
      <c r="N854" s="29">
        <v>0.8</v>
      </c>
      <c r="O854" s="29">
        <v>1</v>
      </c>
      <c r="P854" s="29">
        <v>7.9680000000000009</v>
      </c>
      <c r="Q854" s="29" t="s">
        <v>1033</v>
      </c>
    </row>
    <row r="855" spans="1:17" x14ac:dyDescent="0.3">
      <c r="A855" s="29" t="s">
        <v>552</v>
      </c>
      <c r="B855" s="29">
        <v>1</v>
      </c>
      <c r="C855" s="29" t="s">
        <v>1050</v>
      </c>
      <c r="D855" s="29" t="s">
        <v>1087</v>
      </c>
      <c r="E855" s="29">
        <v>475</v>
      </c>
      <c r="G855" s="29" t="s">
        <v>1035</v>
      </c>
      <c r="H855" s="29">
        <v>1</v>
      </c>
      <c r="I855" s="29">
        <v>9.9600000000000009</v>
      </c>
      <c r="J855" s="29">
        <v>4.7309999999999999</v>
      </c>
      <c r="K855" s="29">
        <v>4.7309999999999999</v>
      </c>
      <c r="L855" s="29" t="s">
        <v>1032</v>
      </c>
      <c r="M855" s="29">
        <v>1</v>
      </c>
      <c r="N855" s="29">
        <v>0.47499999999999998</v>
      </c>
      <c r="O855" s="29">
        <v>1</v>
      </c>
      <c r="P855" s="29">
        <v>4.7309999999999999</v>
      </c>
      <c r="Q855" s="29" t="s">
        <v>1033</v>
      </c>
    </row>
    <row r="856" spans="1:17" x14ac:dyDescent="0.3">
      <c r="B856" s="29">
        <v>2</v>
      </c>
      <c r="C856" s="29" t="s">
        <v>1050</v>
      </c>
      <c r="D856" s="29" t="s">
        <v>1087</v>
      </c>
      <c r="E856" s="29">
        <v>800</v>
      </c>
      <c r="G856" s="29" t="s">
        <v>1035</v>
      </c>
      <c r="H856" s="29">
        <v>1</v>
      </c>
      <c r="I856" s="29">
        <v>9.9600000000000009</v>
      </c>
      <c r="J856" s="29">
        <v>7.9680000000000009</v>
      </c>
      <c r="K856" s="29">
        <v>7.9680000000000009</v>
      </c>
      <c r="L856" s="29" t="s">
        <v>1032</v>
      </c>
      <c r="M856" s="29">
        <v>1</v>
      </c>
      <c r="N856" s="29">
        <v>0.8</v>
      </c>
      <c r="O856" s="29">
        <v>1</v>
      </c>
      <c r="P856" s="29">
        <v>7.9680000000000009</v>
      </c>
      <c r="Q856" s="29" t="s">
        <v>1033</v>
      </c>
    </row>
    <row r="857" spans="1:17" x14ac:dyDescent="0.3">
      <c r="A857" s="29" t="s">
        <v>553</v>
      </c>
      <c r="B857" s="29">
        <v>1</v>
      </c>
      <c r="C857" s="29" t="s">
        <v>1050</v>
      </c>
      <c r="D857" s="29" t="s">
        <v>1087</v>
      </c>
      <c r="E857" s="29">
        <v>575</v>
      </c>
      <c r="G857" s="29" t="s">
        <v>1035</v>
      </c>
      <c r="H857" s="29">
        <v>1</v>
      </c>
      <c r="I857" s="29">
        <v>9.9600000000000009</v>
      </c>
      <c r="J857" s="29">
        <v>5.7270000000000003</v>
      </c>
      <c r="K857" s="29">
        <v>5.7270000000000003</v>
      </c>
      <c r="L857" s="29" t="s">
        <v>1032</v>
      </c>
      <c r="M857" s="29">
        <v>1</v>
      </c>
      <c r="N857" s="29">
        <v>0.57499999999999996</v>
      </c>
      <c r="O857" s="29">
        <v>1</v>
      </c>
      <c r="P857" s="29">
        <v>5.7270000000000003</v>
      </c>
      <c r="Q857" s="29" t="s">
        <v>1033</v>
      </c>
    </row>
    <row r="858" spans="1:17" x14ac:dyDescent="0.3">
      <c r="B858" s="29">
        <v>2</v>
      </c>
      <c r="C858" s="29" t="s">
        <v>1050</v>
      </c>
      <c r="D858" s="29" t="s">
        <v>1087</v>
      </c>
      <c r="E858" s="29">
        <v>300</v>
      </c>
      <c r="G858" s="29" t="s">
        <v>1035</v>
      </c>
      <c r="H858" s="29">
        <v>1</v>
      </c>
      <c r="I858" s="29">
        <v>9.9600000000000009</v>
      </c>
      <c r="J858" s="29">
        <v>2.988</v>
      </c>
      <c r="K858" s="29">
        <v>2.988</v>
      </c>
      <c r="L858" s="29" t="s">
        <v>1032</v>
      </c>
      <c r="M858" s="29">
        <v>1</v>
      </c>
      <c r="N858" s="29">
        <v>0.3</v>
      </c>
      <c r="O858" s="29">
        <v>1</v>
      </c>
      <c r="P858" s="29">
        <v>2.988</v>
      </c>
      <c r="Q858" s="29" t="s">
        <v>1033</v>
      </c>
    </row>
    <row r="859" spans="1:17" x14ac:dyDescent="0.3">
      <c r="A859" s="29" t="s">
        <v>553</v>
      </c>
      <c r="B859" s="29">
        <v>1</v>
      </c>
      <c r="C859" s="29" t="s">
        <v>1050</v>
      </c>
      <c r="D859" s="29" t="s">
        <v>1087</v>
      </c>
      <c r="E859" s="29">
        <v>575</v>
      </c>
      <c r="G859" s="29" t="s">
        <v>1035</v>
      </c>
      <c r="H859" s="29">
        <v>1</v>
      </c>
      <c r="I859" s="29">
        <v>9.9600000000000009</v>
      </c>
      <c r="J859" s="29">
        <v>5.7270000000000003</v>
      </c>
      <c r="K859" s="29">
        <v>5.7270000000000003</v>
      </c>
      <c r="L859" s="29" t="s">
        <v>1032</v>
      </c>
      <c r="M859" s="29">
        <v>1</v>
      </c>
      <c r="N859" s="29">
        <v>0.57499999999999996</v>
      </c>
      <c r="O859" s="29">
        <v>1</v>
      </c>
      <c r="P859" s="29">
        <v>5.7270000000000003</v>
      </c>
      <c r="Q859" s="29" t="s">
        <v>1033</v>
      </c>
    </row>
    <row r="860" spans="1:17" x14ac:dyDescent="0.3">
      <c r="B860" s="29">
        <v>2</v>
      </c>
      <c r="C860" s="29" t="s">
        <v>1050</v>
      </c>
      <c r="D860" s="29" t="s">
        <v>1087</v>
      </c>
      <c r="E860" s="29">
        <v>300</v>
      </c>
      <c r="G860" s="29" t="s">
        <v>1035</v>
      </c>
      <c r="H860" s="29">
        <v>1</v>
      </c>
      <c r="I860" s="29">
        <v>9.9600000000000009</v>
      </c>
      <c r="J860" s="29">
        <v>2.988</v>
      </c>
      <c r="K860" s="29">
        <v>2.988</v>
      </c>
      <c r="L860" s="29" t="s">
        <v>1032</v>
      </c>
      <c r="M860" s="29">
        <v>1</v>
      </c>
      <c r="N860" s="29">
        <v>0.3</v>
      </c>
      <c r="O860" s="29">
        <v>1</v>
      </c>
      <c r="P860" s="29">
        <v>2.988</v>
      </c>
      <c r="Q860" s="29" t="s">
        <v>1033</v>
      </c>
    </row>
    <row r="861" spans="1:17" x14ac:dyDescent="0.3">
      <c r="A861" s="29" t="s">
        <v>553</v>
      </c>
      <c r="B861" s="29">
        <v>1</v>
      </c>
      <c r="C861" s="29" t="s">
        <v>1050</v>
      </c>
      <c r="D861" s="29" t="s">
        <v>1087</v>
      </c>
      <c r="E861" s="29">
        <v>575</v>
      </c>
      <c r="G861" s="29" t="s">
        <v>1035</v>
      </c>
      <c r="H861" s="29">
        <v>1</v>
      </c>
      <c r="I861" s="29">
        <v>9.9600000000000009</v>
      </c>
      <c r="J861" s="29">
        <v>5.7270000000000003</v>
      </c>
      <c r="K861" s="29">
        <v>5.7270000000000003</v>
      </c>
      <c r="L861" s="29" t="s">
        <v>1032</v>
      </c>
      <c r="M861" s="29">
        <v>1</v>
      </c>
      <c r="N861" s="29">
        <v>0.57499999999999996</v>
      </c>
      <c r="O861" s="29">
        <v>1</v>
      </c>
      <c r="P861" s="29">
        <v>5.7270000000000003</v>
      </c>
      <c r="Q861" s="29" t="s">
        <v>1033</v>
      </c>
    </row>
    <row r="862" spans="1:17" x14ac:dyDescent="0.3">
      <c r="B862" s="29">
        <v>2</v>
      </c>
      <c r="C862" s="29" t="s">
        <v>1050</v>
      </c>
      <c r="D862" s="29" t="s">
        <v>1087</v>
      </c>
      <c r="E862" s="29">
        <v>300</v>
      </c>
      <c r="G862" s="29" t="s">
        <v>1035</v>
      </c>
      <c r="H862" s="29">
        <v>1</v>
      </c>
      <c r="I862" s="29">
        <v>9.9600000000000009</v>
      </c>
      <c r="J862" s="29">
        <v>2.988</v>
      </c>
      <c r="K862" s="29">
        <v>2.988</v>
      </c>
      <c r="L862" s="29" t="s">
        <v>1032</v>
      </c>
      <c r="M862" s="29">
        <v>1</v>
      </c>
      <c r="N862" s="29">
        <v>0.3</v>
      </c>
      <c r="O862" s="29">
        <v>1</v>
      </c>
      <c r="P862" s="29">
        <v>2.988</v>
      </c>
      <c r="Q862" s="29" t="s">
        <v>1033</v>
      </c>
    </row>
    <row r="863" spans="1:17" x14ac:dyDescent="0.3">
      <c r="A863" s="29" t="s">
        <v>554</v>
      </c>
      <c r="B863" s="29">
        <v>1</v>
      </c>
      <c r="C863" s="29" t="s">
        <v>1050</v>
      </c>
      <c r="D863" s="29" t="s">
        <v>1087</v>
      </c>
      <c r="E863" s="29">
        <v>575</v>
      </c>
      <c r="G863" s="29" t="s">
        <v>1035</v>
      </c>
      <c r="H863" s="29">
        <v>1</v>
      </c>
      <c r="I863" s="29">
        <v>9.9600000000000009</v>
      </c>
      <c r="J863" s="29">
        <v>5.7270000000000003</v>
      </c>
      <c r="K863" s="29">
        <v>5.7270000000000003</v>
      </c>
      <c r="L863" s="29" t="s">
        <v>1032</v>
      </c>
      <c r="M863" s="29">
        <v>1</v>
      </c>
      <c r="N863" s="29">
        <v>0.57499999999999996</v>
      </c>
      <c r="O863" s="29">
        <v>1</v>
      </c>
      <c r="P863" s="29">
        <v>5.7270000000000003</v>
      </c>
      <c r="Q863" s="29" t="s">
        <v>1033</v>
      </c>
    </row>
    <row r="864" spans="1:17" x14ac:dyDescent="0.3">
      <c r="B864" s="29">
        <v>2</v>
      </c>
      <c r="C864" s="29" t="s">
        <v>1050</v>
      </c>
      <c r="D864" s="29" t="s">
        <v>1087</v>
      </c>
      <c r="E864" s="29">
        <v>500</v>
      </c>
      <c r="G864" s="29" t="s">
        <v>1035</v>
      </c>
      <c r="H864" s="29">
        <v>1</v>
      </c>
      <c r="I864" s="29">
        <v>9.9600000000000009</v>
      </c>
      <c r="J864" s="29">
        <v>4.9800000000000004</v>
      </c>
      <c r="K864" s="29">
        <v>4.9800000000000004</v>
      </c>
      <c r="L864" s="29" t="s">
        <v>1032</v>
      </c>
      <c r="M864" s="29">
        <v>1</v>
      </c>
      <c r="N864" s="29">
        <v>0.5</v>
      </c>
      <c r="O864" s="29">
        <v>1</v>
      </c>
      <c r="P864" s="29">
        <v>4.9800000000000004</v>
      </c>
      <c r="Q864" s="29" t="s">
        <v>1033</v>
      </c>
    </row>
    <row r="865" spans="1:17" x14ac:dyDescent="0.3">
      <c r="A865" s="29" t="s">
        <v>554</v>
      </c>
      <c r="B865" s="29">
        <v>1</v>
      </c>
      <c r="C865" s="29" t="s">
        <v>1050</v>
      </c>
      <c r="D865" s="29" t="s">
        <v>1087</v>
      </c>
      <c r="E865" s="29">
        <v>575</v>
      </c>
      <c r="G865" s="29" t="s">
        <v>1035</v>
      </c>
      <c r="H865" s="29">
        <v>1</v>
      </c>
      <c r="I865" s="29">
        <v>9.9600000000000009</v>
      </c>
      <c r="J865" s="29">
        <v>5.7270000000000003</v>
      </c>
      <c r="K865" s="29">
        <v>5.7270000000000003</v>
      </c>
      <c r="L865" s="29" t="s">
        <v>1032</v>
      </c>
      <c r="M865" s="29">
        <v>1</v>
      </c>
      <c r="N865" s="29">
        <v>0.57499999999999996</v>
      </c>
      <c r="O865" s="29">
        <v>1</v>
      </c>
      <c r="P865" s="29">
        <v>5.7270000000000003</v>
      </c>
      <c r="Q865" s="29" t="s">
        <v>1033</v>
      </c>
    </row>
    <row r="866" spans="1:17" x14ac:dyDescent="0.3">
      <c r="B866" s="29">
        <v>2</v>
      </c>
      <c r="C866" s="29" t="s">
        <v>1050</v>
      </c>
      <c r="D866" s="29" t="s">
        <v>1087</v>
      </c>
      <c r="E866" s="29">
        <v>500</v>
      </c>
      <c r="G866" s="29" t="s">
        <v>1035</v>
      </c>
      <c r="H866" s="29">
        <v>1</v>
      </c>
      <c r="I866" s="29">
        <v>9.9600000000000009</v>
      </c>
      <c r="J866" s="29">
        <v>4.9800000000000004</v>
      </c>
      <c r="K866" s="29">
        <v>4.9800000000000004</v>
      </c>
      <c r="L866" s="29" t="s">
        <v>1032</v>
      </c>
      <c r="M866" s="29">
        <v>1</v>
      </c>
      <c r="N866" s="29">
        <v>0.5</v>
      </c>
      <c r="O866" s="29">
        <v>1</v>
      </c>
      <c r="P866" s="29">
        <v>4.9800000000000004</v>
      </c>
      <c r="Q866" s="29" t="s">
        <v>1033</v>
      </c>
    </row>
    <row r="867" spans="1:17" x14ac:dyDescent="0.3">
      <c r="A867" s="29" t="s">
        <v>554</v>
      </c>
      <c r="B867" s="29">
        <v>1</v>
      </c>
      <c r="C867" s="29" t="s">
        <v>1050</v>
      </c>
      <c r="D867" s="29" t="s">
        <v>1087</v>
      </c>
      <c r="E867" s="29">
        <v>575</v>
      </c>
      <c r="G867" s="29" t="s">
        <v>1035</v>
      </c>
      <c r="H867" s="29">
        <v>1</v>
      </c>
      <c r="I867" s="29">
        <v>9.9600000000000009</v>
      </c>
      <c r="J867" s="29">
        <v>5.7270000000000003</v>
      </c>
      <c r="K867" s="29">
        <v>5.7270000000000003</v>
      </c>
      <c r="L867" s="29" t="s">
        <v>1032</v>
      </c>
      <c r="M867" s="29">
        <v>1</v>
      </c>
      <c r="N867" s="29">
        <v>0.57499999999999996</v>
      </c>
      <c r="O867" s="29">
        <v>1</v>
      </c>
      <c r="P867" s="29">
        <v>5.7270000000000003</v>
      </c>
      <c r="Q867" s="29" t="s">
        <v>1033</v>
      </c>
    </row>
    <row r="868" spans="1:17" x14ac:dyDescent="0.3">
      <c r="B868" s="29">
        <v>2</v>
      </c>
      <c r="C868" s="29" t="s">
        <v>1050</v>
      </c>
      <c r="D868" s="29" t="s">
        <v>1087</v>
      </c>
      <c r="E868" s="29">
        <v>500</v>
      </c>
      <c r="G868" s="29" t="s">
        <v>1035</v>
      </c>
      <c r="H868" s="29">
        <v>1</v>
      </c>
      <c r="I868" s="29">
        <v>9.9600000000000009</v>
      </c>
      <c r="J868" s="29">
        <v>4.9800000000000004</v>
      </c>
      <c r="K868" s="29">
        <v>4.9800000000000004</v>
      </c>
      <c r="L868" s="29" t="s">
        <v>1032</v>
      </c>
      <c r="M868" s="29">
        <v>1</v>
      </c>
      <c r="N868" s="29">
        <v>0.5</v>
      </c>
      <c r="O868" s="29">
        <v>1</v>
      </c>
      <c r="P868" s="29">
        <v>4.9800000000000004</v>
      </c>
      <c r="Q868" s="29" t="s">
        <v>1033</v>
      </c>
    </row>
    <row r="869" spans="1:17" x14ac:dyDescent="0.3">
      <c r="A869" s="29" t="s">
        <v>554</v>
      </c>
      <c r="B869" s="29">
        <v>1</v>
      </c>
      <c r="C869" s="29" t="s">
        <v>1050</v>
      </c>
      <c r="D869" s="29" t="s">
        <v>1087</v>
      </c>
      <c r="E869" s="29">
        <v>575</v>
      </c>
      <c r="G869" s="29" t="s">
        <v>1035</v>
      </c>
      <c r="H869" s="29">
        <v>1</v>
      </c>
      <c r="I869" s="29">
        <v>9.9600000000000009</v>
      </c>
      <c r="J869" s="29">
        <v>5.7270000000000003</v>
      </c>
      <c r="K869" s="29">
        <v>5.7270000000000003</v>
      </c>
      <c r="L869" s="29" t="s">
        <v>1032</v>
      </c>
      <c r="M869" s="29">
        <v>1</v>
      </c>
      <c r="N869" s="29">
        <v>0.57499999999999996</v>
      </c>
      <c r="O869" s="29">
        <v>1</v>
      </c>
      <c r="P869" s="29">
        <v>5.7270000000000003</v>
      </c>
      <c r="Q869" s="29" t="s">
        <v>1033</v>
      </c>
    </row>
    <row r="870" spans="1:17" x14ac:dyDescent="0.3">
      <c r="B870" s="29">
        <v>2</v>
      </c>
      <c r="C870" s="29" t="s">
        <v>1050</v>
      </c>
      <c r="D870" s="29" t="s">
        <v>1087</v>
      </c>
      <c r="E870" s="29">
        <v>500</v>
      </c>
      <c r="G870" s="29" t="s">
        <v>1035</v>
      </c>
      <c r="H870" s="29">
        <v>1</v>
      </c>
      <c r="I870" s="29">
        <v>9.9600000000000009</v>
      </c>
      <c r="J870" s="29">
        <v>4.9800000000000004</v>
      </c>
      <c r="K870" s="29">
        <v>4.9800000000000004</v>
      </c>
      <c r="L870" s="29" t="s">
        <v>1032</v>
      </c>
      <c r="M870" s="29">
        <v>1</v>
      </c>
      <c r="N870" s="29">
        <v>0.5</v>
      </c>
      <c r="O870" s="29">
        <v>1</v>
      </c>
      <c r="P870" s="29">
        <v>4.9800000000000004</v>
      </c>
      <c r="Q870" s="29" t="s">
        <v>1033</v>
      </c>
    </row>
    <row r="871" spans="1:17" x14ac:dyDescent="0.3">
      <c r="A871" s="29" t="s">
        <v>555</v>
      </c>
      <c r="B871" s="29">
        <v>1</v>
      </c>
      <c r="C871" s="29" t="s">
        <v>1050</v>
      </c>
      <c r="D871" s="29" t="s">
        <v>1087</v>
      </c>
      <c r="E871" s="29">
        <v>575</v>
      </c>
      <c r="G871" s="29" t="s">
        <v>1035</v>
      </c>
      <c r="H871" s="29">
        <v>1</v>
      </c>
      <c r="I871" s="29">
        <v>9.9600000000000009</v>
      </c>
      <c r="J871" s="29">
        <v>5.7270000000000003</v>
      </c>
      <c r="K871" s="29">
        <v>5.7270000000000003</v>
      </c>
      <c r="L871" s="29" t="s">
        <v>1032</v>
      </c>
      <c r="M871" s="29">
        <v>1</v>
      </c>
      <c r="N871" s="29">
        <v>0.57499999999999996</v>
      </c>
      <c r="O871" s="29">
        <v>1</v>
      </c>
      <c r="P871" s="29">
        <v>5.7270000000000003</v>
      </c>
      <c r="Q871" s="29" t="s">
        <v>1033</v>
      </c>
    </row>
    <row r="872" spans="1:17" x14ac:dyDescent="0.3">
      <c r="B872" s="29">
        <v>2</v>
      </c>
      <c r="C872" s="29" t="s">
        <v>1050</v>
      </c>
      <c r="D872" s="29" t="s">
        <v>1087</v>
      </c>
      <c r="E872" s="29">
        <v>700</v>
      </c>
      <c r="G872" s="29" t="s">
        <v>1035</v>
      </c>
      <c r="H872" s="29">
        <v>1</v>
      </c>
      <c r="I872" s="29">
        <v>9.9600000000000009</v>
      </c>
      <c r="J872" s="29">
        <v>6.9720000000000004</v>
      </c>
      <c r="K872" s="29">
        <v>6.9720000000000004</v>
      </c>
      <c r="L872" s="29" t="s">
        <v>1032</v>
      </c>
      <c r="M872" s="29">
        <v>1</v>
      </c>
      <c r="N872" s="29">
        <v>0.7</v>
      </c>
      <c r="O872" s="29">
        <v>1</v>
      </c>
      <c r="P872" s="29">
        <v>6.9720000000000004</v>
      </c>
      <c r="Q872" s="29" t="s">
        <v>1033</v>
      </c>
    </row>
    <row r="873" spans="1:17" x14ac:dyDescent="0.3">
      <c r="A873" s="29" t="s">
        <v>556</v>
      </c>
      <c r="B873" s="29">
        <v>1</v>
      </c>
      <c r="C873" s="29" t="s">
        <v>1050</v>
      </c>
      <c r="D873" s="29" t="s">
        <v>1087</v>
      </c>
      <c r="E873" s="29">
        <v>675</v>
      </c>
      <c r="G873" s="29" t="s">
        <v>1035</v>
      </c>
      <c r="H873" s="29">
        <v>1</v>
      </c>
      <c r="I873" s="29">
        <v>9.9600000000000009</v>
      </c>
      <c r="J873" s="29">
        <v>6.7230000000000008</v>
      </c>
      <c r="K873" s="29">
        <v>6.7230000000000008</v>
      </c>
      <c r="L873" s="29" t="s">
        <v>1032</v>
      </c>
      <c r="M873" s="29">
        <v>1</v>
      </c>
      <c r="N873" s="29">
        <v>0.67500000000000004</v>
      </c>
      <c r="O873" s="29">
        <v>1</v>
      </c>
      <c r="P873" s="29">
        <v>6.7230000000000008</v>
      </c>
      <c r="Q873" s="29" t="s">
        <v>1033</v>
      </c>
    </row>
    <row r="874" spans="1:17" x14ac:dyDescent="0.3">
      <c r="B874" s="29">
        <v>2</v>
      </c>
      <c r="C874" s="29" t="s">
        <v>1050</v>
      </c>
      <c r="D874" s="29" t="s">
        <v>1087</v>
      </c>
      <c r="E874" s="29">
        <v>300</v>
      </c>
      <c r="G874" s="29" t="s">
        <v>1035</v>
      </c>
      <c r="H874" s="29">
        <v>1</v>
      </c>
      <c r="I874" s="29">
        <v>9.9600000000000009</v>
      </c>
      <c r="J874" s="29">
        <v>2.988</v>
      </c>
      <c r="K874" s="29">
        <v>2.988</v>
      </c>
      <c r="L874" s="29" t="s">
        <v>1032</v>
      </c>
      <c r="M874" s="29">
        <v>1</v>
      </c>
      <c r="N874" s="29">
        <v>0.3</v>
      </c>
      <c r="O874" s="29">
        <v>1</v>
      </c>
      <c r="P874" s="29">
        <v>2.988</v>
      </c>
      <c r="Q874" s="29" t="s">
        <v>1033</v>
      </c>
    </row>
    <row r="875" spans="1:17" x14ac:dyDescent="0.3">
      <c r="A875" s="29" t="s">
        <v>556</v>
      </c>
      <c r="B875" s="29">
        <v>1</v>
      </c>
      <c r="C875" s="29" t="s">
        <v>1050</v>
      </c>
      <c r="D875" s="29" t="s">
        <v>1087</v>
      </c>
      <c r="E875" s="29">
        <v>675</v>
      </c>
      <c r="G875" s="29" t="s">
        <v>1035</v>
      </c>
      <c r="H875" s="29">
        <v>1</v>
      </c>
      <c r="I875" s="29">
        <v>9.9600000000000009</v>
      </c>
      <c r="J875" s="29">
        <v>6.7230000000000008</v>
      </c>
      <c r="K875" s="29">
        <v>6.7230000000000008</v>
      </c>
      <c r="L875" s="29" t="s">
        <v>1032</v>
      </c>
      <c r="M875" s="29">
        <v>1</v>
      </c>
      <c r="N875" s="29">
        <v>0.67500000000000004</v>
      </c>
      <c r="O875" s="29">
        <v>1</v>
      </c>
      <c r="P875" s="29">
        <v>6.7230000000000008</v>
      </c>
      <c r="Q875" s="29" t="s">
        <v>1033</v>
      </c>
    </row>
    <row r="876" spans="1:17" x14ac:dyDescent="0.3">
      <c r="B876" s="29">
        <v>2</v>
      </c>
      <c r="C876" s="29" t="s">
        <v>1050</v>
      </c>
      <c r="D876" s="29" t="s">
        <v>1087</v>
      </c>
      <c r="E876" s="29">
        <v>300</v>
      </c>
      <c r="G876" s="29" t="s">
        <v>1035</v>
      </c>
      <c r="H876" s="29">
        <v>1</v>
      </c>
      <c r="I876" s="29">
        <v>9.9600000000000009</v>
      </c>
      <c r="J876" s="29">
        <v>2.988</v>
      </c>
      <c r="K876" s="29">
        <v>2.988</v>
      </c>
      <c r="L876" s="29" t="s">
        <v>1032</v>
      </c>
      <c r="M876" s="29">
        <v>1</v>
      </c>
      <c r="N876" s="29">
        <v>0.3</v>
      </c>
      <c r="O876" s="29">
        <v>1</v>
      </c>
      <c r="P876" s="29">
        <v>2.988</v>
      </c>
      <c r="Q876" s="29" t="s">
        <v>1033</v>
      </c>
    </row>
    <row r="877" spans="1:17" x14ac:dyDescent="0.3">
      <c r="A877" s="29" t="s">
        <v>556</v>
      </c>
      <c r="B877" s="29">
        <v>1</v>
      </c>
      <c r="C877" s="29" t="s">
        <v>1050</v>
      </c>
      <c r="D877" s="29" t="s">
        <v>1087</v>
      </c>
      <c r="E877" s="29">
        <v>675</v>
      </c>
      <c r="G877" s="29" t="s">
        <v>1035</v>
      </c>
      <c r="H877" s="29">
        <v>1</v>
      </c>
      <c r="I877" s="29">
        <v>9.9600000000000009</v>
      </c>
      <c r="J877" s="29">
        <v>6.7230000000000008</v>
      </c>
      <c r="K877" s="29">
        <v>6.7230000000000008</v>
      </c>
      <c r="L877" s="29" t="s">
        <v>1032</v>
      </c>
      <c r="M877" s="29">
        <v>1</v>
      </c>
      <c r="N877" s="29">
        <v>0.67500000000000004</v>
      </c>
      <c r="O877" s="29">
        <v>1</v>
      </c>
      <c r="P877" s="29">
        <v>6.7230000000000008</v>
      </c>
      <c r="Q877" s="29" t="s">
        <v>1033</v>
      </c>
    </row>
    <row r="878" spans="1:17" x14ac:dyDescent="0.3">
      <c r="B878" s="29">
        <v>2</v>
      </c>
      <c r="C878" s="29" t="s">
        <v>1050</v>
      </c>
      <c r="D878" s="30" t="s">
        <v>1087</v>
      </c>
      <c r="E878" s="29">
        <v>300</v>
      </c>
      <c r="G878" s="29" t="s">
        <v>1035</v>
      </c>
      <c r="H878" s="29">
        <v>1</v>
      </c>
      <c r="I878" s="29">
        <v>9.9600000000000009</v>
      </c>
      <c r="J878" s="29">
        <v>2.988</v>
      </c>
      <c r="K878" s="29">
        <v>2.988</v>
      </c>
      <c r="L878" s="29" t="s">
        <v>1032</v>
      </c>
      <c r="M878" s="29">
        <v>1</v>
      </c>
      <c r="N878" s="29">
        <v>0.3</v>
      </c>
      <c r="O878" s="29">
        <v>1</v>
      </c>
      <c r="P878" s="29">
        <v>2.988</v>
      </c>
      <c r="Q878" s="29" t="s">
        <v>1033</v>
      </c>
    </row>
    <row r="879" spans="1:17" x14ac:dyDescent="0.3">
      <c r="A879" s="29" t="s">
        <v>556</v>
      </c>
      <c r="B879" s="29">
        <v>1</v>
      </c>
      <c r="C879" s="29" t="s">
        <v>1050</v>
      </c>
      <c r="D879" s="29" t="s">
        <v>1087</v>
      </c>
      <c r="E879" s="29">
        <v>675</v>
      </c>
      <c r="G879" s="29" t="s">
        <v>1035</v>
      </c>
      <c r="H879" s="29">
        <v>1</v>
      </c>
      <c r="I879" s="29">
        <v>9.9600000000000009</v>
      </c>
      <c r="J879" s="29">
        <v>6.7230000000000008</v>
      </c>
      <c r="K879" s="29">
        <v>6.7230000000000008</v>
      </c>
      <c r="L879" s="29" t="s">
        <v>1032</v>
      </c>
      <c r="M879" s="29">
        <v>1</v>
      </c>
      <c r="N879" s="29">
        <v>0.67500000000000004</v>
      </c>
      <c r="O879" s="29">
        <v>1</v>
      </c>
      <c r="P879" s="29">
        <v>6.7230000000000008</v>
      </c>
      <c r="Q879" s="29" t="s">
        <v>1033</v>
      </c>
    </row>
    <row r="880" spans="1:17" x14ac:dyDescent="0.3">
      <c r="B880" s="29">
        <v>2</v>
      </c>
      <c r="C880" s="29" t="s">
        <v>1050</v>
      </c>
      <c r="D880" s="29" t="s">
        <v>1087</v>
      </c>
      <c r="E880" s="29">
        <v>300</v>
      </c>
      <c r="G880" s="29" t="s">
        <v>1035</v>
      </c>
      <c r="H880" s="29">
        <v>1</v>
      </c>
      <c r="I880" s="29">
        <v>9.9600000000000009</v>
      </c>
      <c r="J880" s="29">
        <v>2.988</v>
      </c>
      <c r="K880" s="29">
        <v>2.988</v>
      </c>
      <c r="L880" s="29" t="s">
        <v>1032</v>
      </c>
      <c r="M880" s="29">
        <v>1</v>
      </c>
      <c r="N880" s="29">
        <v>0.3</v>
      </c>
      <c r="O880" s="29">
        <v>1</v>
      </c>
      <c r="P880" s="29">
        <v>2.988</v>
      </c>
      <c r="Q880" s="29" t="s">
        <v>1033</v>
      </c>
    </row>
    <row r="881" spans="1:17" x14ac:dyDescent="0.3">
      <c r="A881" s="29" t="s">
        <v>557</v>
      </c>
      <c r="B881" s="29">
        <v>1</v>
      </c>
      <c r="C881" s="29" t="s">
        <v>1050</v>
      </c>
      <c r="D881" s="29" t="s">
        <v>1087</v>
      </c>
      <c r="E881" s="29">
        <v>675</v>
      </c>
      <c r="G881" s="29" t="s">
        <v>1035</v>
      </c>
      <c r="H881" s="29">
        <v>1</v>
      </c>
      <c r="I881" s="29">
        <v>9.9600000000000009</v>
      </c>
      <c r="J881" s="29">
        <v>6.7230000000000008</v>
      </c>
      <c r="K881" s="29">
        <v>6.7230000000000008</v>
      </c>
      <c r="L881" s="29" t="s">
        <v>1032</v>
      </c>
      <c r="M881" s="29">
        <v>1</v>
      </c>
      <c r="N881" s="29">
        <v>0.67500000000000004</v>
      </c>
      <c r="O881" s="29">
        <v>1</v>
      </c>
      <c r="P881" s="29">
        <v>6.7230000000000008</v>
      </c>
      <c r="Q881" s="29" t="s">
        <v>1033</v>
      </c>
    </row>
    <row r="882" spans="1:17" x14ac:dyDescent="0.3">
      <c r="B882" s="29">
        <v>2</v>
      </c>
      <c r="C882" s="29" t="s">
        <v>1050</v>
      </c>
      <c r="D882" s="30" t="s">
        <v>1087</v>
      </c>
      <c r="E882" s="29">
        <v>500</v>
      </c>
      <c r="G882" s="29" t="s">
        <v>1035</v>
      </c>
      <c r="H882" s="29">
        <v>1</v>
      </c>
      <c r="I882" s="29">
        <v>9.9600000000000009</v>
      </c>
      <c r="J882" s="29">
        <v>4.9800000000000004</v>
      </c>
      <c r="K882" s="29">
        <v>4.9800000000000004</v>
      </c>
      <c r="L882" s="29" t="s">
        <v>1032</v>
      </c>
      <c r="M882" s="29">
        <v>1</v>
      </c>
      <c r="N882" s="29">
        <v>0.5</v>
      </c>
      <c r="O882" s="29">
        <v>1</v>
      </c>
      <c r="P882" s="29">
        <v>4.9800000000000004</v>
      </c>
      <c r="Q882" s="29" t="s">
        <v>1033</v>
      </c>
    </row>
    <row r="883" spans="1:17" x14ac:dyDescent="0.3">
      <c r="A883" s="29" t="s">
        <v>557</v>
      </c>
      <c r="B883" s="29">
        <v>1</v>
      </c>
      <c r="C883" s="29" t="s">
        <v>1050</v>
      </c>
      <c r="D883" s="29" t="s">
        <v>1087</v>
      </c>
      <c r="E883" s="29">
        <v>675</v>
      </c>
      <c r="G883" s="29" t="s">
        <v>1035</v>
      </c>
      <c r="H883" s="29">
        <v>1</v>
      </c>
      <c r="I883" s="29">
        <v>9.9600000000000009</v>
      </c>
      <c r="J883" s="29">
        <v>6.7230000000000008</v>
      </c>
      <c r="K883" s="29">
        <v>6.7230000000000008</v>
      </c>
      <c r="L883" s="29" t="s">
        <v>1032</v>
      </c>
      <c r="M883" s="29">
        <v>1</v>
      </c>
      <c r="N883" s="29">
        <v>0.67500000000000004</v>
      </c>
      <c r="O883" s="29">
        <v>1</v>
      </c>
      <c r="P883" s="29">
        <v>6.7230000000000008</v>
      </c>
      <c r="Q883" s="29" t="s">
        <v>1033</v>
      </c>
    </row>
    <row r="884" spans="1:17" x14ac:dyDescent="0.3">
      <c r="B884" s="29">
        <v>2</v>
      </c>
      <c r="C884" s="29" t="s">
        <v>1050</v>
      </c>
      <c r="D884" s="29" t="s">
        <v>1087</v>
      </c>
      <c r="E884" s="29">
        <v>500</v>
      </c>
      <c r="G884" s="29" t="s">
        <v>1035</v>
      </c>
      <c r="H884" s="29">
        <v>1</v>
      </c>
      <c r="I884" s="29">
        <v>9.9600000000000009</v>
      </c>
      <c r="J884" s="29">
        <v>4.9800000000000004</v>
      </c>
      <c r="K884" s="29">
        <v>4.9800000000000004</v>
      </c>
      <c r="L884" s="29" t="s">
        <v>1032</v>
      </c>
      <c r="M884" s="29">
        <v>1</v>
      </c>
      <c r="N884" s="29">
        <v>0.5</v>
      </c>
      <c r="O884" s="29">
        <v>1</v>
      </c>
      <c r="P884" s="29">
        <v>4.9800000000000004</v>
      </c>
      <c r="Q884" s="29" t="s">
        <v>1033</v>
      </c>
    </row>
    <row r="885" spans="1:17" x14ac:dyDescent="0.3">
      <c r="A885" s="29" t="s">
        <v>557</v>
      </c>
      <c r="B885" s="29">
        <v>1</v>
      </c>
      <c r="C885" s="29" t="s">
        <v>1050</v>
      </c>
      <c r="D885" s="29" t="s">
        <v>1087</v>
      </c>
      <c r="E885" s="29">
        <v>675</v>
      </c>
      <c r="G885" s="29" t="s">
        <v>1035</v>
      </c>
      <c r="H885" s="29">
        <v>1</v>
      </c>
      <c r="I885" s="29">
        <v>9.9600000000000009</v>
      </c>
      <c r="J885" s="29">
        <v>6.7230000000000008</v>
      </c>
      <c r="K885" s="29">
        <v>6.7230000000000008</v>
      </c>
      <c r="L885" s="29" t="s">
        <v>1032</v>
      </c>
      <c r="M885" s="29">
        <v>1</v>
      </c>
      <c r="N885" s="29">
        <v>0.67500000000000004</v>
      </c>
      <c r="O885" s="29">
        <v>1</v>
      </c>
      <c r="P885" s="29">
        <v>6.7230000000000008</v>
      </c>
      <c r="Q885" s="29" t="s">
        <v>1033</v>
      </c>
    </row>
    <row r="886" spans="1:17" x14ac:dyDescent="0.3">
      <c r="B886" s="29">
        <v>2</v>
      </c>
      <c r="C886" s="29" t="s">
        <v>1050</v>
      </c>
      <c r="D886" s="30" t="s">
        <v>1087</v>
      </c>
      <c r="E886" s="29">
        <v>500</v>
      </c>
      <c r="G886" s="29" t="s">
        <v>1035</v>
      </c>
      <c r="H886" s="29">
        <v>1</v>
      </c>
      <c r="I886" s="29">
        <v>9.9600000000000009</v>
      </c>
      <c r="J886" s="29">
        <v>4.9800000000000004</v>
      </c>
      <c r="K886" s="29">
        <v>4.9800000000000004</v>
      </c>
      <c r="L886" s="29" t="s">
        <v>1032</v>
      </c>
      <c r="M886" s="29">
        <v>1</v>
      </c>
      <c r="N886" s="29">
        <v>0.5</v>
      </c>
      <c r="O886" s="29">
        <v>1</v>
      </c>
      <c r="P886" s="29">
        <v>4.9800000000000004</v>
      </c>
      <c r="Q886" s="29" t="s">
        <v>1033</v>
      </c>
    </row>
    <row r="887" spans="1:17" x14ac:dyDescent="0.3">
      <c r="A887" s="29" t="s">
        <v>558</v>
      </c>
      <c r="B887" s="29">
        <v>1</v>
      </c>
      <c r="C887" s="29" t="s">
        <v>1050</v>
      </c>
      <c r="D887" s="30" t="s">
        <v>1087</v>
      </c>
      <c r="E887" s="29">
        <v>675</v>
      </c>
      <c r="G887" s="29" t="s">
        <v>1035</v>
      </c>
      <c r="H887" s="29">
        <v>1</v>
      </c>
      <c r="I887" s="29">
        <v>9.9600000000000009</v>
      </c>
      <c r="J887" s="29">
        <v>6.7230000000000008</v>
      </c>
      <c r="K887" s="29">
        <v>6.7230000000000008</v>
      </c>
      <c r="L887" s="29" t="s">
        <v>1032</v>
      </c>
      <c r="M887" s="29">
        <v>1</v>
      </c>
      <c r="N887" s="29">
        <v>0.67500000000000004</v>
      </c>
      <c r="O887" s="29">
        <v>1</v>
      </c>
      <c r="P887" s="29">
        <v>6.7230000000000008</v>
      </c>
      <c r="Q887" s="29" t="s">
        <v>1033</v>
      </c>
    </row>
    <row r="888" spans="1:17" x14ac:dyDescent="0.3">
      <c r="B888" s="29">
        <v>2</v>
      </c>
      <c r="C888" s="29" t="s">
        <v>1050</v>
      </c>
      <c r="D888" s="29" t="s">
        <v>1087</v>
      </c>
      <c r="E888" s="29">
        <v>700</v>
      </c>
      <c r="G888" s="29" t="s">
        <v>1035</v>
      </c>
      <c r="H888" s="29">
        <v>1</v>
      </c>
      <c r="I888" s="29">
        <v>9.9600000000000009</v>
      </c>
      <c r="J888" s="29">
        <v>6.9720000000000004</v>
      </c>
      <c r="K888" s="29">
        <v>6.9720000000000004</v>
      </c>
      <c r="L888" s="29" t="s">
        <v>1032</v>
      </c>
      <c r="M888" s="29">
        <v>1</v>
      </c>
      <c r="N888" s="29">
        <v>0.7</v>
      </c>
      <c r="O888" s="29">
        <v>1</v>
      </c>
      <c r="P888" s="29">
        <v>6.9720000000000004</v>
      </c>
      <c r="Q888" s="29" t="s">
        <v>1033</v>
      </c>
    </row>
    <row r="889" spans="1:17" x14ac:dyDescent="0.3">
      <c r="A889" s="29" t="s">
        <v>559</v>
      </c>
      <c r="B889" s="29">
        <v>1</v>
      </c>
      <c r="C889" s="29" t="s">
        <v>1050</v>
      </c>
      <c r="D889" s="29" t="s">
        <v>1087</v>
      </c>
      <c r="E889" s="29">
        <v>775</v>
      </c>
      <c r="G889" s="29" t="s">
        <v>1035</v>
      </c>
      <c r="H889" s="29">
        <v>1</v>
      </c>
      <c r="I889" s="29">
        <v>9.9600000000000009</v>
      </c>
      <c r="J889" s="29">
        <v>7.7190000000000012</v>
      </c>
      <c r="K889" s="29">
        <v>7.7190000000000012</v>
      </c>
      <c r="L889" s="29" t="s">
        <v>1032</v>
      </c>
      <c r="M889" s="29">
        <v>1</v>
      </c>
      <c r="N889" s="29">
        <v>0.77500000000000002</v>
      </c>
      <c r="O889" s="29">
        <v>1</v>
      </c>
      <c r="P889" s="29">
        <v>7.7190000000000012</v>
      </c>
      <c r="Q889" s="29" t="s">
        <v>1033</v>
      </c>
    </row>
    <row r="890" spans="1:17" x14ac:dyDescent="0.3">
      <c r="B890" s="29">
        <v>2</v>
      </c>
      <c r="C890" s="29" t="s">
        <v>1050</v>
      </c>
      <c r="D890" s="29" t="s">
        <v>1087</v>
      </c>
      <c r="E890" s="29">
        <v>300</v>
      </c>
      <c r="G890" s="29" t="s">
        <v>1035</v>
      </c>
      <c r="H890" s="29">
        <v>1</v>
      </c>
      <c r="I890" s="29">
        <v>9.9600000000000009</v>
      </c>
      <c r="J890" s="29">
        <v>2.988</v>
      </c>
      <c r="K890" s="29">
        <v>2.988</v>
      </c>
      <c r="L890" s="29" t="s">
        <v>1032</v>
      </c>
      <c r="M890" s="29">
        <v>1</v>
      </c>
      <c r="N890" s="29">
        <v>0.3</v>
      </c>
      <c r="O890" s="29">
        <v>1</v>
      </c>
      <c r="P890" s="29">
        <v>2.988</v>
      </c>
      <c r="Q890" s="29" t="s">
        <v>1033</v>
      </c>
    </row>
    <row r="891" spans="1:17" x14ac:dyDescent="0.3">
      <c r="A891" s="29" t="s">
        <v>559</v>
      </c>
      <c r="B891" s="29">
        <v>1</v>
      </c>
      <c r="C891" s="29" t="s">
        <v>1050</v>
      </c>
      <c r="D891" s="30" t="s">
        <v>1087</v>
      </c>
      <c r="E891" s="29">
        <v>775</v>
      </c>
      <c r="G891" s="29" t="s">
        <v>1035</v>
      </c>
      <c r="H891" s="29">
        <v>1</v>
      </c>
      <c r="I891" s="29">
        <v>9.9600000000000009</v>
      </c>
      <c r="J891" s="29">
        <v>7.7190000000000012</v>
      </c>
      <c r="K891" s="29">
        <v>7.7190000000000012</v>
      </c>
      <c r="L891" s="29" t="s">
        <v>1032</v>
      </c>
      <c r="M891" s="29">
        <v>1</v>
      </c>
      <c r="N891" s="29">
        <v>0.77500000000000002</v>
      </c>
      <c r="O891" s="29">
        <v>1</v>
      </c>
      <c r="P891" s="29">
        <v>7.7190000000000012</v>
      </c>
      <c r="Q891" s="29" t="s">
        <v>1033</v>
      </c>
    </row>
    <row r="892" spans="1:17" x14ac:dyDescent="0.3">
      <c r="B892" s="29">
        <v>2</v>
      </c>
      <c r="C892" s="29" t="s">
        <v>1050</v>
      </c>
      <c r="D892" s="30" t="s">
        <v>1087</v>
      </c>
      <c r="E892" s="29">
        <v>300</v>
      </c>
      <c r="G892" s="29" t="s">
        <v>1035</v>
      </c>
      <c r="H892" s="29">
        <v>1</v>
      </c>
      <c r="I892" s="29">
        <v>9.9600000000000009</v>
      </c>
      <c r="J892" s="29">
        <v>2.988</v>
      </c>
      <c r="K892" s="29">
        <v>2.988</v>
      </c>
      <c r="L892" s="29" t="s">
        <v>1032</v>
      </c>
      <c r="M892" s="29">
        <v>1</v>
      </c>
      <c r="N892" s="29">
        <v>0.3</v>
      </c>
      <c r="O892" s="29">
        <v>1</v>
      </c>
      <c r="P892" s="29">
        <v>2.988</v>
      </c>
      <c r="Q892" s="29" t="s">
        <v>1033</v>
      </c>
    </row>
    <row r="893" spans="1:17" x14ac:dyDescent="0.3">
      <c r="A893" s="29" t="s">
        <v>559</v>
      </c>
      <c r="B893" s="29">
        <v>1</v>
      </c>
      <c r="C893" s="29" t="s">
        <v>1050</v>
      </c>
      <c r="D893" s="29" t="s">
        <v>1087</v>
      </c>
      <c r="E893" s="29">
        <v>775</v>
      </c>
      <c r="G893" s="29" t="s">
        <v>1035</v>
      </c>
      <c r="H893" s="29">
        <v>1</v>
      </c>
      <c r="I893" s="29">
        <v>9.9600000000000009</v>
      </c>
      <c r="J893" s="29">
        <v>7.7190000000000012</v>
      </c>
      <c r="K893" s="29">
        <v>7.7190000000000012</v>
      </c>
      <c r="L893" s="29" t="s">
        <v>1032</v>
      </c>
      <c r="M893" s="29">
        <v>1</v>
      </c>
      <c r="N893" s="29">
        <v>0.77500000000000002</v>
      </c>
      <c r="O893" s="29">
        <v>1</v>
      </c>
      <c r="P893" s="29">
        <v>7.7190000000000012</v>
      </c>
      <c r="Q893" s="29" t="s">
        <v>1033</v>
      </c>
    </row>
    <row r="894" spans="1:17" x14ac:dyDescent="0.3">
      <c r="B894" s="29">
        <v>2</v>
      </c>
      <c r="C894" s="29" t="s">
        <v>1050</v>
      </c>
      <c r="D894" s="29" t="s">
        <v>1087</v>
      </c>
      <c r="E894" s="29">
        <v>300</v>
      </c>
      <c r="G894" s="29" t="s">
        <v>1035</v>
      </c>
      <c r="H894" s="29">
        <v>1</v>
      </c>
      <c r="I894" s="29">
        <v>9.9600000000000009</v>
      </c>
      <c r="J894" s="29">
        <v>2.988</v>
      </c>
      <c r="K894" s="29">
        <v>2.988</v>
      </c>
      <c r="L894" s="29" t="s">
        <v>1032</v>
      </c>
      <c r="M894" s="29">
        <v>1</v>
      </c>
      <c r="N894" s="29">
        <v>0.3</v>
      </c>
      <c r="O894" s="29">
        <v>1</v>
      </c>
      <c r="P894" s="29">
        <v>2.988</v>
      </c>
      <c r="Q894" s="29" t="s">
        <v>1033</v>
      </c>
    </row>
    <row r="895" spans="1:17" x14ac:dyDescent="0.3">
      <c r="A895" s="29" t="s">
        <v>560</v>
      </c>
      <c r="B895" s="29">
        <v>1</v>
      </c>
      <c r="C895" s="29" t="s">
        <v>1050</v>
      </c>
      <c r="D895" s="30" t="s">
        <v>1087</v>
      </c>
      <c r="E895" s="29">
        <v>875</v>
      </c>
      <c r="G895" s="29" t="s">
        <v>1035</v>
      </c>
      <c r="H895" s="29">
        <v>1</v>
      </c>
      <c r="I895" s="29">
        <v>9.9600000000000009</v>
      </c>
      <c r="J895" s="29">
        <v>8.7149999999999999</v>
      </c>
      <c r="K895" s="29">
        <v>8.7149999999999999</v>
      </c>
      <c r="L895" s="29" t="s">
        <v>1032</v>
      </c>
      <c r="M895" s="29">
        <v>1</v>
      </c>
      <c r="N895" s="29">
        <v>0.875</v>
      </c>
      <c r="O895" s="29">
        <v>1</v>
      </c>
      <c r="P895" s="29">
        <v>8.7149999999999999</v>
      </c>
      <c r="Q895" s="29" t="s">
        <v>1033</v>
      </c>
    </row>
    <row r="896" spans="1:17" x14ac:dyDescent="0.3">
      <c r="B896" s="29">
        <v>2</v>
      </c>
      <c r="C896" s="29" t="s">
        <v>1050</v>
      </c>
      <c r="D896" s="29" t="s">
        <v>1087</v>
      </c>
      <c r="E896" s="29">
        <v>300</v>
      </c>
      <c r="G896" s="29" t="s">
        <v>1035</v>
      </c>
      <c r="H896" s="29">
        <v>1</v>
      </c>
      <c r="I896" s="29">
        <v>9.9600000000000009</v>
      </c>
      <c r="J896" s="29">
        <v>2.988</v>
      </c>
      <c r="K896" s="29">
        <v>2.988</v>
      </c>
      <c r="L896" s="29" t="s">
        <v>1032</v>
      </c>
      <c r="M896" s="29">
        <v>1</v>
      </c>
      <c r="N896" s="29">
        <v>0.3</v>
      </c>
      <c r="O896" s="29">
        <v>1</v>
      </c>
      <c r="P896" s="29">
        <v>2.988</v>
      </c>
      <c r="Q896" s="29" t="s">
        <v>1033</v>
      </c>
    </row>
    <row r="897" spans="1:17" x14ac:dyDescent="0.3">
      <c r="A897" s="29" t="s">
        <v>560</v>
      </c>
      <c r="B897" s="29">
        <v>1</v>
      </c>
      <c r="C897" s="29" t="s">
        <v>1050</v>
      </c>
      <c r="D897" s="29" t="s">
        <v>1087</v>
      </c>
      <c r="E897" s="29">
        <v>875</v>
      </c>
      <c r="G897" s="29" t="s">
        <v>1035</v>
      </c>
      <c r="H897" s="29">
        <v>1</v>
      </c>
      <c r="I897" s="29">
        <v>9.9600000000000009</v>
      </c>
      <c r="J897" s="29">
        <v>8.7149999999999999</v>
      </c>
      <c r="K897" s="29">
        <v>8.7149999999999999</v>
      </c>
      <c r="L897" s="29" t="s">
        <v>1032</v>
      </c>
      <c r="M897" s="29">
        <v>1</v>
      </c>
      <c r="N897" s="29">
        <v>0.875</v>
      </c>
      <c r="O897" s="29">
        <v>1</v>
      </c>
      <c r="P897" s="29">
        <v>8.7149999999999999</v>
      </c>
      <c r="Q897" s="29" t="s">
        <v>1033</v>
      </c>
    </row>
    <row r="898" spans="1:17" x14ac:dyDescent="0.3">
      <c r="B898" s="29">
        <v>2</v>
      </c>
      <c r="C898" s="29" t="s">
        <v>1050</v>
      </c>
      <c r="D898" s="30" t="s">
        <v>1087</v>
      </c>
      <c r="E898" s="29">
        <v>300</v>
      </c>
      <c r="G898" s="29" t="s">
        <v>1035</v>
      </c>
      <c r="H898" s="29">
        <v>1</v>
      </c>
      <c r="I898" s="29">
        <v>9.9600000000000009</v>
      </c>
      <c r="J898" s="29">
        <v>2.988</v>
      </c>
      <c r="K898" s="29">
        <v>2.988</v>
      </c>
      <c r="L898" s="29" t="s">
        <v>1032</v>
      </c>
      <c r="M898" s="29">
        <v>1</v>
      </c>
      <c r="N898" s="29">
        <v>0.3</v>
      </c>
      <c r="O898" s="29">
        <v>1</v>
      </c>
      <c r="P898" s="29">
        <v>2.988</v>
      </c>
      <c r="Q898" s="29" t="s">
        <v>1033</v>
      </c>
    </row>
    <row r="899" spans="1:17" x14ac:dyDescent="0.3">
      <c r="A899" s="29" t="s">
        <v>560</v>
      </c>
      <c r="B899" s="29">
        <v>1</v>
      </c>
      <c r="C899" s="29" t="s">
        <v>1050</v>
      </c>
      <c r="D899" s="29" t="s">
        <v>1087</v>
      </c>
      <c r="E899" s="29">
        <v>875</v>
      </c>
      <c r="G899" s="29" t="s">
        <v>1035</v>
      </c>
      <c r="H899" s="29">
        <v>1</v>
      </c>
      <c r="I899" s="29">
        <v>9.9600000000000009</v>
      </c>
      <c r="J899" s="29">
        <v>8.7149999999999999</v>
      </c>
      <c r="K899" s="29">
        <v>8.7149999999999999</v>
      </c>
      <c r="L899" s="29" t="s">
        <v>1032</v>
      </c>
      <c r="M899" s="29">
        <v>1</v>
      </c>
      <c r="N899" s="29">
        <v>0.875</v>
      </c>
      <c r="O899" s="29">
        <v>1</v>
      </c>
      <c r="P899" s="29">
        <v>8.7149999999999999</v>
      </c>
      <c r="Q899" s="29" t="s">
        <v>1033</v>
      </c>
    </row>
    <row r="900" spans="1:17" x14ac:dyDescent="0.3">
      <c r="B900" s="29">
        <v>2</v>
      </c>
      <c r="C900" s="29" t="s">
        <v>1050</v>
      </c>
      <c r="D900" s="29" t="s">
        <v>1087</v>
      </c>
      <c r="E900" s="29">
        <v>300</v>
      </c>
      <c r="G900" s="29" t="s">
        <v>1035</v>
      </c>
      <c r="H900" s="29">
        <v>1</v>
      </c>
      <c r="I900" s="29">
        <v>9.9600000000000009</v>
      </c>
      <c r="J900" s="29">
        <v>2.988</v>
      </c>
      <c r="K900" s="29">
        <v>2.988</v>
      </c>
      <c r="L900" s="29" t="s">
        <v>1032</v>
      </c>
      <c r="M900" s="29">
        <v>1</v>
      </c>
      <c r="N900" s="29">
        <v>0.3</v>
      </c>
      <c r="O900" s="29">
        <v>1</v>
      </c>
      <c r="P900" s="29">
        <v>2.988</v>
      </c>
      <c r="Q900" s="29" t="s">
        <v>1033</v>
      </c>
    </row>
    <row r="901" spans="1:17" x14ac:dyDescent="0.3">
      <c r="A901" s="29" t="s">
        <v>560</v>
      </c>
      <c r="B901" s="29">
        <v>1</v>
      </c>
      <c r="C901" s="29" t="s">
        <v>1050</v>
      </c>
      <c r="D901" s="30" t="s">
        <v>1087</v>
      </c>
      <c r="E901" s="29">
        <v>875</v>
      </c>
      <c r="G901" s="29" t="s">
        <v>1035</v>
      </c>
      <c r="H901" s="29">
        <v>1</v>
      </c>
      <c r="I901" s="29">
        <v>9.9600000000000009</v>
      </c>
      <c r="J901" s="29">
        <v>8.7149999999999999</v>
      </c>
      <c r="K901" s="29">
        <v>8.7149999999999999</v>
      </c>
      <c r="L901" s="29" t="s">
        <v>1032</v>
      </c>
      <c r="M901" s="29">
        <v>1</v>
      </c>
      <c r="N901" s="29">
        <v>0.875</v>
      </c>
      <c r="O901" s="29">
        <v>1</v>
      </c>
      <c r="P901" s="29">
        <v>8.7149999999999999</v>
      </c>
      <c r="Q901" s="29" t="s">
        <v>1033</v>
      </c>
    </row>
    <row r="902" spans="1:17" x14ac:dyDescent="0.3">
      <c r="B902" s="29">
        <v>2</v>
      </c>
      <c r="C902" s="29" t="s">
        <v>1050</v>
      </c>
      <c r="D902" s="29" t="s">
        <v>1087</v>
      </c>
      <c r="E902" s="29">
        <v>300</v>
      </c>
      <c r="G902" s="29" t="s">
        <v>1035</v>
      </c>
      <c r="H902" s="29">
        <v>1</v>
      </c>
      <c r="I902" s="29">
        <v>9.9600000000000009</v>
      </c>
      <c r="J902" s="29">
        <v>2.988</v>
      </c>
      <c r="K902" s="29">
        <v>2.988</v>
      </c>
      <c r="L902" s="29" t="s">
        <v>1032</v>
      </c>
      <c r="M902" s="29">
        <v>1</v>
      </c>
      <c r="N902" s="29">
        <v>0.3</v>
      </c>
      <c r="O902" s="29">
        <v>1</v>
      </c>
      <c r="P902" s="29">
        <v>2.988</v>
      </c>
      <c r="Q902" s="29" t="s">
        <v>1033</v>
      </c>
    </row>
    <row r="903" spans="1:17" x14ac:dyDescent="0.3">
      <c r="A903" s="29" t="s">
        <v>561</v>
      </c>
      <c r="B903" s="29">
        <v>1</v>
      </c>
      <c r="C903" s="29" t="s">
        <v>1050</v>
      </c>
      <c r="D903" s="29" t="s">
        <v>1087</v>
      </c>
      <c r="E903" s="29">
        <v>875</v>
      </c>
      <c r="G903" s="29" t="s">
        <v>1035</v>
      </c>
      <c r="H903" s="29">
        <v>1</v>
      </c>
      <c r="I903" s="29">
        <v>9.9600000000000009</v>
      </c>
      <c r="J903" s="29">
        <v>8.7149999999999999</v>
      </c>
      <c r="K903" s="29">
        <v>8.7149999999999999</v>
      </c>
      <c r="L903" s="29" t="s">
        <v>1032</v>
      </c>
      <c r="M903" s="29">
        <v>1</v>
      </c>
      <c r="N903" s="29">
        <v>0.875</v>
      </c>
      <c r="O903" s="29">
        <v>1</v>
      </c>
      <c r="P903" s="29">
        <v>8.7149999999999999</v>
      </c>
      <c r="Q903" s="29" t="s">
        <v>1033</v>
      </c>
    </row>
    <row r="904" spans="1:17" x14ac:dyDescent="0.3">
      <c r="B904" s="29">
        <v>2</v>
      </c>
      <c r="C904" s="29" t="s">
        <v>1050</v>
      </c>
      <c r="D904" s="30" t="s">
        <v>1087</v>
      </c>
      <c r="E904" s="29">
        <v>700</v>
      </c>
      <c r="G904" s="29" t="s">
        <v>1035</v>
      </c>
      <c r="H904" s="29">
        <v>1</v>
      </c>
      <c r="I904" s="29">
        <v>9.9600000000000009</v>
      </c>
      <c r="J904" s="29">
        <v>6.9720000000000004</v>
      </c>
      <c r="K904" s="29">
        <v>6.9720000000000004</v>
      </c>
      <c r="L904" s="29" t="s">
        <v>1032</v>
      </c>
      <c r="M904" s="29">
        <v>1</v>
      </c>
      <c r="N904" s="29">
        <v>0.7</v>
      </c>
      <c r="O904" s="29">
        <v>1</v>
      </c>
      <c r="P904" s="29">
        <v>6.9720000000000004</v>
      </c>
      <c r="Q904" s="29" t="s">
        <v>1033</v>
      </c>
    </row>
    <row r="905" spans="1:17" x14ac:dyDescent="0.3">
      <c r="A905" s="29" t="s">
        <v>562</v>
      </c>
      <c r="B905" s="29">
        <v>1</v>
      </c>
      <c r="C905" s="29" t="s">
        <v>1050</v>
      </c>
      <c r="D905" s="30" t="s">
        <v>1087</v>
      </c>
      <c r="E905" s="29">
        <v>975</v>
      </c>
      <c r="G905" s="29" t="s">
        <v>1035</v>
      </c>
      <c r="H905" s="29">
        <v>1</v>
      </c>
      <c r="I905" s="29">
        <v>9.9600000000000009</v>
      </c>
      <c r="J905" s="29">
        <v>9.7110000000000003</v>
      </c>
      <c r="K905" s="29">
        <v>9.7110000000000003</v>
      </c>
      <c r="L905" s="29" t="s">
        <v>1032</v>
      </c>
      <c r="M905" s="29">
        <v>1</v>
      </c>
      <c r="N905" s="29">
        <v>0.97499999999999998</v>
      </c>
      <c r="O905" s="29">
        <v>1</v>
      </c>
      <c r="P905" s="29">
        <v>9.7110000000000003</v>
      </c>
      <c r="Q905" s="29" t="s">
        <v>1033</v>
      </c>
    </row>
    <row r="906" spans="1:17" x14ac:dyDescent="0.3">
      <c r="B906" s="29">
        <v>2</v>
      </c>
      <c r="C906" s="29" t="s">
        <v>1050</v>
      </c>
      <c r="D906" s="29" t="s">
        <v>1087</v>
      </c>
      <c r="E906" s="29">
        <v>300</v>
      </c>
      <c r="G906" s="29" t="s">
        <v>1035</v>
      </c>
      <c r="H906" s="29">
        <v>1</v>
      </c>
      <c r="I906" s="29">
        <v>9.9600000000000009</v>
      </c>
      <c r="J906" s="29">
        <v>2.988</v>
      </c>
      <c r="K906" s="29">
        <v>2.988</v>
      </c>
      <c r="L906" s="29" t="s">
        <v>1032</v>
      </c>
      <c r="M906" s="29">
        <v>1</v>
      </c>
      <c r="N906" s="29">
        <v>0.3</v>
      </c>
      <c r="O906" s="29">
        <v>1</v>
      </c>
      <c r="P906" s="29">
        <v>2.988</v>
      </c>
      <c r="Q906" s="29" t="s">
        <v>1033</v>
      </c>
    </row>
    <row r="907" spans="1:17" x14ac:dyDescent="0.3">
      <c r="A907" s="29" t="s">
        <v>562</v>
      </c>
      <c r="B907" s="29">
        <v>1</v>
      </c>
      <c r="C907" s="29" t="s">
        <v>1050</v>
      </c>
      <c r="D907" s="30" t="s">
        <v>1087</v>
      </c>
      <c r="E907" s="29">
        <v>975</v>
      </c>
      <c r="G907" s="29" t="s">
        <v>1035</v>
      </c>
      <c r="H907" s="29">
        <v>1</v>
      </c>
      <c r="I907" s="29">
        <v>9.9600000000000009</v>
      </c>
      <c r="J907" s="29">
        <v>9.7110000000000003</v>
      </c>
      <c r="K907" s="29">
        <v>9.7110000000000003</v>
      </c>
      <c r="L907" s="29" t="s">
        <v>1032</v>
      </c>
      <c r="M907" s="29">
        <v>1</v>
      </c>
      <c r="N907" s="29">
        <v>0.97499999999999998</v>
      </c>
      <c r="O907" s="29">
        <v>1</v>
      </c>
      <c r="P907" s="29">
        <v>9.7110000000000003</v>
      </c>
      <c r="Q907" s="29" t="s">
        <v>1033</v>
      </c>
    </row>
    <row r="908" spans="1:17" x14ac:dyDescent="0.3">
      <c r="B908" s="29">
        <v>2</v>
      </c>
      <c r="C908" s="29" t="s">
        <v>1050</v>
      </c>
      <c r="D908" s="29" t="s">
        <v>1087</v>
      </c>
      <c r="E908" s="29">
        <v>300</v>
      </c>
      <c r="G908" s="29" t="s">
        <v>1035</v>
      </c>
      <c r="H908" s="29">
        <v>1</v>
      </c>
      <c r="I908" s="29">
        <v>9.9600000000000009</v>
      </c>
      <c r="J908" s="29">
        <v>2.988</v>
      </c>
      <c r="K908" s="29">
        <v>2.988</v>
      </c>
      <c r="L908" s="29" t="s">
        <v>1032</v>
      </c>
      <c r="M908" s="29">
        <v>1</v>
      </c>
      <c r="N908" s="29">
        <v>0.3</v>
      </c>
      <c r="O908" s="29">
        <v>1</v>
      </c>
      <c r="P908" s="29">
        <v>2.988</v>
      </c>
      <c r="Q908" s="29" t="s">
        <v>1033</v>
      </c>
    </row>
    <row r="909" spans="1:17" x14ac:dyDescent="0.3">
      <c r="A909" s="29" t="s">
        <v>563</v>
      </c>
      <c r="B909" s="29">
        <v>1</v>
      </c>
      <c r="C909" s="29" t="s">
        <v>1050</v>
      </c>
      <c r="D909" s="30" t="s">
        <v>1087</v>
      </c>
      <c r="E909" s="29">
        <v>1075</v>
      </c>
      <c r="G909" s="29" t="s">
        <v>1035</v>
      </c>
      <c r="H909" s="29">
        <v>1</v>
      </c>
      <c r="I909" s="29">
        <v>9.9600000000000009</v>
      </c>
      <c r="J909" s="29">
        <v>10.707000000000001</v>
      </c>
      <c r="K909" s="29">
        <v>10.707000000000001</v>
      </c>
      <c r="L909" s="29" t="s">
        <v>1032</v>
      </c>
      <c r="M909" s="29">
        <v>1</v>
      </c>
      <c r="N909" s="29">
        <v>1.075</v>
      </c>
      <c r="O909" s="29">
        <v>1</v>
      </c>
      <c r="P909" s="29">
        <v>10.707000000000001</v>
      </c>
      <c r="Q909" s="29" t="s">
        <v>1033</v>
      </c>
    </row>
    <row r="910" spans="1:17" x14ac:dyDescent="0.3">
      <c r="B910" s="29">
        <v>2</v>
      </c>
      <c r="C910" s="29" t="s">
        <v>1050</v>
      </c>
      <c r="D910" s="30" t="s">
        <v>1087</v>
      </c>
      <c r="E910" s="29">
        <v>300</v>
      </c>
      <c r="G910" s="29" t="s">
        <v>1035</v>
      </c>
      <c r="H910" s="29">
        <v>1</v>
      </c>
      <c r="I910" s="29">
        <v>9.9600000000000009</v>
      </c>
      <c r="J910" s="29">
        <v>2.988</v>
      </c>
      <c r="K910" s="29">
        <v>2.988</v>
      </c>
      <c r="L910" s="29" t="s">
        <v>1032</v>
      </c>
      <c r="M910" s="29">
        <v>1</v>
      </c>
      <c r="N910" s="29">
        <v>0.3</v>
      </c>
      <c r="O910" s="29">
        <v>1</v>
      </c>
      <c r="P910" s="29">
        <v>2.988</v>
      </c>
      <c r="Q910" s="29" t="s">
        <v>1033</v>
      </c>
    </row>
    <row r="911" spans="1:17" x14ac:dyDescent="0.3">
      <c r="A911" s="29" t="s">
        <v>563</v>
      </c>
      <c r="B911" s="29">
        <v>1</v>
      </c>
      <c r="C911" s="29" t="s">
        <v>1050</v>
      </c>
      <c r="D911" s="29" t="s">
        <v>1087</v>
      </c>
      <c r="E911" s="29">
        <v>1075</v>
      </c>
      <c r="G911" s="29" t="s">
        <v>1035</v>
      </c>
      <c r="H911" s="29">
        <v>1</v>
      </c>
      <c r="I911" s="29">
        <v>9.9600000000000009</v>
      </c>
      <c r="J911" s="29">
        <v>10.707000000000001</v>
      </c>
      <c r="K911" s="29">
        <v>10.707000000000001</v>
      </c>
      <c r="L911" s="29" t="s">
        <v>1032</v>
      </c>
      <c r="M911" s="29">
        <v>1</v>
      </c>
      <c r="N911" s="29">
        <v>1.075</v>
      </c>
      <c r="O911" s="29">
        <v>1</v>
      </c>
      <c r="P911" s="29">
        <v>10.707000000000001</v>
      </c>
      <c r="Q911" s="29" t="s">
        <v>1033</v>
      </c>
    </row>
    <row r="912" spans="1:17" x14ac:dyDescent="0.3">
      <c r="B912" s="29">
        <v>2</v>
      </c>
      <c r="C912" s="29" t="s">
        <v>1050</v>
      </c>
      <c r="D912" s="29" t="s">
        <v>1087</v>
      </c>
      <c r="E912" s="29">
        <v>300</v>
      </c>
      <c r="G912" s="29" t="s">
        <v>1035</v>
      </c>
      <c r="H912" s="29">
        <v>1</v>
      </c>
      <c r="I912" s="29">
        <v>9.9600000000000009</v>
      </c>
      <c r="J912" s="29">
        <v>2.988</v>
      </c>
      <c r="K912" s="29">
        <v>2.988</v>
      </c>
      <c r="L912" s="29" t="s">
        <v>1032</v>
      </c>
      <c r="M912" s="29">
        <v>1</v>
      </c>
      <c r="N912" s="29">
        <v>0.3</v>
      </c>
      <c r="O912" s="29">
        <v>1</v>
      </c>
      <c r="P912" s="29">
        <v>2.988</v>
      </c>
      <c r="Q912" s="29" t="s">
        <v>1033</v>
      </c>
    </row>
    <row r="913" spans="1:17" x14ac:dyDescent="0.3">
      <c r="A913" s="29" t="s">
        <v>564</v>
      </c>
      <c r="B913" s="29">
        <v>1</v>
      </c>
      <c r="C913" s="29" t="s">
        <v>1050</v>
      </c>
      <c r="D913" s="30" t="s">
        <v>1087</v>
      </c>
      <c r="E913" s="29">
        <v>1275</v>
      </c>
      <c r="G913" s="29" t="s">
        <v>1035</v>
      </c>
      <c r="H913" s="29">
        <v>1</v>
      </c>
      <c r="I913" s="29">
        <v>9.9600000000000009</v>
      </c>
      <c r="J913" s="29">
        <v>12.699</v>
      </c>
      <c r="K913" s="29">
        <v>12.699</v>
      </c>
      <c r="L913" s="29" t="s">
        <v>1032</v>
      </c>
      <c r="M913" s="29">
        <v>1</v>
      </c>
      <c r="N913" s="29">
        <v>1.2749999999999999</v>
      </c>
      <c r="O913" s="29">
        <v>1</v>
      </c>
      <c r="P913" s="29">
        <v>12.699</v>
      </c>
      <c r="Q913" s="29" t="s">
        <v>1033</v>
      </c>
    </row>
    <row r="914" spans="1:17" x14ac:dyDescent="0.3">
      <c r="B914" s="29">
        <v>2</v>
      </c>
      <c r="C914" s="29" t="s">
        <v>1050</v>
      </c>
      <c r="D914" s="29" t="s">
        <v>1087</v>
      </c>
      <c r="E914" s="29">
        <v>300</v>
      </c>
      <c r="G914" s="29" t="s">
        <v>1035</v>
      </c>
      <c r="H914" s="29">
        <v>1</v>
      </c>
      <c r="I914" s="29">
        <v>9.9600000000000009</v>
      </c>
      <c r="J914" s="29">
        <v>2.988</v>
      </c>
      <c r="K914" s="29">
        <v>2.988</v>
      </c>
      <c r="L914" s="29" t="s">
        <v>1032</v>
      </c>
      <c r="M914" s="29">
        <v>1</v>
      </c>
      <c r="N914" s="29">
        <v>0.3</v>
      </c>
      <c r="O914" s="29">
        <v>1</v>
      </c>
      <c r="P914" s="29">
        <v>2.988</v>
      </c>
      <c r="Q914" s="29" t="s">
        <v>1033</v>
      </c>
    </row>
    <row r="915" spans="1:17" x14ac:dyDescent="0.3">
      <c r="A915" s="29" t="s">
        <v>565</v>
      </c>
      <c r="B915" s="29">
        <v>1</v>
      </c>
      <c r="C915" s="29" t="s">
        <v>1050</v>
      </c>
      <c r="D915" s="29" t="s">
        <v>1087</v>
      </c>
      <c r="E915" s="29">
        <v>1475</v>
      </c>
      <c r="G915" s="29" t="s">
        <v>1035</v>
      </c>
      <c r="H915" s="29">
        <v>1</v>
      </c>
      <c r="I915" s="29">
        <v>9.9600000000000009</v>
      </c>
      <c r="J915" s="29">
        <v>14.691000000000003</v>
      </c>
      <c r="K915" s="29">
        <v>14.691000000000003</v>
      </c>
      <c r="L915" s="29" t="s">
        <v>1032</v>
      </c>
      <c r="M915" s="29">
        <v>1</v>
      </c>
      <c r="N915" s="29">
        <v>1.4750000000000001</v>
      </c>
      <c r="O915" s="29">
        <v>1</v>
      </c>
      <c r="P915" s="29">
        <v>14.691000000000003</v>
      </c>
      <c r="Q915" s="29" t="s">
        <v>1033</v>
      </c>
    </row>
    <row r="916" spans="1:17" x14ac:dyDescent="0.3">
      <c r="B916" s="29">
        <v>2</v>
      </c>
      <c r="C916" s="29" t="s">
        <v>1050</v>
      </c>
      <c r="D916" s="30" t="s">
        <v>1087</v>
      </c>
      <c r="E916" s="29">
        <v>300</v>
      </c>
      <c r="G916" s="29" t="s">
        <v>1035</v>
      </c>
      <c r="H916" s="29">
        <v>1</v>
      </c>
      <c r="I916" s="29">
        <v>9.9600000000000009</v>
      </c>
      <c r="J916" s="29">
        <v>2.988</v>
      </c>
      <c r="K916" s="29">
        <v>2.988</v>
      </c>
      <c r="L916" s="29" t="s">
        <v>1032</v>
      </c>
      <c r="M916" s="29">
        <v>1</v>
      </c>
      <c r="N916" s="29">
        <v>0.3</v>
      </c>
      <c r="O916" s="29">
        <v>1</v>
      </c>
      <c r="P916" s="29">
        <v>2.988</v>
      </c>
      <c r="Q916" s="29" t="s">
        <v>1033</v>
      </c>
    </row>
    <row r="917" spans="1:17" x14ac:dyDescent="0.3">
      <c r="A917" s="29" t="s">
        <v>566</v>
      </c>
      <c r="B917" s="29">
        <v>1</v>
      </c>
      <c r="C917" s="29" t="s">
        <v>1050</v>
      </c>
      <c r="D917" s="30" t="s">
        <v>1087</v>
      </c>
      <c r="E917" s="29">
        <v>1475</v>
      </c>
      <c r="G917" s="29" t="s">
        <v>1035</v>
      </c>
      <c r="H917" s="29">
        <v>1</v>
      </c>
      <c r="I917" s="29">
        <v>9.9600000000000009</v>
      </c>
      <c r="J917" s="29">
        <v>14.691000000000003</v>
      </c>
      <c r="K917" s="29">
        <v>14.691000000000003</v>
      </c>
      <c r="L917" s="29" t="s">
        <v>1032</v>
      </c>
      <c r="M917" s="29">
        <v>1</v>
      </c>
      <c r="N917" s="29">
        <v>1.4750000000000001</v>
      </c>
      <c r="O917" s="29">
        <v>1</v>
      </c>
      <c r="P917" s="29">
        <v>14.691000000000003</v>
      </c>
      <c r="Q917" s="29" t="s">
        <v>1033</v>
      </c>
    </row>
    <row r="918" spans="1:17" x14ac:dyDescent="0.3">
      <c r="B918" s="29">
        <v>2</v>
      </c>
      <c r="C918" s="29" t="s">
        <v>1050</v>
      </c>
      <c r="D918" s="29" t="s">
        <v>1087</v>
      </c>
      <c r="E918" s="29">
        <v>600</v>
      </c>
      <c r="G918" s="29" t="s">
        <v>1035</v>
      </c>
      <c r="H918" s="29">
        <v>1</v>
      </c>
      <c r="I918" s="29">
        <v>9.9600000000000009</v>
      </c>
      <c r="J918" s="29">
        <v>5.976</v>
      </c>
      <c r="K918" s="29">
        <v>5.976</v>
      </c>
      <c r="L918" s="29" t="s">
        <v>1032</v>
      </c>
      <c r="M918" s="29">
        <v>1</v>
      </c>
      <c r="N918" s="29">
        <v>0.6</v>
      </c>
      <c r="O918" s="29">
        <v>1</v>
      </c>
      <c r="P918" s="29">
        <v>5.976</v>
      </c>
      <c r="Q918" s="29" t="s">
        <v>1033</v>
      </c>
    </row>
    <row r="919" spans="1:17" x14ac:dyDescent="0.3">
      <c r="A919" s="29" t="s">
        <v>567</v>
      </c>
      <c r="B919" s="29">
        <v>1</v>
      </c>
      <c r="C919" s="29" t="s">
        <v>1050</v>
      </c>
      <c r="D919" s="30" t="s">
        <v>1087</v>
      </c>
      <c r="E919" s="29">
        <v>1575</v>
      </c>
      <c r="G919" s="29" t="s">
        <v>1035</v>
      </c>
      <c r="H919" s="29">
        <v>1</v>
      </c>
      <c r="I919" s="29">
        <v>9.9600000000000009</v>
      </c>
      <c r="J919" s="29">
        <v>15.687000000000001</v>
      </c>
      <c r="K919" s="29">
        <v>15.687000000000001</v>
      </c>
      <c r="L919" s="29" t="s">
        <v>1032</v>
      </c>
      <c r="M919" s="29">
        <v>1</v>
      </c>
      <c r="N919" s="29">
        <v>1.575</v>
      </c>
      <c r="O919" s="29">
        <v>1</v>
      </c>
      <c r="P919" s="29">
        <v>15.687000000000001</v>
      </c>
      <c r="Q919" s="29" t="s">
        <v>1033</v>
      </c>
    </row>
    <row r="920" spans="1:17" x14ac:dyDescent="0.3">
      <c r="B920" s="29">
        <v>2</v>
      </c>
      <c r="C920" s="29" t="s">
        <v>1050</v>
      </c>
      <c r="D920" s="29" t="s">
        <v>1087</v>
      </c>
      <c r="E920" s="29">
        <v>300</v>
      </c>
      <c r="G920" s="29" t="s">
        <v>1035</v>
      </c>
      <c r="H920" s="29">
        <v>1</v>
      </c>
      <c r="I920" s="29">
        <v>9.9600000000000009</v>
      </c>
      <c r="J920" s="29">
        <v>2.988</v>
      </c>
      <c r="K920" s="29">
        <v>2.988</v>
      </c>
      <c r="L920" s="29" t="s">
        <v>1032</v>
      </c>
      <c r="M920" s="29">
        <v>1</v>
      </c>
      <c r="N920" s="29">
        <v>0.3</v>
      </c>
      <c r="O920" s="29">
        <v>1</v>
      </c>
      <c r="P920" s="29">
        <v>2.988</v>
      </c>
      <c r="Q920" s="29" t="s">
        <v>1033</v>
      </c>
    </row>
    <row r="921" spans="1:17" x14ac:dyDescent="0.3">
      <c r="A921" s="29" t="s">
        <v>568</v>
      </c>
      <c r="B921" s="29">
        <v>1</v>
      </c>
      <c r="C921" s="29" t="s">
        <v>1050</v>
      </c>
      <c r="D921" s="29" t="s">
        <v>1087</v>
      </c>
      <c r="E921" s="29">
        <v>1775</v>
      </c>
      <c r="G921" s="29" t="s">
        <v>1035</v>
      </c>
      <c r="H921" s="29">
        <v>1</v>
      </c>
      <c r="I921" s="29">
        <v>9.9600000000000009</v>
      </c>
      <c r="J921" s="29">
        <v>17.679000000000002</v>
      </c>
      <c r="K921" s="29">
        <v>17.679000000000002</v>
      </c>
      <c r="L921" s="29" t="s">
        <v>1032</v>
      </c>
      <c r="M921" s="29">
        <v>1</v>
      </c>
      <c r="N921" s="29">
        <v>1.7749999999999999</v>
      </c>
      <c r="O921" s="29">
        <v>1</v>
      </c>
      <c r="P921" s="29">
        <v>17.679000000000002</v>
      </c>
      <c r="Q921" s="29" t="s">
        <v>1033</v>
      </c>
    </row>
    <row r="922" spans="1:17" x14ac:dyDescent="0.3">
      <c r="B922" s="29">
        <v>2</v>
      </c>
      <c r="C922" s="29" t="s">
        <v>1050</v>
      </c>
      <c r="D922" s="30" t="s">
        <v>1087</v>
      </c>
      <c r="E922" s="29">
        <v>500</v>
      </c>
      <c r="G922" s="29" t="s">
        <v>1035</v>
      </c>
      <c r="H922" s="29">
        <v>1</v>
      </c>
      <c r="I922" s="29">
        <v>9.9600000000000009</v>
      </c>
      <c r="J922" s="29">
        <v>4.9800000000000004</v>
      </c>
      <c r="K922" s="29">
        <v>4.9800000000000004</v>
      </c>
      <c r="L922" s="29" t="s">
        <v>1032</v>
      </c>
      <c r="M922" s="29">
        <v>1</v>
      </c>
      <c r="N922" s="29">
        <v>0.5</v>
      </c>
      <c r="O922" s="29">
        <v>1</v>
      </c>
      <c r="P922" s="29">
        <v>4.9800000000000004</v>
      </c>
      <c r="Q922" s="29" t="s">
        <v>1033</v>
      </c>
    </row>
    <row r="923" spans="1:17" x14ac:dyDescent="0.3">
      <c r="A923" s="29" t="s">
        <v>569</v>
      </c>
      <c r="B923" s="29">
        <v>1</v>
      </c>
      <c r="C923" s="29" t="s">
        <v>1050</v>
      </c>
      <c r="D923" s="30" t="s">
        <v>1087</v>
      </c>
      <c r="E923" s="29">
        <v>2075</v>
      </c>
      <c r="G923" s="29" t="s">
        <v>1035</v>
      </c>
      <c r="H923" s="29">
        <v>1</v>
      </c>
      <c r="I923" s="29">
        <v>9.9600000000000009</v>
      </c>
      <c r="J923" s="29">
        <v>20.667000000000005</v>
      </c>
      <c r="K923" s="29">
        <v>20.667000000000005</v>
      </c>
      <c r="L923" s="29" t="s">
        <v>1032</v>
      </c>
      <c r="M923" s="29">
        <v>1</v>
      </c>
      <c r="N923" s="29">
        <v>2.0750000000000002</v>
      </c>
      <c r="O923" s="29">
        <v>1</v>
      </c>
      <c r="P923" s="29">
        <v>20.667000000000005</v>
      </c>
      <c r="Q923" s="29" t="s">
        <v>1033</v>
      </c>
    </row>
    <row r="924" spans="1:17" x14ac:dyDescent="0.3">
      <c r="B924" s="29">
        <v>2</v>
      </c>
      <c r="C924" s="29" t="s">
        <v>1050</v>
      </c>
      <c r="D924" s="29" t="s">
        <v>1087</v>
      </c>
      <c r="E924" s="29">
        <v>300</v>
      </c>
      <c r="G924" s="29" t="s">
        <v>1035</v>
      </c>
      <c r="H924" s="29">
        <v>1</v>
      </c>
      <c r="I924" s="29">
        <v>9.9600000000000009</v>
      </c>
      <c r="J924" s="29">
        <v>2.988</v>
      </c>
      <c r="K924" s="29">
        <v>2.988</v>
      </c>
      <c r="L924" s="29" t="s">
        <v>1032</v>
      </c>
      <c r="M924" s="29">
        <v>1</v>
      </c>
      <c r="N924" s="29">
        <v>0.3</v>
      </c>
      <c r="O924" s="29">
        <v>1</v>
      </c>
      <c r="P924" s="29">
        <v>2.988</v>
      </c>
      <c r="Q924" s="29" t="s">
        <v>1033</v>
      </c>
    </row>
    <row r="925" spans="1:17" x14ac:dyDescent="0.3">
      <c r="A925" s="29" t="s">
        <v>570</v>
      </c>
      <c r="B925" s="29">
        <v>1</v>
      </c>
      <c r="C925" s="29" t="s">
        <v>1050</v>
      </c>
      <c r="D925" s="30" t="s">
        <v>1087</v>
      </c>
      <c r="E925" s="29">
        <v>2075</v>
      </c>
      <c r="G925" s="29" t="s">
        <v>1035</v>
      </c>
      <c r="H925" s="29">
        <v>1</v>
      </c>
      <c r="I925" s="29">
        <v>9.9600000000000009</v>
      </c>
      <c r="J925" s="29">
        <v>20.667000000000005</v>
      </c>
      <c r="K925" s="29">
        <v>20.667000000000005</v>
      </c>
      <c r="L925" s="29" t="s">
        <v>1032</v>
      </c>
      <c r="M925" s="29">
        <v>1</v>
      </c>
      <c r="N925" s="29">
        <v>2.0750000000000002</v>
      </c>
      <c r="O925" s="29">
        <v>1</v>
      </c>
      <c r="P925" s="29">
        <v>20.667000000000005</v>
      </c>
      <c r="Q925" s="29" t="s">
        <v>1033</v>
      </c>
    </row>
    <row r="926" spans="1:17" x14ac:dyDescent="0.3">
      <c r="B926" s="29">
        <v>2</v>
      </c>
      <c r="C926" s="29" t="s">
        <v>1050</v>
      </c>
      <c r="D926" s="30" t="s">
        <v>1087</v>
      </c>
      <c r="E926" s="29">
        <v>600</v>
      </c>
      <c r="G926" s="29" t="s">
        <v>1035</v>
      </c>
      <c r="H926" s="29">
        <v>1</v>
      </c>
      <c r="I926" s="29">
        <v>9.9600000000000009</v>
      </c>
      <c r="J926" s="29">
        <v>5.976</v>
      </c>
      <c r="K926" s="29">
        <v>5.976</v>
      </c>
      <c r="L926" s="29" t="s">
        <v>1032</v>
      </c>
      <c r="M926" s="29">
        <v>1</v>
      </c>
      <c r="N926" s="29">
        <v>0.6</v>
      </c>
      <c r="O926" s="29">
        <v>1</v>
      </c>
      <c r="P926" s="29">
        <v>5.976</v>
      </c>
      <c r="Q926" s="29" t="s">
        <v>1033</v>
      </c>
    </row>
    <row r="927" spans="1:17" x14ac:dyDescent="0.3">
      <c r="A927" s="29" t="s">
        <v>571</v>
      </c>
      <c r="B927" s="29">
        <v>1</v>
      </c>
      <c r="C927" s="29" t="s">
        <v>1050</v>
      </c>
      <c r="D927" s="29" t="s">
        <v>1087</v>
      </c>
      <c r="E927" s="29">
        <v>2175</v>
      </c>
      <c r="G927" s="29" t="s">
        <v>1035</v>
      </c>
      <c r="H927" s="29">
        <v>1</v>
      </c>
      <c r="I927" s="29">
        <v>9.9600000000000009</v>
      </c>
      <c r="J927" s="29">
        <v>21.663</v>
      </c>
      <c r="K927" s="29">
        <v>21.663</v>
      </c>
      <c r="L927" s="29" t="s">
        <v>1032</v>
      </c>
      <c r="M927" s="29">
        <v>1</v>
      </c>
      <c r="N927" s="29">
        <v>2.1749999999999998</v>
      </c>
      <c r="O927" s="29">
        <v>1</v>
      </c>
      <c r="P927" s="29">
        <v>21.663</v>
      </c>
      <c r="Q927" s="29" t="s">
        <v>1033</v>
      </c>
    </row>
    <row r="928" spans="1:17" x14ac:dyDescent="0.3">
      <c r="B928" s="29">
        <v>2</v>
      </c>
      <c r="C928" s="29" t="s">
        <v>1050</v>
      </c>
      <c r="D928" s="30" t="s">
        <v>1087</v>
      </c>
      <c r="E928" s="29">
        <v>300</v>
      </c>
      <c r="G928" s="29" t="s">
        <v>1035</v>
      </c>
      <c r="H928" s="29">
        <v>1</v>
      </c>
      <c r="I928" s="29">
        <v>9.9600000000000009</v>
      </c>
      <c r="J928" s="29">
        <v>2.988</v>
      </c>
      <c r="K928" s="29">
        <v>2.988</v>
      </c>
      <c r="L928" s="29" t="s">
        <v>1032</v>
      </c>
      <c r="M928" s="29">
        <v>1</v>
      </c>
      <c r="N928" s="29">
        <v>0.3</v>
      </c>
      <c r="O928" s="29">
        <v>1</v>
      </c>
      <c r="P928" s="29">
        <v>2.988</v>
      </c>
      <c r="Q928" s="29" t="s">
        <v>1033</v>
      </c>
    </row>
    <row r="929" spans="1:17" x14ac:dyDescent="0.3">
      <c r="A929" s="29" t="s">
        <v>572</v>
      </c>
      <c r="B929" s="29">
        <v>1</v>
      </c>
      <c r="C929" s="29" t="s">
        <v>1050</v>
      </c>
      <c r="D929" s="30" t="s">
        <v>1087</v>
      </c>
      <c r="E929" s="29">
        <v>2475</v>
      </c>
      <c r="G929" s="29" t="s">
        <v>1035</v>
      </c>
      <c r="H929" s="29">
        <v>1</v>
      </c>
      <c r="I929" s="29">
        <v>9.9600000000000009</v>
      </c>
      <c r="J929" s="29">
        <v>24.651000000000003</v>
      </c>
      <c r="K929" s="29">
        <v>24.651000000000003</v>
      </c>
      <c r="L929" s="29" t="s">
        <v>1032</v>
      </c>
      <c r="M929" s="29">
        <v>1</v>
      </c>
      <c r="N929" s="29">
        <v>2.4750000000000001</v>
      </c>
      <c r="O929" s="29">
        <v>1</v>
      </c>
      <c r="P929" s="29">
        <v>24.651000000000003</v>
      </c>
      <c r="Q929" s="29" t="s">
        <v>1033</v>
      </c>
    </row>
    <row r="930" spans="1:17" x14ac:dyDescent="0.3">
      <c r="B930" s="29">
        <v>2</v>
      </c>
      <c r="C930" s="29" t="s">
        <v>1050</v>
      </c>
      <c r="D930" s="29" t="s">
        <v>1087</v>
      </c>
      <c r="E930" s="29">
        <v>300</v>
      </c>
      <c r="G930" s="29" t="s">
        <v>1035</v>
      </c>
      <c r="H930" s="29">
        <v>1</v>
      </c>
      <c r="I930" s="29">
        <v>9.9600000000000009</v>
      </c>
      <c r="J930" s="29">
        <v>2.988</v>
      </c>
      <c r="K930" s="29">
        <v>2.988</v>
      </c>
      <c r="L930" s="29" t="s">
        <v>1032</v>
      </c>
      <c r="M930" s="29">
        <v>1</v>
      </c>
      <c r="N930" s="29">
        <v>0.3</v>
      </c>
      <c r="O930" s="29">
        <v>1</v>
      </c>
      <c r="P930" s="29">
        <v>2.988</v>
      </c>
      <c r="Q930" s="29" t="s">
        <v>1033</v>
      </c>
    </row>
    <row r="931" spans="1:17" x14ac:dyDescent="0.3">
      <c r="A931" s="29" t="s">
        <v>573</v>
      </c>
      <c r="B931" s="29">
        <v>1</v>
      </c>
      <c r="C931" s="29" t="s">
        <v>1050</v>
      </c>
      <c r="D931" s="30" t="s">
        <v>1087</v>
      </c>
      <c r="E931" s="29">
        <v>2475</v>
      </c>
      <c r="G931" s="29" t="s">
        <v>1035</v>
      </c>
      <c r="H931" s="29">
        <v>1</v>
      </c>
      <c r="I931" s="29">
        <v>9.9600000000000009</v>
      </c>
      <c r="J931" s="29">
        <v>24.651000000000003</v>
      </c>
      <c r="K931" s="29">
        <v>24.651000000000003</v>
      </c>
      <c r="L931" s="29" t="s">
        <v>1032</v>
      </c>
      <c r="M931" s="29">
        <v>1</v>
      </c>
      <c r="N931" s="29">
        <v>2.4750000000000001</v>
      </c>
      <c r="O931" s="29">
        <v>1</v>
      </c>
      <c r="P931" s="29">
        <v>24.651000000000003</v>
      </c>
      <c r="Q931" s="29" t="s">
        <v>1033</v>
      </c>
    </row>
    <row r="932" spans="1:17" x14ac:dyDescent="0.3">
      <c r="B932" s="29">
        <v>2</v>
      </c>
      <c r="C932" s="29" t="s">
        <v>1050</v>
      </c>
      <c r="D932" s="30" t="s">
        <v>1087</v>
      </c>
      <c r="E932" s="29">
        <v>500</v>
      </c>
      <c r="G932" s="29" t="s">
        <v>1035</v>
      </c>
      <c r="H932" s="29">
        <v>1</v>
      </c>
      <c r="I932" s="29">
        <v>9.9600000000000009</v>
      </c>
      <c r="J932" s="29">
        <v>4.9800000000000004</v>
      </c>
      <c r="K932" s="29">
        <v>4.9800000000000004</v>
      </c>
      <c r="L932" s="29" t="s">
        <v>1032</v>
      </c>
      <c r="M932" s="29">
        <v>1</v>
      </c>
      <c r="N932" s="29">
        <v>0.5</v>
      </c>
      <c r="O932" s="29">
        <v>1</v>
      </c>
      <c r="P932" s="29">
        <v>4.9800000000000004</v>
      </c>
      <c r="Q932" s="29" t="s">
        <v>1033</v>
      </c>
    </row>
    <row r="933" spans="1:17" x14ac:dyDescent="0.3">
      <c r="A933" s="29" t="s">
        <v>574</v>
      </c>
      <c r="B933" s="29">
        <v>1</v>
      </c>
      <c r="C933" s="29" t="s">
        <v>1050</v>
      </c>
      <c r="D933" s="29" t="s">
        <v>1087</v>
      </c>
      <c r="E933" s="29">
        <v>2575</v>
      </c>
      <c r="G933" s="29" t="s">
        <v>1035</v>
      </c>
      <c r="H933" s="29">
        <v>1</v>
      </c>
      <c r="I933" s="29">
        <v>9.9600000000000009</v>
      </c>
      <c r="J933" s="29">
        <v>25.647000000000006</v>
      </c>
      <c r="K933" s="29">
        <v>25.647000000000006</v>
      </c>
      <c r="L933" s="29" t="s">
        <v>1032</v>
      </c>
      <c r="M933" s="29">
        <v>1</v>
      </c>
      <c r="N933" s="29">
        <v>2.5750000000000002</v>
      </c>
      <c r="O933" s="29">
        <v>1</v>
      </c>
      <c r="P933" s="29">
        <v>25.647000000000006</v>
      </c>
      <c r="Q933" s="29" t="s">
        <v>1033</v>
      </c>
    </row>
    <row r="934" spans="1:17" x14ac:dyDescent="0.3">
      <c r="B934" s="29">
        <v>2</v>
      </c>
      <c r="C934" s="29" t="s">
        <v>1050</v>
      </c>
      <c r="D934" s="30" t="s">
        <v>1087</v>
      </c>
      <c r="E934" s="29">
        <v>300</v>
      </c>
      <c r="G934" s="29" t="s">
        <v>1035</v>
      </c>
      <c r="H934" s="29">
        <v>1</v>
      </c>
      <c r="I934" s="29">
        <v>9.9600000000000009</v>
      </c>
      <c r="J934" s="29">
        <v>2.988</v>
      </c>
      <c r="K934" s="29">
        <v>2.988</v>
      </c>
      <c r="L934" s="29" t="s">
        <v>1032</v>
      </c>
      <c r="M934" s="29">
        <v>1</v>
      </c>
      <c r="N934" s="29">
        <v>0.3</v>
      </c>
      <c r="O934" s="29">
        <v>1</v>
      </c>
      <c r="P934" s="29">
        <v>2.988</v>
      </c>
      <c r="Q934" s="29" t="s">
        <v>1033</v>
      </c>
    </row>
    <row r="935" spans="1:17" x14ac:dyDescent="0.3">
      <c r="A935" s="29" t="s">
        <v>575</v>
      </c>
      <c r="B935" s="29">
        <v>1</v>
      </c>
      <c r="C935" s="29" t="s">
        <v>1050</v>
      </c>
      <c r="D935" s="30" t="s">
        <v>1086</v>
      </c>
      <c r="E935" s="29">
        <v>800</v>
      </c>
      <c r="G935" s="29" t="s">
        <v>1035</v>
      </c>
      <c r="H935" s="29">
        <v>1</v>
      </c>
      <c r="I935" s="29">
        <v>4.43</v>
      </c>
      <c r="J935" s="29">
        <v>3.544</v>
      </c>
      <c r="K935" s="29">
        <v>3.544</v>
      </c>
      <c r="L935" s="29" t="s">
        <v>1032</v>
      </c>
      <c r="M935" s="29">
        <v>1</v>
      </c>
      <c r="N935" s="29">
        <v>0.8</v>
      </c>
      <c r="O935" s="29">
        <v>1</v>
      </c>
      <c r="P935" s="29">
        <v>3.544</v>
      </c>
      <c r="Q935" s="29" t="s">
        <v>1033</v>
      </c>
    </row>
    <row r="936" spans="1:17" x14ac:dyDescent="0.3">
      <c r="B936" s="29">
        <v>2</v>
      </c>
      <c r="C936" s="29" t="s">
        <v>1050</v>
      </c>
      <c r="D936" s="29" t="s">
        <v>1086</v>
      </c>
      <c r="E936" s="29">
        <v>100</v>
      </c>
      <c r="G936" s="29" t="s">
        <v>1035</v>
      </c>
      <c r="H936" s="29">
        <v>1</v>
      </c>
      <c r="I936" s="29">
        <v>4.43</v>
      </c>
      <c r="J936" s="29">
        <v>0.443</v>
      </c>
      <c r="K936" s="29">
        <v>0.443</v>
      </c>
      <c r="L936" s="29" t="s">
        <v>1032</v>
      </c>
      <c r="M936" s="29">
        <v>1</v>
      </c>
      <c r="N936" s="29">
        <v>0.1</v>
      </c>
      <c r="O936" s="29">
        <v>1</v>
      </c>
      <c r="P936" s="29">
        <v>0.443</v>
      </c>
      <c r="Q936" s="29" t="s">
        <v>1033</v>
      </c>
    </row>
    <row r="937" spans="1:17" x14ac:dyDescent="0.3">
      <c r="A937" s="29" t="s">
        <v>576</v>
      </c>
      <c r="B937" s="29">
        <v>1</v>
      </c>
      <c r="C937" s="29" t="s">
        <v>1050</v>
      </c>
      <c r="D937" s="30" t="s">
        <v>1086</v>
      </c>
      <c r="E937" s="29">
        <v>100</v>
      </c>
      <c r="G937" s="29" t="s">
        <v>1035</v>
      </c>
      <c r="H937" s="29">
        <v>1</v>
      </c>
      <c r="I937" s="29">
        <v>4.43</v>
      </c>
      <c r="J937" s="29">
        <v>0.443</v>
      </c>
      <c r="K937" s="29">
        <v>0.443</v>
      </c>
      <c r="L937" s="29" t="s">
        <v>1032</v>
      </c>
      <c r="M937" s="29">
        <v>1</v>
      </c>
      <c r="N937" s="29">
        <v>0.1</v>
      </c>
      <c r="O937" s="29">
        <v>1</v>
      </c>
      <c r="P937" s="29">
        <v>0.443</v>
      </c>
      <c r="Q937" s="29" t="s">
        <v>1033</v>
      </c>
    </row>
    <row r="938" spans="1:17" x14ac:dyDescent="0.3">
      <c r="B938" s="29">
        <v>2</v>
      </c>
      <c r="C938" s="29" t="s">
        <v>1050</v>
      </c>
      <c r="D938" s="30" t="s">
        <v>1086</v>
      </c>
      <c r="E938" s="29">
        <v>200</v>
      </c>
      <c r="G938" s="29" t="s">
        <v>1035</v>
      </c>
      <c r="H938" s="29">
        <v>1</v>
      </c>
      <c r="I938" s="29">
        <v>4.43</v>
      </c>
      <c r="J938" s="29">
        <v>0.88600000000000001</v>
      </c>
      <c r="K938" s="29">
        <v>0.88600000000000001</v>
      </c>
      <c r="L938" s="29" t="s">
        <v>1032</v>
      </c>
      <c r="M938" s="29">
        <v>1</v>
      </c>
      <c r="N938" s="29">
        <v>0.2</v>
      </c>
      <c r="O938" s="29">
        <v>1</v>
      </c>
      <c r="P938" s="29">
        <v>0.88600000000000001</v>
      </c>
      <c r="Q938" s="29" t="s">
        <v>1033</v>
      </c>
    </row>
    <row r="939" spans="1:17" x14ac:dyDescent="0.3">
      <c r="A939" s="29" t="s">
        <v>577</v>
      </c>
      <c r="B939" s="29">
        <v>1</v>
      </c>
      <c r="C939" s="29" t="s">
        <v>1050</v>
      </c>
      <c r="D939" s="29" t="s">
        <v>1086</v>
      </c>
      <c r="E939" s="29">
        <v>200</v>
      </c>
      <c r="G939" s="29" t="s">
        <v>1035</v>
      </c>
      <c r="H939" s="29">
        <v>1</v>
      </c>
      <c r="I939" s="29">
        <v>4.43</v>
      </c>
      <c r="J939" s="29">
        <v>0.88600000000000001</v>
      </c>
      <c r="K939" s="29">
        <v>0.88600000000000001</v>
      </c>
      <c r="L939" s="29" t="s">
        <v>1032</v>
      </c>
      <c r="M939" s="29">
        <v>1</v>
      </c>
      <c r="N939" s="29">
        <v>0.2</v>
      </c>
      <c r="O939" s="29">
        <v>1</v>
      </c>
      <c r="P939" s="29">
        <v>0.88600000000000001</v>
      </c>
      <c r="Q939" s="29" t="s">
        <v>1033</v>
      </c>
    </row>
    <row r="940" spans="1:17" x14ac:dyDescent="0.3">
      <c r="B940" s="29">
        <v>2</v>
      </c>
      <c r="C940" s="29" t="s">
        <v>1050</v>
      </c>
      <c r="D940" s="30" t="s">
        <v>1086</v>
      </c>
      <c r="E940" s="29">
        <v>200</v>
      </c>
      <c r="G940" s="29" t="s">
        <v>1035</v>
      </c>
      <c r="H940" s="29">
        <v>1</v>
      </c>
      <c r="I940" s="29">
        <v>4.43</v>
      </c>
      <c r="J940" s="29">
        <v>0.88600000000000001</v>
      </c>
      <c r="K940" s="29">
        <v>0.88600000000000001</v>
      </c>
      <c r="L940" s="29" t="s">
        <v>1032</v>
      </c>
      <c r="M940" s="29">
        <v>1</v>
      </c>
      <c r="N940" s="29">
        <v>0.2</v>
      </c>
      <c r="O940" s="29">
        <v>1</v>
      </c>
      <c r="P940" s="29">
        <v>0.88600000000000001</v>
      </c>
      <c r="Q940" s="29" t="s">
        <v>1033</v>
      </c>
    </row>
    <row r="941" spans="1:17" x14ac:dyDescent="0.3">
      <c r="A941" s="29" t="s">
        <v>578</v>
      </c>
      <c r="B941" s="29">
        <v>1</v>
      </c>
      <c r="C941" s="29" t="s">
        <v>1050</v>
      </c>
      <c r="D941" s="30" t="s">
        <v>1086</v>
      </c>
      <c r="E941" s="29">
        <v>400</v>
      </c>
      <c r="G941" s="29" t="s">
        <v>1035</v>
      </c>
      <c r="H941" s="29">
        <v>1</v>
      </c>
      <c r="I941" s="29">
        <v>4.43</v>
      </c>
      <c r="J941" s="29">
        <v>1.772</v>
      </c>
      <c r="K941" s="29">
        <v>1.772</v>
      </c>
      <c r="L941" s="29" t="s">
        <v>1032</v>
      </c>
      <c r="M941" s="29">
        <v>1</v>
      </c>
      <c r="N941" s="29">
        <v>0.4</v>
      </c>
      <c r="O941" s="29">
        <v>1</v>
      </c>
      <c r="P941" s="29">
        <v>1.772</v>
      </c>
      <c r="Q941" s="29" t="s">
        <v>1033</v>
      </c>
    </row>
    <row r="942" spans="1:17" x14ac:dyDescent="0.3">
      <c r="B942" s="29">
        <v>2</v>
      </c>
      <c r="C942" s="29" t="s">
        <v>1050</v>
      </c>
      <c r="D942" s="29" t="s">
        <v>1086</v>
      </c>
      <c r="E942" s="29">
        <v>200</v>
      </c>
      <c r="G942" s="29" t="s">
        <v>1035</v>
      </c>
      <c r="H942" s="29">
        <v>1</v>
      </c>
      <c r="I942" s="29">
        <v>4.43</v>
      </c>
      <c r="J942" s="29">
        <v>0.88600000000000001</v>
      </c>
      <c r="K942" s="29">
        <v>0.88600000000000001</v>
      </c>
      <c r="L942" s="29" t="s">
        <v>1032</v>
      </c>
      <c r="M942" s="29">
        <v>1</v>
      </c>
      <c r="N942" s="29">
        <v>0.2</v>
      </c>
      <c r="O942" s="29">
        <v>1</v>
      </c>
      <c r="P942" s="29">
        <v>0.88600000000000001</v>
      </c>
      <c r="Q942" s="29" t="s">
        <v>1033</v>
      </c>
    </row>
    <row r="943" spans="1:17" x14ac:dyDescent="0.3">
      <c r="A943" s="29" t="s">
        <v>578</v>
      </c>
      <c r="B943" s="29">
        <v>1</v>
      </c>
      <c r="C943" s="29" t="s">
        <v>1050</v>
      </c>
      <c r="D943" s="30" t="s">
        <v>1086</v>
      </c>
      <c r="E943" s="29">
        <v>400</v>
      </c>
      <c r="G943" s="29" t="s">
        <v>1035</v>
      </c>
      <c r="H943" s="29">
        <v>1</v>
      </c>
      <c r="I943" s="29">
        <v>4.43</v>
      </c>
      <c r="J943" s="29">
        <v>1.772</v>
      </c>
      <c r="K943" s="29">
        <v>1.772</v>
      </c>
      <c r="L943" s="29" t="s">
        <v>1032</v>
      </c>
      <c r="M943" s="29">
        <v>1</v>
      </c>
      <c r="N943" s="29">
        <v>0.4</v>
      </c>
      <c r="O943" s="29">
        <v>1</v>
      </c>
      <c r="P943" s="29">
        <v>1.772</v>
      </c>
      <c r="Q943" s="29" t="s">
        <v>1033</v>
      </c>
    </row>
    <row r="944" spans="1:17" x14ac:dyDescent="0.3">
      <c r="B944" s="29">
        <v>2</v>
      </c>
      <c r="C944" s="29" t="s">
        <v>1050</v>
      </c>
      <c r="D944" s="30" t="s">
        <v>1086</v>
      </c>
      <c r="E944" s="29">
        <v>200</v>
      </c>
      <c r="G944" s="29" t="s">
        <v>1035</v>
      </c>
      <c r="H944" s="29">
        <v>1</v>
      </c>
      <c r="I944" s="29">
        <v>4.43</v>
      </c>
      <c r="J944" s="29">
        <v>0.88600000000000001</v>
      </c>
      <c r="K944" s="29">
        <v>0.88600000000000001</v>
      </c>
      <c r="L944" s="29" t="s">
        <v>1032</v>
      </c>
      <c r="M944" s="29">
        <v>1</v>
      </c>
      <c r="N944" s="29">
        <v>0.2</v>
      </c>
      <c r="O944" s="29">
        <v>1</v>
      </c>
      <c r="P944" s="29">
        <v>0.88600000000000001</v>
      </c>
      <c r="Q944" s="29" t="s">
        <v>1033</v>
      </c>
    </row>
    <row r="945" spans="1:17" x14ac:dyDescent="0.3">
      <c r="A945" s="29" t="s">
        <v>579</v>
      </c>
      <c r="B945" s="29">
        <v>1</v>
      </c>
      <c r="C945" s="29" t="s">
        <v>1050</v>
      </c>
      <c r="D945" s="29" t="s">
        <v>1086</v>
      </c>
      <c r="E945" s="29">
        <v>500</v>
      </c>
      <c r="G945" s="29" t="s">
        <v>1035</v>
      </c>
      <c r="H945" s="29">
        <v>1</v>
      </c>
      <c r="I945" s="29">
        <v>4.43</v>
      </c>
      <c r="J945" s="29">
        <v>2.2149999999999999</v>
      </c>
      <c r="K945" s="29">
        <v>2.2149999999999999</v>
      </c>
      <c r="L945" s="29" t="s">
        <v>1032</v>
      </c>
      <c r="M945" s="29">
        <v>1</v>
      </c>
      <c r="N945" s="29">
        <v>0.5</v>
      </c>
      <c r="O945" s="29">
        <v>1</v>
      </c>
      <c r="P945" s="29">
        <v>2.2149999999999999</v>
      </c>
      <c r="Q945" s="29" t="s">
        <v>1033</v>
      </c>
    </row>
    <row r="946" spans="1:17" x14ac:dyDescent="0.3">
      <c r="B946" s="29">
        <v>2</v>
      </c>
      <c r="C946" s="29" t="s">
        <v>1050</v>
      </c>
      <c r="D946" s="30" t="s">
        <v>1086</v>
      </c>
      <c r="E946" s="29">
        <v>200</v>
      </c>
      <c r="G946" s="29" t="s">
        <v>1035</v>
      </c>
      <c r="H946" s="29">
        <v>1</v>
      </c>
      <c r="I946" s="29">
        <v>4.43</v>
      </c>
      <c r="J946" s="29">
        <v>0.88600000000000001</v>
      </c>
      <c r="K946" s="29">
        <v>0.88600000000000001</v>
      </c>
      <c r="L946" s="29" t="s">
        <v>1032</v>
      </c>
      <c r="M946" s="29">
        <v>1</v>
      </c>
      <c r="N946" s="29">
        <v>0.2</v>
      </c>
      <c r="O946" s="29">
        <v>1</v>
      </c>
      <c r="P946" s="29">
        <v>0.88600000000000001</v>
      </c>
      <c r="Q946" s="29" t="s">
        <v>1033</v>
      </c>
    </row>
    <row r="947" spans="1:17" x14ac:dyDescent="0.3">
      <c r="A947" s="29" t="s">
        <v>580</v>
      </c>
      <c r="B947" s="29">
        <v>1</v>
      </c>
      <c r="C947" s="29" t="s">
        <v>1050</v>
      </c>
      <c r="D947" s="30" t="s">
        <v>1086</v>
      </c>
      <c r="E947" s="29">
        <v>600</v>
      </c>
      <c r="G947" s="29" t="s">
        <v>1035</v>
      </c>
      <c r="H947" s="29">
        <v>1</v>
      </c>
      <c r="I947" s="29">
        <v>4.43</v>
      </c>
      <c r="J947" s="29">
        <v>2.6579999999999999</v>
      </c>
      <c r="K947" s="29">
        <v>2.6579999999999999</v>
      </c>
      <c r="L947" s="29" t="s">
        <v>1032</v>
      </c>
      <c r="M947" s="29">
        <v>1</v>
      </c>
      <c r="N947" s="29">
        <v>0.6</v>
      </c>
      <c r="O947" s="29">
        <v>1</v>
      </c>
      <c r="P947" s="29">
        <v>2.6579999999999999</v>
      </c>
      <c r="Q947" s="29" t="s">
        <v>1033</v>
      </c>
    </row>
    <row r="948" spans="1:17" x14ac:dyDescent="0.3">
      <c r="B948" s="29">
        <v>2</v>
      </c>
      <c r="C948" s="29" t="s">
        <v>1050</v>
      </c>
      <c r="D948" s="29" t="s">
        <v>1086</v>
      </c>
      <c r="E948" s="29">
        <v>200</v>
      </c>
      <c r="G948" s="29" t="s">
        <v>1035</v>
      </c>
      <c r="H948" s="29">
        <v>1</v>
      </c>
      <c r="I948" s="29">
        <v>4.43</v>
      </c>
      <c r="J948" s="29">
        <v>0.88600000000000001</v>
      </c>
      <c r="K948" s="29">
        <v>0.88600000000000001</v>
      </c>
      <c r="L948" s="29" t="s">
        <v>1032</v>
      </c>
      <c r="M948" s="29">
        <v>1</v>
      </c>
      <c r="N948" s="29">
        <v>0.2</v>
      </c>
      <c r="O948" s="29">
        <v>1</v>
      </c>
      <c r="P948" s="29">
        <v>0.88600000000000001</v>
      </c>
      <c r="Q948" s="29" t="s">
        <v>1033</v>
      </c>
    </row>
    <row r="949" spans="1:17" x14ac:dyDescent="0.3">
      <c r="A949" s="29" t="s">
        <v>581</v>
      </c>
      <c r="B949" s="29">
        <v>1</v>
      </c>
      <c r="C949" s="29" t="s">
        <v>1050</v>
      </c>
      <c r="D949" s="29" t="s">
        <v>1086</v>
      </c>
      <c r="E949" s="29">
        <v>700</v>
      </c>
      <c r="G949" s="29" t="s">
        <v>1035</v>
      </c>
      <c r="H949" s="29">
        <v>1</v>
      </c>
      <c r="I949" s="29">
        <v>4.43</v>
      </c>
      <c r="J949" s="29">
        <v>3.1009999999999995</v>
      </c>
      <c r="K949" s="29">
        <v>3.1009999999999995</v>
      </c>
      <c r="L949" s="29" t="s">
        <v>1032</v>
      </c>
      <c r="M949" s="29">
        <v>1</v>
      </c>
      <c r="N949" s="29">
        <v>0.7</v>
      </c>
      <c r="O949" s="29">
        <v>1</v>
      </c>
      <c r="P949" s="29">
        <v>3.1009999999999995</v>
      </c>
      <c r="Q949" s="29" t="s">
        <v>1033</v>
      </c>
    </row>
    <row r="950" spans="1:17" x14ac:dyDescent="0.3">
      <c r="B950" s="29">
        <v>2</v>
      </c>
      <c r="C950" s="29" t="s">
        <v>1050</v>
      </c>
      <c r="D950" s="30" t="s">
        <v>1086</v>
      </c>
      <c r="E950" s="29">
        <v>200</v>
      </c>
      <c r="G950" s="29" t="s">
        <v>1035</v>
      </c>
      <c r="H950" s="29">
        <v>1</v>
      </c>
      <c r="I950" s="29">
        <v>4.43</v>
      </c>
      <c r="J950" s="29">
        <v>0.88600000000000001</v>
      </c>
      <c r="K950" s="29">
        <v>0.88600000000000001</v>
      </c>
      <c r="L950" s="29" t="s">
        <v>1032</v>
      </c>
      <c r="M950" s="29">
        <v>1</v>
      </c>
      <c r="N950" s="29">
        <v>0.2</v>
      </c>
      <c r="O950" s="29">
        <v>1</v>
      </c>
      <c r="P950" s="29">
        <v>0.88600000000000001</v>
      </c>
      <c r="Q950" s="29" t="s">
        <v>1033</v>
      </c>
    </row>
    <row r="951" spans="1:17" x14ac:dyDescent="0.3">
      <c r="A951" s="29" t="s">
        <v>582</v>
      </c>
      <c r="B951" s="29">
        <v>1</v>
      </c>
      <c r="C951" s="29" t="s">
        <v>1050</v>
      </c>
      <c r="D951" s="29" t="s">
        <v>1086</v>
      </c>
      <c r="E951" s="29">
        <v>800</v>
      </c>
      <c r="G951" s="29" t="s">
        <v>1035</v>
      </c>
      <c r="H951" s="29">
        <v>1</v>
      </c>
      <c r="I951" s="29">
        <v>4.43</v>
      </c>
      <c r="J951" s="29">
        <v>3.544</v>
      </c>
      <c r="K951" s="29">
        <v>3.544</v>
      </c>
      <c r="L951" s="29" t="s">
        <v>1032</v>
      </c>
      <c r="M951" s="29">
        <v>1</v>
      </c>
      <c r="N951" s="29">
        <v>0.8</v>
      </c>
      <c r="O951" s="29">
        <v>1</v>
      </c>
      <c r="P951" s="29">
        <v>3.544</v>
      </c>
      <c r="Q951" s="29" t="s">
        <v>1033</v>
      </c>
    </row>
    <row r="952" spans="1:17" x14ac:dyDescent="0.3">
      <c r="B952" s="29">
        <v>2</v>
      </c>
      <c r="C952" s="29" t="s">
        <v>1050</v>
      </c>
      <c r="D952" s="29" t="s">
        <v>1086</v>
      </c>
      <c r="E952" s="29">
        <v>300</v>
      </c>
      <c r="G952" s="29" t="s">
        <v>1035</v>
      </c>
      <c r="H952" s="29">
        <v>1</v>
      </c>
      <c r="I952" s="29">
        <v>4.43</v>
      </c>
      <c r="J952" s="29">
        <v>1.329</v>
      </c>
      <c r="K952" s="29">
        <v>1.329</v>
      </c>
      <c r="L952" s="29" t="s">
        <v>1032</v>
      </c>
      <c r="M952" s="29">
        <v>1</v>
      </c>
      <c r="N952" s="29">
        <v>0.3</v>
      </c>
      <c r="O952" s="29">
        <v>1</v>
      </c>
      <c r="P952" s="29">
        <v>1.329</v>
      </c>
      <c r="Q952" s="29" t="s">
        <v>1033</v>
      </c>
    </row>
    <row r="953" spans="1:17" x14ac:dyDescent="0.3">
      <c r="A953" s="29" t="s">
        <v>583</v>
      </c>
      <c r="B953" s="29">
        <v>1</v>
      </c>
      <c r="C953" s="29" t="s">
        <v>1050</v>
      </c>
      <c r="D953" s="29" t="s">
        <v>1086</v>
      </c>
      <c r="E953" s="29">
        <v>200</v>
      </c>
      <c r="G953" s="29" t="s">
        <v>1035</v>
      </c>
      <c r="H953" s="29">
        <v>1</v>
      </c>
      <c r="I953" s="29">
        <v>4.43</v>
      </c>
      <c r="J953" s="29">
        <v>0.88600000000000001</v>
      </c>
      <c r="K953" s="29">
        <v>0.88600000000000001</v>
      </c>
      <c r="L953" s="29" t="s">
        <v>1032</v>
      </c>
      <c r="M953" s="29">
        <v>1</v>
      </c>
      <c r="N953" s="29">
        <v>0.2</v>
      </c>
      <c r="O953" s="29">
        <v>1</v>
      </c>
      <c r="P953" s="29">
        <v>0.88600000000000001</v>
      </c>
      <c r="Q953" s="29" t="s">
        <v>1033</v>
      </c>
    </row>
    <row r="954" spans="1:17" x14ac:dyDescent="0.3">
      <c r="B954" s="29">
        <v>2</v>
      </c>
      <c r="C954" s="29" t="s">
        <v>1050</v>
      </c>
      <c r="D954" s="29" t="s">
        <v>1086</v>
      </c>
      <c r="E954" s="29">
        <v>400</v>
      </c>
      <c r="G954" s="29" t="s">
        <v>1035</v>
      </c>
      <c r="H954" s="29">
        <v>1</v>
      </c>
      <c r="I954" s="29">
        <v>4.43</v>
      </c>
      <c r="J954" s="29">
        <v>1.772</v>
      </c>
      <c r="K954" s="29">
        <v>1.772</v>
      </c>
      <c r="L954" s="29" t="s">
        <v>1032</v>
      </c>
      <c r="M954" s="29">
        <v>1</v>
      </c>
      <c r="N954" s="29">
        <v>0.4</v>
      </c>
      <c r="O954" s="29">
        <v>1</v>
      </c>
      <c r="P954" s="29">
        <v>1.772</v>
      </c>
      <c r="Q954" s="29" t="s">
        <v>1033</v>
      </c>
    </row>
    <row r="955" spans="1:17" x14ac:dyDescent="0.3">
      <c r="A955" s="29" t="s">
        <v>584</v>
      </c>
      <c r="B955" s="29">
        <v>1</v>
      </c>
      <c r="C955" s="29" t="s">
        <v>1050</v>
      </c>
      <c r="D955" s="29" t="s">
        <v>1086</v>
      </c>
      <c r="E955" s="29">
        <v>400</v>
      </c>
      <c r="G955" s="29" t="s">
        <v>1035</v>
      </c>
      <c r="H955" s="29">
        <v>1</v>
      </c>
      <c r="I955" s="29">
        <v>4.43</v>
      </c>
      <c r="J955" s="29">
        <v>1.772</v>
      </c>
      <c r="K955" s="29">
        <v>1.772</v>
      </c>
      <c r="L955" s="29" t="s">
        <v>1032</v>
      </c>
      <c r="M955" s="29">
        <v>1</v>
      </c>
      <c r="N955" s="29">
        <v>0.4</v>
      </c>
      <c r="O955" s="29">
        <v>1</v>
      </c>
      <c r="P955" s="29">
        <v>1.772</v>
      </c>
      <c r="Q955" s="29" t="s">
        <v>1033</v>
      </c>
    </row>
    <row r="956" spans="1:17" x14ac:dyDescent="0.3">
      <c r="B956" s="29">
        <v>2</v>
      </c>
      <c r="C956" s="29" t="s">
        <v>1050</v>
      </c>
      <c r="D956" s="29" t="s">
        <v>1086</v>
      </c>
      <c r="E956" s="29">
        <v>400</v>
      </c>
      <c r="G956" s="29" t="s">
        <v>1035</v>
      </c>
      <c r="H956" s="29">
        <v>1</v>
      </c>
      <c r="I956" s="29">
        <v>4.43</v>
      </c>
      <c r="J956" s="29">
        <v>1.772</v>
      </c>
      <c r="K956" s="29">
        <v>1.772</v>
      </c>
      <c r="L956" s="29" t="s">
        <v>1032</v>
      </c>
      <c r="M956" s="29">
        <v>1</v>
      </c>
      <c r="N956" s="29">
        <v>0.4</v>
      </c>
      <c r="O956" s="29">
        <v>1</v>
      </c>
      <c r="P956" s="29">
        <v>1.772</v>
      </c>
      <c r="Q956" s="29" t="s">
        <v>1033</v>
      </c>
    </row>
    <row r="957" spans="1:17" x14ac:dyDescent="0.3">
      <c r="A957" s="29" t="s">
        <v>585</v>
      </c>
      <c r="B957" s="29">
        <v>1</v>
      </c>
      <c r="C957" s="29" t="s">
        <v>1050</v>
      </c>
      <c r="D957" s="29" t="s">
        <v>1086</v>
      </c>
      <c r="E957" s="29">
        <v>400</v>
      </c>
      <c r="G957" s="29" t="s">
        <v>1035</v>
      </c>
      <c r="H957" s="29">
        <v>1</v>
      </c>
      <c r="I957" s="29">
        <v>4.43</v>
      </c>
      <c r="J957" s="29">
        <v>1.772</v>
      </c>
      <c r="K957" s="29">
        <v>1.772</v>
      </c>
      <c r="L957" s="29" t="s">
        <v>1032</v>
      </c>
      <c r="M957" s="29">
        <v>1</v>
      </c>
      <c r="N957" s="29">
        <v>0.4</v>
      </c>
      <c r="O957" s="29">
        <v>1</v>
      </c>
      <c r="P957" s="29">
        <v>1.772</v>
      </c>
      <c r="Q957" s="29" t="s">
        <v>1033</v>
      </c>
    </row>
    <row r="958" spans="1:17" x14ac:dyDescent="0.3">
      <c r="B958" s="29">
        <v>2</v>
      </c>
      <c r="C958" s="29" t="s">
        <v>1050</v>
      </c>
      <c r="D958" s="29" t="s">
        <v>1086</v>
      </c>
      <c r="E958" s="29">
        <v>400</v>
      </c>
      <c r="G958" s="29" t="s">
        <v>1035</v>
      </c>
      <c r="H958" s="29">
        <v>1</v>
      </c>
      <c r="I958" s="29">
        <v>4.43</v>
      </c>
      <c r="J958" s="29">
        <v>1.772</v>
      </c>
      <c r="K958" s="29">
        <v>1.772</v>
      </c>
      <c r="L958" s="29" t="s">
        <v>1032</v>
      </c>
      <c r="M958" s="29">
        <v>1</v>
      </c>
      <c r="N958" s="29">
        <v>0.4</v>
      </c>
      <c r="O958" s="29">
        <v>1</v>
      </c>
      <c r="P958" s="29">
        <v>1.772</v>
      </c>
      <c r="Q958" s="29" t="s">
        <v>1033</v>
      </c>
    </row>
    <row r="959" spans="1:17" x14ac:dyDescent="0.3">
      <c r="A959" s="29" t="s">
        <v>586</v>
      </c>
      <c r="B959" s="29">
        <v>1</v>
      </c>
      <c r="C959" s="29" t="s">
        <v>1050</v>
      </c>
      <c r="D959" s="29" t="s">
        <v>1086</v>
      </c>
      <c r="E959" s="29">
        <v>200</v>
      </c>
      <c r="G959" s="29" t="s">
        <v>1035</v>
      </c>
      <c r="H959" s="29">
        <v>1</v>
      </c>
      <c r="I959" s="29">
        <v>4.43</v>
      </c>
      <c r="J959" s="29">
        <v>0.88600000000000001</v>
      </c>
      <c r="K959" s="29">
        <v>0.88600000000000001</v>
      </c>
      <c r="L959" s="29" t="s">
        <v>1032</v>
      </c>
      <c r="M959" s="29">
        <v>1</v>
      </c>
      <c r="N959" s="29">
        <v>0.2</v>
      </c>
      <c r="O959" s="29">
        <v>1</v>
      </c>
      <c r="P959" s="29">
        <v>0.88600000000000001</v>
      </c>
      <c r="Q959" s="29" t="s">
        <v>1033</v>
      </c>
    </row>
    <row r="960" spans="1:17" x14ac:dyDescent="0.3">
      <c r="B960" s="29">
        <v>2</v>
      </c>
      <c r="C960" s="29" t="s">
        <v>1050</v>
      </c>
      <c r="D960" s="29" t="s">
        <v>1086</v>
      </c>
      <c r="E960" s="29">
        <v>500</v>
      </c>
      <c r="G960" s="29" t="s">
        <v>1035</v>
      </c>
      <c r="H960" s="29">
        <v>1</v>
      </c>
      <c r="I960" s="29">
        <v>4.43</v>
      </c>
      <c r="J960" s="29">
        <v>2.2149999999999999</v>
      </c>
      <c r="K960" s="29">
        <v>2.2149999999999999</v>
      </c>
      <c r="L960" s="29" t="s">
        <v>1032</v>
      </c>
      <c r="M960" s="29">
        <v>1</v>
      </c>
      <c r="N960" s="29">
        <v>0.5</v>
      </c>
      <c r="O960" s="29">
        <v>1</v>
      </c>
      <c r="P960" s="29">
        <v>2.2149999999999999</v>
      </c>
      <c r="Q960" s="29" t="s">
        <v>1033</v>
      </c>
    </row>
    <row r="961" spans="1:17" x14ac:dyDescent="0.3">
      <c r="A961" s="29" t="s">
        <v>587</v>
      </c>
      <c r="B961" s="29">
        <v>1</v>
      </c>
      <c r="C961" s="29" t="s">
        <v>1050</v>
      </c>
      <c r="D961" s="29" t="s">
        <v>1086</v>
      </c>
      <c r="E961" s="29">
        <v>200</v>
      </c>
      <c r="G961" s="29" t="s">
        <v>1035</v>
      </c>
      <c r="H961" s="29">
        <v>1</v>
      </c>
      <c r="I961" s="29">
        <v>4.43</v>
      </c>
      <c r="J961" s="29">
        <v>0.88600000000000001</v>
      </c>
      <c r="K961" s="29">
        <v>0.88600000000000001</v>
      </c>
      <c r="L961" s="29" t="s">
        <v>1032</v>
      </c>
      <c r="M961" s="29">
        <v>1</v>
      </c>
      <c r="N961" s="29">
        <v>0.2</v>
      </c>
      <c r="O961" s="29">
        <v>1</v>
      </c>
      <c r="P961" s="29">
        <v>0.88600000000000001</v>
      </c>
      <c r="Q961" s="29" t="s">
        <v>1033</v>
      </c>
    </row>
    <row r="962" spans="1:17" x14ac:dyDescent="0.3">
      <c r="B962" s="29">
        <v>2</v>
      </c>
      <c r="C962" s="29" t="s">
        <v>1050</v>
      </c>
      <c r="D962" s="29" t="s">
        <v>1086</v>
      </c>
      <c r="E962" s="29">
        <v>500</v>
      </c>
      <c r="G962" s="29" t="s">
        <v>1035</v>
      </c>
      <c r="H962" s="29">
        <v>1</v>
      </c>
      <c r="I962" s="29">
        <v>4.43</v>
      </c>
      <c r="J962" s="29">
        <v>2.2149999999999999</v>
      </c>
      <c r="K962" s="29">
        <v>2.2149999999999999</v>
      </c>
      <c r="L962" s="29" t="s">
        <v>1032</v>
      </c>
      <c r="M962" s="29">
        <v>1</v>
      </c>
      <c r="N962" s="29">
        <v>0.5</v>
      </c>
      <c r="O962" s="29">
        <v>1</v>
      </c>
      <c r="P962" s="29">
        <v>2.2149999999999999</v>
      </c>
      <c r="Q962" s="29" t="s">
        <v>1033</v>
      </c>
    </row>
    <row r="963" spans="1:17" x14ac:dyDescent="0.3">
      <c r="A963" s="29" t="s">
        <v>588</v>
      </c>
      <c r="B963" s="29">
        <v>1</v>
      </c>
      <c r="C963" s="29" t="s">
        <v>1050</v>
      </c>
      <c r="D963" s="29" t="s">
        <v>1087</v>
      </c>
      <c r="E963" s="29">
        <v>800</v>
      </c>
      <c r="G963" s="29" t="s">
        <v>1035</v>
      </c>
      <c r="H963" s="29">
        <v>1</v>
      </c>
      <c r="I963" s="29">
        <v>9.9600000000000009</v>
      </c>
      <c r="J963" s="29">
        <v>7.9680000000000009</v>
      </c>
      <c r="K963" s="29">
        <v>7.9680000000000009</v>
      </c>
      <c r="L963" s="29" t="s">
        <v>1032</v>
      </c>
      <c r="M963" s="29">
        <v>1</v>
      </c>
      <c r="N963" s="29">
        <v>0.8</v>
      </c>
      <c r="O963" s="29">
        <v>1</v>
      </c>
      <c r="P963" s="29">
        <v>7.9680000000000009</v>
      </c>
      <c r="Q963" s="29" t="s">
        <v>1033</v>
      </c>
    </row>
    <row r="964" spans="1:17" x14ac:dyDescent="0.3">
      <c r="B964" s="29">
        <v>2</v>
      </c>
      <c r="C964" s="29" t="s">
        <v>1050</v>
      </c>
      <c r="D964" s="29" t="s">
        <v>1087</v>
      </c>
      <c r="E964" s="29">
        <v>300</v>
      </c>
      <c r="G964" s="29" t="s">
        <v>1035</v>
      </c>
      <c r="H964" s="29">
        <v>1</v>
      </c>
      <c r="I964" s="29">
        <v>9.9600000000000009</v>
      </c>
      <c r="J964" s="29">
        <v>2.988</v>
      </c>
      <c r="K964" s="29">
        <v>2.988</v>
      </c>
      <c r="L964" s="29" t="s">
        <v>1032</v>
      </c>
      <c r="M964" s="29">
        <v>1</v>
      </c>
      <c r="N964" s="29">
        <v>0.3</v>
      </c>
      <c r="O964" s="29">
        <v>1</v>
      </c>
      <c r="P964" s="29">
        <v>2.988</v>
      </c>
      <c r="Q964" s="29" t="s">
        <v>1033</v>
      </c>
    </row>
    <row r="965" spans="1:17" x14ac:dyDescent="0.3">
      <c r="A965" s="29" t="s">
        <v>589</v>
      </c>
      <c r="B965" s="29">
        <v>1</v>
      </c>
      <c r="C965" s="29" t="s">
        <v>1050</v>
      </c>
      <c r="D965" s="29" t="s">
        <v>1087</v>
      </c>
      <c r="E965" s="29">
        <v>900</v>
      </c>
      <c r="G965" s="29" t="s">
        <v>1035</v>
      </c>
      <c r="H965" s="29">
        <v>1</v>
      </c>
      <c r="I965" s="29">
        <v>9.9600000000000009</v>
      </c>
      <c r="J965" s="29">
        <v>8.9640000000000004</v>
      </c>
      <c r="K965" s="29">
        <v>8.9640000000000004</v>
      </c>
      <c r="L965" s="29" t="s">
        <v>1032</v>
      </c>
      <c r="M965" s="29">
        <v>1</v>
      </c>
      <c r="N965" s="29">
        <v>0.9</v>
      </c>
      <c r="O965" s="29">
        <v>1</v>
      </c>
      <c r="P965" s="29">
        <v>8.9640000000000004</v>
      </c>
      <c r="Q965" s="29" t="s">
        <v>1033</v>
      </c>
    </row>
    <row r="966" spans="1:17" x14ac:dyDescent="0.3">
      <c r="B966" s="29">
        <v>2</v>
      </c>
      <c r="C966" s="29" t="s">
        <v>1050</v>
      </c>
      <c r="D966" s="29" t="s">
        <v>1087</v>
      </c>
      <c r="E966" s="29">
        <v>300</v>
      </c>
      <c r="G966" s="29" t="s">
        <v>1035</v>
      </c>
      <c r="H966" s="29">
        <v>1</v>
      </c>
      <c r="I966" s="29">
        <v>9.9600000000000009</v>
      </c>
      <c r="J966" s="29">
        <v>2.988</v>
      </c>
      <c r="K966" s="29">
        <v>2.988</v>
      </c>
      <c r="L966" s="29" t="s">
        <v>1032</v>
      </c>
      <c r="M966" s="29">
        <v>1</v>
      </c>
      <c r="N966" s="29">
        <v>0.3</v>
      </c>
      <c r="O966" s="29">
        <v>1</v>
      </c>
      <c r="P966" s="29">
        <v>2.988</v>
      </c>
      <c r="Q966" s="29" t="s">
        <v>1033</v>
      </c>
    </row>
    <row r="967" spans="1:17" x14ac:dyDescent="0.3">
      <c r="A967" s="29" t="s">
        <v>590</v>
      </c>
      <c r="B967" s="29">
        <v>1</v>
      </c>
      <c r="C967" s="29" t="s">
        <v>1050</v>
      </c>
      <c r="D967" s="29" t="s">
        <v>1087</v>
      </c>
      <c r="E967" s="29">
        <v>300</v>
      </c>
      <c r="G967" s="29" t="s">
        <v>1035</v>
      </c>
      <c r="H967" s="29">
        <v>1</v>
      </c>
      <c r="I967" s="29">
        <v>9.9600000000000009</v>
      </c>
      <c r="J967" s="29">
        <v>2.988</v>
      </c>
      <c r="K967" s="29">
        <v>2.988</v>
      </c>
      <c r="L967" s="29" t="s">
        <v>1032</v>
      </c>
      <c r="M967" s="29">
        <v>1</v>
      </c>
      <c r="N967" s="29">
        <v>0.3</v>
      </c>
      <c r="O967" s="29">
        <v>1</v>
      </c>
      <c r="P967" s="29">
        <v>2.988</v>
      </c>
      <c r="Q967" s="29" t="s">
        <v>1033</v>
      </c>
    </row>
    <row r="968" spans="1:17" x14ac:dyDescent="0.3">
      <c r="B968" s="29">
        <v>2</v>
      </c>
      <c r="C968" s="29" t="s">
        <v>1050</v>
      </c>
      <c r="D968" s="29" t="s">
        <v>1087</v>
      </c>
      <c r="E968" s="29">
        <v>400</v>
      </c>
      <c r="G968" s="29" t="s">
        <v>1035</v>
      </c>
      <c r="H968" s="29">
        <v>1</v>
      </c>
      <c r="I968" s="29">
        <v>9.9600000000000009</v>
      </c>
      <c r="J968" s="29">
        <v>3.9840000000000004</v>
      </c>
      <c r="K968" s="29">
        <v>3.9840000000000004</v>
      </c>
      <c r="L968" s="29" t="s">
        <v>1032</v>
      </c>
      <c r="M968" s="29">
        <v>1</v>
      </c>
      <c r="N968" s="29">
        <v>0.4</v>
      </c>
      <c r="O968" s="29">
        <v>1</v>
      </c>
      <c r="P968" s="29">
        <v>3.9840000000000004</v>
      </c>
      <c r="Q968" s="29" t="s">
        <v>1033</v>
      </c>
    </row>
    <row r="969" spans="1:17" x14ac:dyDescent="0.3">
      <c r="A969" s="29" t="s">
        <v>591</v>
      </c>
      <c r="B969" s="29">
        <v>1</v>
      </c>
      <c r="C969" s="29" t="s">
        <v>1050</v>
      </c>
      <c r="D969" s="29" t="s">
        <v>1087</v>
      </c>
      <c r="E969" s="29">
        <v>400</v>
      </c>
      <c r="G969" s="29" t="s">
        <v>1035</v>
      </c>
      <c r="H969" s="29">
        <v>1</v>
      </c>
      <c r="I969" s="29">
        <v>9.9600000000000009</v>
      </c>
      <c r="J969" s="29">
        <v>3.9840000000000004</v>
      </c>
      <c r="K969" s="29">
        <v>3.9840000000000004</v>
      </c>
      <c r="L969" s="29" t="s">
        <v>1032</v>
      </c>
      <c r="M969" s="29">
        <v>1</v>
      </c>
      <c r="N969" s="29">
        <v>0.4</v>
      </c>
      <c r="O969" s="29">
        <v>1</v>
      </c>
      <c r="P969" s="29">
        <v>3.9840000000000004</v>
      </c>
      <c r="Q969" s="29" t="s">
        <v>1033</v>
      </c>
    </row>
    <row r="970" spans="1:17" x14ac:dyDescent="0.3">
      <c r="B970" s="29">
        <v>2</v>
      </c>
      <c r="C970" s="29" t="s">
        <v>1050</v>
      </c>
      <c r="D970" s="29" t="s">
        <v>1087</v>
      </c>
      <c r="E970" s="29">
        <v>400</v>
      </c>
      <c r="G970" s="29" t="s">
        <v>1035</v>
      </c>
      <c r="H970" s="29">
        <v>1</v>
      </c>
      <c r="I970" s="29">
        <v>9.9600000000000009</v>
      </c>
      <c r="J970" s="29">
        <v>3.9840000000000004</v>
      </c>
      <c r="K970" s="29">
        <v>3.9840000000000004</v>
      </c>
      <c r="L970" s="29" t="s">
        <v>1032</v>
      </c>
      <c r="M970" s="29">
        <v>1</v>
      </c>
      <c r="N970" s="29">
        <v>0.4</v>
      </c>
      <c r="O970" s="29">
        <v>1</v>
      </c>
      <c r="P970" s="29">
        <v>3.9840000000000004</v>
      </c>
      <c r="Q970" s="29" t="s">
        <v>1033</v>
      </c>
    </row>
    <row r="971" spans="1:17" x14ac:dyDescent="0.3">
      <c r="A971" s="29" t="s">
        <v>591</v>
      </c>
      <c r="B971" s="29">
        <v>1</v>
      </c>
      <c r="C971" s="29" t="s">
        <v>1050</v>
      </c>
      <c r="D971" s="29" t="s">
        <v>1087</v>
      </c>
      <c r="E971" s="29">
        <v>400</v>
      </c>
      <c r="G971" s="29" t="s">
        <v>1035</v>
      </c>
      <c r="H971" s="29">
        <v>1</v>
      </c>
      <c r="I971" s="29">
        <v>9.9600000000000009</v>
      </c>
      <c r="J971" s="29">
        <v>3.9840000000000004</v>
      </c>
      <c r="K971" s="29">
        <v>3.9840000000000004</v>
      </c>
      <c r="L971" s="29" t="s">
        <v>1032</v>
      </c>
      <c r="M971" s="29">
        <v>1</v>
      </c>
      <c r="N971" s="29">
        <v>0.4</v>
      </c>
      <c r="O971" s="29">
        <v>1</v>
      </c>
      <c r="P971" s="29">
        <v>3.9840000000000004</v>
      </c>
      <c r="Q971" s="29" t="s">
        <v>1033</v>
      </c>
    </row>
    <row r="972" spans="1:17" x14ac:dyDescent="0.3">
      <c r="B972" s="29">
        <v>2</v>
      </c>
      <c r="C972" s="29" t="s">
        <v>1050</v>
      </c>
      <c r="D972" s="29" t="s">
        <v>1087</v>
      </c>
      <c r="E972" s="29">
        <v>400</v>
      </c>
      <c r="G972" s="29" t="s">
        <v>1035</v>
      </c>
      <c r="H972" s="29">
        <v>1</v>
      </c>
      <c r="I972" s="29">
        <v>9.9600000000000009</v>
      </c>
      <c r="J972" s="29">
        <v>3.9840000000000004</v>
      </c>
      <c r="K972" s="29">
        <v>3.9840000000000004</v>
      </c>
      <c r="L972" s="29" t="s">
        <v>1032</v>
      </c>
      <c r="M972" s="29">
        <v>1</v>
      </c>
      <c r="N972" s="29">
        <v>0.4</v>
      </c>
      <c r="O972" s="29">
        <v>1</v>
      </c>
      <c r="P972" s="29">
        <v>3.9840000000000004</v>
      </c>
      <c r="Q972" s="29" t="s">
        <v>1033</v>
      </c>
    </row>
    <row r="973" spans="1:17" x14ac:dyDescent="0.3">
      <c r="A973" s="29" t="s">
        <v>592</v>
      </c>
      <c r="B973" s="29">
        <v>1</v>
      </c>
      <c r="C973" s="29" t="s">
        <v>1050</v>
      </c>
      <c r="D973" s="29" t="s">
        <v>1087</v>
      </c>
      <c r="E973" s="29">
        <v>500</v>
      </c>
      <c r="G973" s="29" t="s">
        <v>1035</v>
      </c>
      <c r="H973" s="29">
        <v>1</v>
      </c>
      <c r="I973" s="29">
        <v>9.9600000000000009</v>
      </c>
      <c r="J973" s="29">
        <v>4.9800000000000004</v>
      </c>
      <c r="K973" s="29">
        <v>4.9800000000000004</v>
      </c>
      <c r="L973" s="29" t="s">
        <v>1032</v>
      </c>
      <c r="M973" s="29">
        <v>1</v>
      </c>
      <c r="N973" s="29">
        <v>0.5</v>
      </c>
      <c r="O973" s="29">
        <v>1</v>
      </c>
      <c r="P973" s="29">
        <v>4.9800000000000004</v>
      </c>
      <c r="Q973" s="29" t="s">
        <v>1033</v>
      </c>
    </row>
    <row r="974" spans="1:17" x14ac:dyDescent="0.3">
      <c r="B974" s="29">
        <v>2</v>
      </c>
      <c r="C974" s="29" t="s">
        <v>1050</v>
      </c>
      <c r="D974" s="29" t="s">
        <v>1087</v>
      </c>
      <c r="E974" s="29">
        <v>500</v>
      </c>
      <c r="G974" s="29" t="s">
        <v>1035</v>
      </c>
      <c r="H974" s="29">
        <v>1</v>
      </c>
      <c r="I974" s="29">
        <v>9.9600000000000009</v>
      </c>
      <c r="J974" s="29">
        <v>4.9800000000000004</v>
      </c>
      <c r="K974" s="29">
        <v>4.9800000000000004</v>
      </c>
      <c r="L974" s="29" t="s">
        <v>1032</v>
      </c>
      <c r="M974" s="29">
        <v>1</v>
      </c>
      <c r="N974" s="29">
        <v>0.5</v>
      </c>
      <c r="O974" s="29">
        <v>1</v>
      </c>
      <c r="P974" s="29">
        <v>4.9800000000000004</v>
      </c>
      <c r="Q974" s="29" t="s">
        <v>1033</v>
      </c>
    </row>
    <row r="975" spans="1:17" x14ac:dyDescent="0.3">
      <c r="A975" s="29" t="s">
        <v>593</v>
      </c>
      <c r="B975" s="29">
        <v>1</v>
      </c>
      <c r="C975" s="29" t="s">
        <v>1050</v>
      </c>
      <c r="D975" s="29" t="s">
        <v>1087</v>
      </c>
      <c r="E975" s="29">
        <v>700</v>
      </c>
      <c r="G975" s="29" t="s">
        <v>1035</v>
      </c>
      <c r="H975" s="29">
        <v>1</v>
      </c>
      <c r="I975" s="29">
        <v>9.9600000000000009</v>
      </c>
      <c r="J975" s="29">
        <v>6.9720000000000004</v>
      </c>
      <c r="K975" s="29">
        <v>6.9720000000000004</v>
      </c>
      <c r="L975" s="29" t="s">
        <v>1032</v>
      </c>
      <c r="M975" s="29">
        <v>1</v>
      </c>
      <c r="N975" s="29">
        <v>0.7</v>
      </c>
      <c r="O975" s="29">
        <v>1</v>
      </c>
      <c r="P975" s="29">
        <v>6.9720000000000004</v>
      </c>
      <c r="Q975" s="29" t="s">
        <v>1033</v>
      </c>
    </row>
    <row r="976" spans="1:17" x14ac:dyDescent="0.3">
      <c r="B976" s="29">
        <v>2</v>
      </c>
      <c r="C976" s="29" t="s">
        <v>1050</v>
      </c>
      <c r="D976" s="29" t="s">
        <v>1087</v>
      </c>
      <c r="E976" s="29">
        <v>500</v>
      </c>
      <c r="G976" s="29" t="s">
        <v>1035</v>
      </c>
      <c r="H976" s="29">
        <v>1</v>
      </c>
      <c r="I976" s="29">
        <v>9.9600000000000009</v>
      </c>
      <c r="J976" s="29">
        <v>4.9800000000000004</v>
      </c>
      <c r="K976" s="29">
        <v>4.9800000000000004</v>
      </c>
      <c r="L976" s="29" t="s">
        <v>1032</v>
      </c>
      <c r="M976" s="29">
        <v>1</v>
      </c>
      <c r="N976" s="29">
        <v>0.5</v>
      </c>
      <c r="O976" s="29">
        <v>1</v>
      </c>
      <c r="P976" s="29">
        <v>4.9800000000000004</v>
      </c>
      <c r="Q976" s="29" t="s">
        <v>1033</v>
      </c>
    </row>
    <row r="977" spans="1:17" x14ac:dyDescent="0.3">
      <c r="A977" s="29" t="s">
        <v>594</v>
      </c>
      <c r="B977" s="29">
        <v>1</v>
      </c>
      <c r="C977" s="29" t="s">
        <v>1050</v>
      </c>
      <c r="D977" s="29" t="s">
        <v>1087</v>
      </c>
      <c r="E977" s="29">
        <v>700</v>
      </c>
      <c r="G977" s="29" t="s">
        <v>1035</v>
      </c>
      <c r="H977" s="29">
        <v>1</v>
      </c>
      <c r="I977" s="29">
        <v>9.9600000000000009</v>
      </c>
      <c r="J977" s="29">
        <v>6.9720000000000004</v>
      </c>
      <c r="K977" s="29">
        <v>6.9720000000000004</v>
      </c>
      <c r="L977" s="29" t="s">
        <v>1032</v>
      </c>
      <c r="M977" s="29">
        <v>1</v>
      </c>
      <c r="N977" s="29">
        <v>0.7</v>
      </c>
      <c r="O977" s="29">
        <v>1</v>
      </c>
      <c r="P977" s="29">
        <v>6.9720000000000004</v>
      </c>
      <c r="Q977" s="29" t="s">
        <v>1033</v>
      </c>
    </row>
    <row r="978" spans="1:17" x14ac:dyDescent="0.3">
      <c r="B978" s="29">
        <v>2</v>
      </c>
      <c r="C978" s="29" t="s">
        <v>1050</v>
      </c>
      <c r="D978" s="29" t="s">
        <v>1087</v>
      </c>
      <c r="E978" s="29">
        <v>500</v>
      </c>
      <c r="G978" s="29" t="s">
        <v>1035</v>
      </c>
      <c r="H978" s="29">
        <v>1</v>
      </c>
      <c r="I978" s="29">
        <v>9.9600000000000009</v>
      </c>
      <c r="J978" s="29">
        <v>4.9800000000000004</v>
      </c>
      <c r="K978" s="29">
        <v>4.9800000000000004</v>
      </c>
      <c r="L978" s="29" t="s">
        <v>1032</v>
      </c>
      <c r="M978" s="29">
        <v>1</v>
      </c>
      <c r="N978" s="29">
        <v>0.5</v>
      </c>
      <c r="O978" s="29">
        <v>1</v>
      </c>
      <c r="P978" s="29">
        <v>4.9800000000000004</v>
      </c>
      <c r="Q978" s="29" t="s">
        <v>1033</v>
      </c>
    </row>
    <row r="979" spans="1:17" x14ac:dyDescent="0.3">
      <c r="A979" s="29" t="s">
        <v>595</v>
      </c>
      <c r="B979" s="29">
        <v>1</v>
      </c>
      <c r="C979" s="29" t="s">
        <v>1050</v>
      </c>
      <c r="D979" s="29" t="s">
        <v>1087</v>
      </c>
      <c r="E979" s="29">
        <v>900</v>
      </c>
      <c r="G979" s="29" t="s">
        <v>1035</v>
      </c>
      <c r="H979" s="29">
        <v>1</v>
      </c>
      <c r="I979" s="29">
        <v>9.9600000000000009</v>
      </c>
      <c r="J979" s="29">
        <v>8.9640000000000004</v>
      </c>
      <c r="K979" s="29">
        <v>8.9640000000000004</v>
      </c>
      <c r="L979" s="29" t="s">
        <v>1032</v>
      </c>
      <c r="M979" s="29">
        <v>1</v>
      </c>
      <c r="N979" s="29">
        <v>0.9</v>
      </c>
      <c r="O979" s="29">
        <v>1</v>
      </c>
      <c r="P979" s="29">
        <v>8.9640000000000004</v>
      </c>
      <c r="Q979" s="29" t="s">
        <v>1033</v>
      </c>
    </row>
    <row r="980" spans="1:17" x14ac:dyDescent="0.3">
      <c r="B980" s="29">
        <v>2</v>
      </c>
      <c r="C980" s="29" t="s">
        <v>1050</v>
      </c>
      <c r="D980" s="29" t="s">
        <v>1087</v>
      </c>
      <c r="E980" s="29">
        <v>500</v>
      </c>
      <c r="G980" s="29" t="s">
        <v>1035</v>
      </c>
      <c r="H980" s="29">
        <v>1</v>
      </c>
      <c r="I980" s="29">
        <v>9.9600000000000009</v>
      </c>
      <c r="J980" s="29">
        <v>4.9800000000000004</v>
      </c>
      <c r="K980" s="29">
        <v>4.9800000000000004</v>
      </c>
      <c r="L980" s="29" t="s">
        <v>1032</v>
      </c>
      <c r="M980" s="29">
        <v>1</v>
      </c>
      <c r="N980" s="29">
        <v>0.5</v>
      </c>
      <c r="O980" s="29">
        <v>1</v>
      </c>
      <c r="P980" s="29">
        <v>4.9800000000000004</v>
      </c>
      <c r="Q980" s="29" t="s">
        <v>1033</v>
      </c>
    </row>
    <row r="981" spans="1:17" x14ac:dyDescent="0.3">
      <c r="A981" s="29" t="s">
        <v>596</v>
      </c>
      <c r="B981" s="29">
        <v>1</v>
      </c>
      <c r="C981" s="29" t="s">
        <v>1050</v>
      </c>
      <c r="D981" s="29" t="s">
        <v>1087</v>
      </c>
      <c r="E981" s="29">
        <v>300</v>
      </c>
      <c r="G981" s="29" t="s">
        <v>1035</v>
      </c>
      <c r="H981" s="29">
        <v>1</v>
      </c>
      <c r="I981" s="29">
        <v>9.9600000000000009</v>
      </c>
      <c r="J981" s="29">
        <v>2.988</v>
      </c>
      <c r="K981" s="29">
        <v>2.988</v>
      </c>
      <c r="L981" s="29" t="s">
        <v>1032</v>
      </c>
      <c r="M981" s="29">
        <v>1</v>
      </c>
      <c r="N981" s="29">
        <v>0.3</v>
      </c>
      <c r="O981" s="29">
        <v>1</v>
      </c>
      <c r="P981" s="29">
        <v>2.988</v>
      </c>
      <c r="Q981" s="29" t="s">
        <v>1033</v>
      </c>
    </row>
    <row r="982" spans="1:17" x14ac:dyDescent="0.3">
      <c r="B982" s="29">
        <v>2</v>
      </c>
      <c r="C982" s="29" t="s">
        <v>1050</v>
      </c>
      <c r="D982" s="29" t="s">
        <v>1087</v>
      </c>
      <c r="E982" s="29">
        <v>600</v>
      </c>
      <c r="G982" s="29" t="s">
        <v>1035</v>
      </c>
      <c r="H982" s="29">
        <v>1</v>
      </c>
      <c r="I982" s="29">
        <v>9.9600000000000009</v>
      </c>
      <c r="J982" s="29">
        <v>5.976</v>
      </c>
      <c r="K982" s="29">
        <v>5.976</v>
      </c>
      <c r="L982" s="29" t="s">
        <v>1032</v>
      </c>
      <c r="M982" s="29">
        <v>1</v>
      </c>
      <c r="N982" s="29">
        <v>0.6</v>
      </c>
      <c r="O982" s="29">
        <v>1</v>
      </c>
      <c r="P982" s="29">
        <v>5.976</v>
      </c>
      <c r="Q982" s="29" t="s">
        <v>1033</v>
      </c>
    </row>
    <row r="983" spans="1:17" x14ac:dyDescent="0.3">
      <c r="A983" s="29" t="s">
        <v>597</v>
      </c>
      <c r="B983" s="29">
        <v>1</v>
      </c>
      <c r="C983" s="29" t="s">
        <v>1050</v>
      </c>
      <c r="D983" s="29" t="s">
        <v>1087</v>
      </c>
      <c r="E983" s="29">
        <v>400</v>
      </c>
      <c r="G983" s="29" t="s">
        <v>1035</v>
      </c>
      <c r="H983" s="29">
        <v>1</v>
      </c>
      <c r="I983" s="29">
        <v>9.9600000000000009</v>
      </c>
      <c r="J983" s="29">
        <v>3.9840000000000004</v>
      </c>
      <c r="K983" s="29">
        <v>3.9840000000000004</v>
      </c>
      <c r="L983" s="29" t="s">
        <v>1032</v>
      </c>
      <c r="M983" s="29">
        <v>1</v>
      </c>
      <c r="N983" s="29">
        <v>0.4</v>
      </c>
      <c r="O983" s="29">
        <v>1</v>
      </c>
      <c r="P983" s="29">
        <v>3.9840000000000004</v>
      </c>
      <c r="Q983" s="29" t="s">
        <v>1033</v>
      </c>
    </row>
    <row r="984" spans="1:17" x14ac:dyDescent="0.3">
      <c r="B984" s="29">
        <v>2</v>
      </c>
      <c r="C984" s="29" t="s">
        <v>1050</v>
      </c>
      <c r="D984" s="29" t="s">
        <v>1087</v>
      </c>
      <c r="E984" s="29">
        <v>600</v>
      </c>
      <c r="G984" s="29" t="s">
        <v>1035</v>
      </c>
      <c r="H984" s="29">
        <v>1</v>
      </c>
      <c r="I984" s="29">
        <v>9.9600000000000009</v>
      </c>
      <c r="J984" s="29">
        <v>5.976</v>
      </c>
      <c r="K984" s="29">
        <v>5.976</v>
      </c>
      <c r="L984" s="29" t="s">
        <v>1032</v>
      </c>
      <c r="M984" s="29">
        <v>1</v>
      </c>
      <c r="N984" s="29">
        <v>0.6</v>
      </c>
      <c r="O984" s="29">
        <v>1</v>
      </c>
      <c r="P984" s="29">
        <v>5.976</v>
      </c>
      <c r="Q984" s="29" t="s">
        <v>1033</v>
      </c>
    </row>
    <row r="985" spans="1:17" x14ac:dyDescent="0.3">
      <c r="A985" s="29" t="s">
        <v>598</v>
      </c>
      <c r="B985" s="29">
        <v>1</v>
      </c>
      <c r="C985" s="29" t="s">
        <v>1050</v>
      </c>
      <c r="D985" s="29" t="s">
        <v>1087</v>
      </c>
      <c r="E985" s="29">
        <v>500</v>
      </c>
      <c r="G985" s="29" t="s">
        <v>1035</v>
      </c>
      <c r="H985" s="29">
        <v>1</v>
      </c>
      <c r="I985" s="29">
        <v>9.9600000000000009</v>
      </c>
      <c r="J985" s="29">
        <v>4.9800000000000004</v>
      </c>
      <c r="K985" s="29">
        <v>4.9800000000000004</v>
      </c>
      <c r="L985" s="29" t="s">
        <v>1032</v>
      </c>
      <c r="M985" s="29">
        <v>1</v>
      </c>
      <c r="N985" s="29">
        <v>0.5</v>
      </c>
      <c r="O985" s="29">
        <v>1</v>
      </c>
      <c r="P985" s="29">
        <v>4.9800000000000004</v>
      </c>
      <c r="Q985" s="29" t="s">
        <v>1033</v>
      </c>
    </row>
    <row r="986" spans="1:17" x14ac:dyDescent="0.3">
      <c r="B986" s="29">
        <v>2</v>
      </c>
      <c r="C986" s="29" t="s">
        <v>1050</v>
      </c>
      <c r="D986" s="29" t="s">
        <v>1087</v>
      </c>
      <c r="E986" s="29">
        <v>600</v>
      </c>
      <c r="G986" s="29" t="s">
        <v>1035</v>
      </c>
      <c r="H986" s="29">
        <v>1</v>
      </c>
      <c r="I986" s="29">
        <v>9.9600000000000009</v>
      </c>
      <c r="J986" s="29">
        <v>5.976</v>
      </c>
      <c r="K986" s="29">
        <v>5.976</v>
      </c>
      <c r="L986" s="29" t="s">
        <v>1032</v>
      </c>
      <c r="M986" s="29">
        <v>1</v>
      </c>
      <c r="N986" s="29">
        <v>0.6</v>
      </c>
      <c r="O986" s="29">
        <v>1</v>
      </c>
      <c r="P986" s="29">
        <v>5.976</v>
      </c>
      <c r="Q986" s="29" t="s">
        <v>1033</v>
      </c>
    </row>
    <row r="987" spans="1:17" x14ac:dyDescent="0.3">
      <c r="A987" s="29" t="s">
        <v>599</v>
      </c>
      <c r="B987" s="29">
        <v>1</v>
      </c>
      <c r="C987" s="29" t="s">
        <v>1050</v>
      </c>
      <c r="D987" s="29" t="s">
        <v>1087</v>
      </c>
      <c r="E987" s="29">
        <v>700</v>
      </c>
      <c r="G987" s="29" t="s">
        <v>1035</v>
      </c>
      <c r="H987" s="29">
        <v>1</v>
      </c>
      <c r="I987" s="29">
        <v>9.9600000000000009</v>
      </c>
      <c r="J987" s="29">
        <v>6.9720000000000004</v>
      </c>
      <c r="K987" s="29">
        <v>6.9720000000000004</v>
      </c>
      <c r="L987" s="29" t="s">
        <v>1032</v>
      </c>
      <c r="M987" s="29">
        <v>1</v>
      </c>
      <c r="N987" s="29">
        <v>0.7</v>
      </c>
      <c r="O987" s="29">
        <v>1</v>
      </c>
      <c r="P987" s="29">
        <v>6.9720000000000004</v>
      </c>
      <c r="Q987" s="29" t="s">
        <v>1033</v>
      </c>
    </row>
    <row r="988" spans="1:17" x14ac:dyDescent="0.3">
      <c r="B988" s="29">
        <v>2</v>
      </c>
      <c r="C988" s="29" t="s">
        <v>1050</v>
      </c>
      <c r="D988" s="29" t="s">
        <v>1087</v>
      </c>
      <c r="E988" s="29">
        <v>600</v>
      </c>
      <c r="G988" s="29" t="s">
        <v>1035</v>
      </c>
      <c r="H988" s="29">
        <v>1</v>
      </c>
      <c r="I988" s="29">
        <v>9.9600000000000009</v>
      </c>
      <c r="J988" s="29">
        <v>5.976</v>
      </c>
      <c r="K988" s="29">
        <v>5.976</v>
      </c>
      <c r="L988" s="29" t="s">
        <v>1032</v>
      </c>
      <c r="M988" s="29">
        <v>1</v>
      </c>
      <c r="N988" s="29">
        <v>0.6</v>
      </c>
      <c r="O988" s="29">
        <v>1</v>
      </c>
      <c r="P988" s="29">
        <v>5.976</v>
      </c>
      <c r="Q988" s="29" t="s">
        <v>1033</v>
      </c>
    </row>
    <row r="989" spans="1:17" x14ac:dyDescent="0.3">
      <c r="A989" s="29" t="s">
        <v>600</v>
      </c>
      <c r="B989" s="29">
        <v>1</v>
      </c>
      <c r="C989" s="29" t="s">
        <v>1050</v>
      </c>
      <c r="D989" s="29" t="s">
        <v>1087</v>
      </c>
      <c r="E989" s="29">
        <v>900</v>
      </c>
      <c r="G989" s="29" t="s">
        <v>1035</v>
      </c>
      <c r="H989" s="29">
        <v>1</v>
      </c>
      <c r="I989" s="29">
        <v>9.9600000000000009</v>
      </c>
      <c r="J989" s="29">
        <v>8.9640000000000004</v>
      </c>
      <c r="K989" s="29">
        <v>8.9640000000000004</v>
      </c>
      <c r="L989" s="29" t="s">
        <v>1032</v>
      </c>
      <c r="M989" s="29">
        <v>1</v>
      </c>
      <c r="N989" s="29">
        <v>0.9</v>
      </c>
      <c r="O989" s="29">
        <v>1</v>
      </c>
      <c r="P989" s="29">
        <v>8.9640000000000004</v>
      </c>
      <c r="Q989" s="29" t="s">
        <v>1033</v>
      </c>
    </row>
    <row r="990" spans="1:17" x14ac:dyDescent="0.3">
      <c r="B990" s="29">
        <v>2</v>
      </c>
      <c r="C990" s="29" t="s">
        <v>1050</v>
      </c>
      <c r="D990" s="29" t="s">
        <v>1087</v>
      </c>
      <c r="E990" s="29">
        <v>600</v>
      </c>
      <c r="G990" s="29" t="s">
        <v>1035</v>
      </c>
      <c r="H990" s="29">
        <v>1</v>
      </c>
      <c r="I990" s="29">
        <v>9.9600000000000009</v>
      </c>
      <c r="J990" s="29">
        <v>5.976</v>
      </c>
      <c r="K990" s="29">
        <v>5.976</v>
      </c>
      <c r="L990" s="29" t="s">
        <v>1032</v>
      </c>
      <c r="M990" s="29">
        <v>1</v>
      </c>
      <c r="N990" s="29">
        <v>0.6</v>
      </c>
      <c r="O990" s="29">
        <v>1</v>
      </c>
      <c r="P990" s="29">
        <v>5.976</v>
      </c>
      <c r="Q990" s="29" t="s">
        <v>1033</v>
      </c>
    </row>
    <row r="991" spans="1:17" x14ac:dyDescent="0.3">
      <c r="A991" s="29" t="s">
        <v>601</v>
      </c>
      <c r="B991" s="29">
        <v>1</v>
      </c>
      <c r="C991" s="29" t="s">
        <v>1050</v>
      </c>
      <c r="D991" s="29" t="s">
        <v>1087</v>
      </c>
      <c r="E991" s="29">
        <v>1000</v>
      </c>
      <c r="G991" s="29" t="s">
        <v>1035</v>
      </c>
      <c r="H991" s="29">
        <v>1</v>
      </c>
      <c r="I991" s="29">
        <v>9.9600000000000009</v>
      </c>
      <c r="J991" s="29">
        <v>9.9600000000000009</v>
      </c>
      <c r="K991" s="29">
        <v>9.9600000000000009</v>
      </c>
      <c r="L991" s="29" t="s">
        <v>1032</v>
      </c>
      <c r="M991" s="29">
        <v>1</v>
      </c>
      <c r="N991" s="29">
        <v>1</v>
      </c>
      <c r="O991" s="29">
        <v>1</v>
      </c>
      <c r="P991" s="29">
        <v>9.9600000000000009</v>
      </c>
      <c r="Q991" s="29" t="s">
        <v>1033</v>
      </c>
    </row>
    <row r="992" spans="1:17" x14ac:dyDescent="0.3">
      <c r="B992" s="29">
        <v>2</v>
      </c>
      <c r="C992" s="29" t="s">
        <v>1050</v>
      </c>
      <c r="D992" s="29" t="s">
        <v>1087</v>
      </c>
      <c r="E992" s="29">
        <v>700</v>
      </c>
      <c r="G992" s="29" t="s">
        <v>1035</v>
      </c>
      <c r="H992" s="29">
        <v>1</v>
      </c>
      <c r="I992" s="29">
        <v>9.9600000000000009</v>
      </c>
      <c r="J992" s="29">
        <v>6.9720000000000004</v>
      </c>
      <c r="K992" s="29">
        <v>6.9720000000000004</v>
      </c>
      <c r="L992" s="29" t="s">
        <v>1032</v>
      </c>
      <c r="M992" s="29">
        <v>1</v>
      </c>
      <c r="N992" s="29">
        <v>0.7</v>
      </c>
      <c r="O992" s="29">
        <v>1</v>
      </c>
      <c r="P992" s="29">
        <v>6.9720000000000004</v>
      </c>
      <c r="Q992" s="29" t="s">
        <v>1033</v>
      </c>
    </row>
    <row r="993" spans="1:17" x14ac:dyDescent="0.3">
      <c r="A993" s="29" t="s">
        <v>602</v>
      </c>
      <c r="B993" s="29">
        <v>1</v>
      </c>
      <c r="C993" s="29" t="s">
        <v>1050</v>
      </c>
      <c r="D993" s="29" t="s">
        <v>1087</v>
      </c>
      <c r="E993" s="29">
        <v>500</v>
      </c>
      <c r="G993" s="29" t="s">
        <v>1035</v>
      </c>
      <c r="H993" s="29">
        <v>1</v>
      </c>
      <c r="I993" s="29">
        <v>9.9600000000000009</v>
      </c>
      <c r="J993" s="29">
        <v>4.9800000000000004</v>
      </c>
      <c r="K993" s="29">
        <v>4.9800000000000004</v>
      </c>
      <c r="L993" s="29" t="s">
        <v>1032</v>
      </c>
      <c r="M993" s="29">
        <v>1</v>
      </c>
      <c r="N993" s="29">
        <v>0.5</v>
      </c>
      <c r="O993" s="29">
        <v>1</v>
      </c>
      <c r="P993" s="29">
        <v>4.9800000000000004</v>
      </c>
      <c r="Q993" s="29" t="s">
        <v>1033</v>
      </c>
    </row>
    <row r="994" spans="1:17" x14ac:dyDescent="0.3">
      <c r="B994" s="29">
        <v>2</v>
      </c>
      <c r="C994" s="29" t="s">
        <v>1050</v>
      </c>
      <c r="D994" s="29" t="s">
        <v>1087</v>
      </c>
      <c r="E994" s="29">
        <v>800</v>
      </c>
      <c r="G994" s="29" t="s">
        <v>1035</v>
      </c>
      <c r="H994" s="29">
        <v>1</v>
      </c>
      <c r="I994" s="29">
        <v>9.9600000000000009</v>
      </c>
      <c r="J994" s="29">
        <v>7.9680000000000009</v>
      </c>
      <c r="K994" s="29">
        <v>7.9680000000000009</v>
      </c>
      <c r="L994" s="29" t="s">
        <v>1032</v>
      </c>
      <c r="M994" s="29">
        <v>1</v>
      </c>
      <c r="N994" s="29">
        <v>0.8</v>
      </c>
      <c r="O994" s="29">
        <v>1</v>
      </c>
      <c r="P994" s="29">
        <v>7.9680000000000009</v>
      </c>
      <c r="Q994" s="29" t="s">
        <v>1033</v>
      </c>
    </row>
    <row r="995" spans="1:17" x14ac:dyDescent="0.3">
      <c r="A995" s="29" t="s">
        <v>603</v>
      </c>
      <c r="B995" s="29">
        <v>1</v>
      </c>
      <c r="C995" s="29" t="s">
        <v>1050</v>
      </c>
      <c r="D995" s="29" t="s">
        <v>1087</v>
      </c>
      <c r="E995" s="29">
        <v>700</v>
      </c>
      <c r="G995" s="29" t="s">
        <v>1035</v>
      </c>
      <c r="H995" s="29">
        <v>1</v>
      </c>
      <c r="I995" s="29">
        <v>9.9600000000000009</v>
      </c>
      <c r="J995" s="29">
        <v>6.9720000000000004</v>
      </c>
      <c r="K995" s="29">
        <v>6.9720000000000004</v>
      </c>
      <c r="L995" s="29" t="s">
        <v>1032</v>
      </c>
      <c r="M995" s="29">
        <v>1</v>
      </c>
      <c r="N995" s="29">
        <v>0.7</v>
      </c>
      <c r="O995" s="29">
        <v>1</v>
      </c>
      <c r="P995" s="29">
        <v>6.9720000000000004</v>
      </c>
      <c r="Q995" s="29" t="s">
        <v>1033</v>
      </c>
    </row>
    <row r="996" spans="1:17" x14ac:dyDescent="0.3">
      <c r="B996" s="29">
        <v>2</v>
      </c>
      <c r="C996" s="29" t="s">
        <v>1050</v>
      </c>
      <c r="D996" s="29" t="s">
        <v>1087</v>
      </c>
      <c r="E996" s="29">
        <v>900</v>
      </c>
      <c r="G996" s="29" t="s">
        <v>1035</v>
      </c>
      <c r="H996" s="29">
        <v>1</v>
      </c>
      <c r="I996" s="29">
        <v>9.9600000000000009</v>
      </c>
      <c r="J996" s="29">
        <v>8.9640000000000004</v>
      </c>
      <c r="K996" s="29">
        <v>8.9640000000000004</v>
      </c>
      <c r="L996" s="29" t="s">
        <v>1032</v>
      </c>
      <c r="M996" s="29">
        <v>1</v>
      </c>
      <c r="N996" s="29">
        <v>0.9</v>
      </c>
      <c r="O996" s="29">
        <v>1</v>
      </c>
      <c r="P996" s="29">
        <v>8.9640000000000004</v>
      </c>
      <c r="Q996" s="29" t="s">
        <v>1033</v>
      </c>
    </row>
    <row r="997" spans="1:17" x14ac:dyDescent="0.3">
      <c r="A997" s="29" t="s">
        <v>604</v>
      </c>
      <c r="B997" s="29">
        <v>1</v>
      </c>
      <c r="C997" s="29" t="s">
        <v>1050</v>
      </c>
      <c r="D997" s="29" t="s">
        <v>1087</v>
      </c>
      <c r="E997" s="29">
        <v>600</v>
      </c>
      <c r="G997" s="29" t="s">
        <v>1035</v>
      </c>
      <c r="H997" s="29">
        <v>1</v>
      </c>
      <c r="I997" s="29">
        <v>9.9600000000000009</v>
      </c>
      <c r="J997" s="29">
        <v>5.976</v>
      </c>
      <c r="K997" s="29">
        <v>5.976</v>
      </c>
      <c r="L997" s="29" t="s">
        <v>1032</v>
      </c>
      <c r="M997" s="29">
        <v>1</v>
      </c>
      <c r="N997" s="29">
        <v>0.6</v>
      </c>
      <c r="O997" s="29">
        <v>1</v>
      </c>
      <c r="P997" s="29">
        <v>5.976</v>
      </c>
      <c r="Q997" s="29" t="s">
        <v>1033</v>
      </c>
    </row>
    <row r="998" spans="1:17" x14ac:dyDescent="0.3">
      <c r="B998" s="29">
        <v>2</v>
      </c>
      <c r="C998" s="29" t="s">
        <v>1050</v>
      </c>
      <c r="D998" s="29" t="s">
        <v>1087</v>
      </c>
      <c r="E998" s="29">
        <v>500</v>
      </c>
      <c r="G998" s="29" t="s">
        <v>1035</v>
      </c>
      <c r="H998" s="29">
        <v>1</v>
      </c>
      <c r="I998" s="29">
        <v>9.9600000000000009</v>
      </c>
      <c r="J998" s="29">
        <v>4.9800000000000004</v>
      </c>
      <c r="K998" s="29">
        <v>4.9800000000000004</v>
      </c>
      <c r="L998" s="29" t="s">
        <v>1032</v>
      </c>
      <c r="M998" s="29">
        <v>1</v>
      </c>
      <c r="N998" s="29">
        <v>0.5</v>
      </c>
      <c r="O998" s="29">
        <v>1</v>
      </c>
      <c r="P998" s="29">
        <v>4.9800000000000004</v>
      </c>
      <c r="Q998" s="29" t="s">
        <v>1033</v>
      </c>
    </row>
    <row r="999" spans="1:17" x14ac:dyDescent="0.3">
      <c r="A999" s="29" t="s">
        <v>605</v>
      </c>
      <c r="B999" s="29">
        <v>1</v>
      </c>
      <c r="C999" s="29" t="s">
        <v>1050</v>
      </c>
      <c r="D999" s="29" t="s">
        <v>1087</v>
      </c>
      <c r="E999" s="29">
        <v>1400</v>
      </c>
      <c r="G999" s="29" t="s">
        <v>1035</v>
      </c>
      <c r="H999" s="29">
        <v>1</v>
      </c>
      <c r="I999" s="29">
        <v>9.9600000000000009</v>
      </c>
      <c r="J999" s="29">
        <v>13.944000000000001</v>
      </c>
      <c r="K999" s="29">
        <v>13.944000000000001</v>
      </c>
      <c r="L999" s="29" t="s">
        <v>1032</v>
      </c>
      <c r="M999" s="29">
        <v>1</v>
      </c>
      <c r="N999" s="29">
        <v>1.4</v>
      </c>
      <c r="O999" s="29">
        <v>1</v>
      </c>
      <c r="P999" s="29">
        <v>13.944000000000001</v>
      </c>
      <c r="Q999" s="29" t="s">
        <v>1033</v>
      </c>
    </row>
    <row r="1000" spans="1:17" x14ac:dyDescent="0.3">
      <c r="B1000" s="29">
        <v>2</v>
      </c>
      <c r="C1000" s="29" t="s">
        <v>1050</v>
      </c>
      <c r="D1000" s="29" t="s">
        <v>1087</v>
      </c>
      <c r="E1000" s="29">
        <v>500</v>
      </c>
      <c r="G1000" s="29" t="s">
        <v>1035</v>
      </c>
      <c r="H1000" s="29">
        <v>1</v>
      </c>
      <c r="I1000" s="29">
        <v>9.9600000000000009</v>
      </c>
      <c r="J1000" s="29">
        <v>4.9800000000000004</v>
      </c>
      <c r="K1000" s="29">
        <v>4.9800000000000004</v>
      </c>
      <c r="L1000" s="29" t="s">
        <v>1032</v>
      </c>
      <c r="M1000" s="29">
        <v>1</v>
      </c>
      <c r="N1000" s="29">
        <v>0.5</v>
      </c>
      <c r="O1000" s="29">
        <v>1</v>
      </c>
      <c r="P1000" s="29">
        <v>4.9800000000000004</v>
      </c>
      <c r="Q1000" s="29" t="s">
        <v>1033</v>
      </c>
    </row>
    <row r="1001" spans="1:17" x14ac:dyDescent="0.3">
      <c r="A1001" s="29" t="s">
        <v>606</v>
      </c>
      <c r="B1001" s="29">
        <v>1</v>
      </c>
      <c r="C1001" s="29" t="s">
        <v>1050</v>
      </c>
      <c r="D1001" s="29" t="s">
        <v>1087</v>
      </c>
      <c r="E1001" s="29">
        <v>800</v>
      </c>
      <c r="G1001" s="29" t="s">
        <v>1035</v>
      </c>
      <c r="H1001" s="29">
        <v>1</v>
      </c>
      <c r="I1001" s="29">
        <v>9.9600000000000009</v>
      </c>
      <c r="J1001" s="29">
        <v>7.9680000000000009</v>
      </c>
      <c r="K1001" s="29">
        <v>7.9680000000000009</v>
      </c>
      <c r="L1001" s="29" t="s">
        <v>1032</v>
      </c>
      <c r="M1001" s="29">
        <v>1</v>
      </c>
      <c r="N1001" s="29">
        <v>0.8</v>
      </c>
      <c r="O1001" s="29">
        <v>1</v>
      </c>
      <c r="P1001" s="29">
        <v>7.9680000000000009</v>
      </c>
      <c r="Q1001" s="29" t="s">
        <v>1033</v>
      </c>
    </row>
    <row r="1002" spans="1:17" x14ac:dyDescent="0.3">
      <c r="B1002" s="29">
        <v>2</v>
      </c>
      <c r="C1002" s="29" t="s">
        <v>1050</v>
      </c>
      <c r="D1002" s="29" t="s">
        <v>1087</v>
      </c>
      <c r="E1002" s="29">
        <v>700</v>
      </c>
      <c r="G1002" s="29" t="s">
        <v>1035</v>
      </c>
      <c r="H1002" s="29">
        <v>1</v>
      </c>
      <c r="I1002" s="29">
        <v>9.9600000000000009</v>
      </c>
      <c r="J1002" s="29">
        <v>6.9720000000000004</v>
      </c>
      <c r="K1002" s="29">
        <v>6.9720000000000004</v>
      </c>
      <c r="L1002" s="29" t="s">
        <v>1032</v>
      </c>
      <c r="M1002" s="29">
        <v>1</v>
      </c>
      <c r="N1002" s="29">
        <v>0.7</v>
      </c>
      <c r="O1002" s="29">
        <v>1</v>
      </c>
      <c r="P1002" s="29">
        <v>6.9720000000000004</v>
      </c>
      <c r="Q1002" s="29" t="s">
        <v>1033</v>
      </c>
    </row>
    <row r="1003" spans="1:17" x14ac:dyDescent="0.3">
      <c r="A1003" s="29" t="s">
        <v>607</v>
      </c>
      <c r="B1003" s="29">
        <v>1</v>
      </c>
      <c r="C1003" s="29" t="s">
        <v>1050</v>
      </c>
      <c r="D1003" s="29" t="s">
        <v>1087</v>
      </c>
      <c r="E1003" s="29">
        <v>800</v>
      </c>
      <c r="G1003" s="29" t="s">
        <v>1035</v>
      </c>
      <c r="H1003" s="29">
        <v>1</v>
      </c>
      <c r="I1003" s="29">
        <v>9.9600000000000009</v>
      </c>
      <c r="J1003" s="29">
        <v>7.9680000000000009</v>
      </c>
      <c r="K1003" s="29">
        <v>7.9680000000000009</v>
      </c>
      <c r="L1003" s="29" t="s">
        <v>1032</v>
      </c>
      <c r="M1003" s="29">
        <v>1</v>
      </c>
      <c r="N1003" s="29">
        <v>0.8</v>
      </c>
      <c r="O1003" s="29">
        <v>1</v>
      </c>
      <c r="P1003" s="29">
        <v>7.9680000000000009</v>
      </c>
      <c r="Q1003" s="29" t="s">
        <v>1033</v>
      </c>
    </row>
    <row r="1004" spans="1:17" x14ac:dyDescent="0.3">
      <c r="B1004" s="29">
        <v>2</v>
      </c>
      <c r="C1004" s="29" t="s">
        <v>1050</v>
      </c>
      <c r="D1004" s="29" t="s">
        <v>1087</v>
      </c>
      <c r="E1004" s="29">
        <v>800</v>
      </c>
      <c r="G1004" s="29" t="s">
        <v>1035</v>
      </c>
      <c r="H1004" s="29">
        <v>1</v>
      </c>
      <c r="I1004" s="29">
        <v>9.9600000000000009</v>
      </c>
      <c r="J1004" s="29">
        <v>7.9680000000000009</v>
      </c>
      <c r="K1004" s="29">
        <v>7.9680000000000009</v>
      </c>
      <c r="L1004" s="29" t="s">
        <v>1032</v>
      </c>
      <c r="M1004" s="29">
        <v>1</v>
      </c>
      <c r="N1004" s="29">
        <v>0.8</v>
      </c>
      <c r="O1004" s="29">
        <v>1</v>
      </c>
      <c r="P1004" s="29">
        <v>7.9680000000000009</v>
      </c>
      <c r="Q1004" s="29" t="s">
        <v>1033</v>
      </c>
    </row>
    <row r="1005" spans="1:17" x14ac:dyDescent="0.3">
      <c r="A1005" s="29" t="s">
        <v>607</v>
      </c>
      <c r="B1005" s="29">
        <v>1</v>
      </c>
      <c r="C1005" s="29" t="s">
        <v>1050</v>
      </c>
      <c r="D1005" s="29" t="s">
        <v>1087</v>
      </c>
      <c r="E1005" s="29">
        <v>800</v>
      </c>
      <c r="G1005" s="29" t="s">
        <v>1035</v>
      </c>
      <c r="H1005" s="29">
        <v>1</v>
      </c>
      <c r="I1005" s="29">
        <v>9.9600000000000009</v>
      </c>
      <c r="J1005" s="29">
        <v>7.9680000000000009</v>
      </c>
      <c r="K1005" s="29">
        <v>7.9680000000000009</v>
      </c>
      <c r="L1005" s="29" t="s">
        <v>1032</v>
      </c>
      <c r="M1005" s="29">
        <v>1</v>
      </c>
      <c r="N1005" s="29">
        <v>0.8</v>
      </c>
      <c r="O1005" s="29">
        <v>1</v>
      </c>
      <c r="P1005" s="29">
        <v>7.9680000000000009</v>
      </c>
      <c r="Q1005" s="29" t="s">
        <v>1033</v>
      </c>
    </row>
    <row r="1006" spans="1:17" x14ac:dyDescent="0.3">
      <c r="B1006" s="29">
        <v>2</v>
      </c>
      <c r="C1006" s="29" t="s">
        <v>1050</v>
      </c>
      <c r="D1006" s="29" t="s">
        <v>1087</v>
      </c>
      <c r="E1006" s="29">
        <v>800</v>
      </c>
      <c r="G1006" s="29" t="s">
        <v>1035</v>
      </c>
      <c r="H1006" s="29">
        <v>1</v>
      </c>
      <c r="I1006" s="29">
        <v>9.9600000000000009</v>
      </c>
      <c r="J1006" s="29">
        <v>7.9680000000000009</v>
      </c>
      <c r="K1006" s="29">
        <v>7.9680000000000009</v>
      </c>
      <c r="L1006" s="29" t="s">
        <v>1032</v>
      </c>
      <c r="M1006" s="29">
        <v>1</v>
      </c>
      <c r="N1006" s="29">
        <v>0.8</v>
      </c>
      <c r="O1006" s="29">
        <v>1</v>
      </c>
      <c r="P1006" s="29">
        <v>7.9680000000000009</v>
      </c>
      <c r="Q1006" s="29" t="s">
        <v>1033</v>
      </c>
    </row>
    <row r="1007" spans="1:17" x14ac:dyDescent="0.3">
      <c r="A1007" s="29" t="s">
        <v>608</v>
      </c>
      <c r="B1007" s="29">
        <v>1</v>
      </c>
      <c r="C1007" s="29" t="s">
        <v>1050</v>
      </c>
      <c r="D1007" s="29" t="s">
        <v>1087</v>
      </c>
      <c r="E1007" s="29">
        <v>1400</v>
      </c>
      <c r="G1007" s="29" t="s">
        <v>1035</v>
      </c>
      <c r="H1007" s="29">
        <v>1</v>
      </c>
      <c r="I1007" s="29">
        <v>9.9600000000000009</v>
      </c>
      <c r="J1007" s="29">
        <v>13.944000000000001</v>
      </c>
      <c r="K1007" s="29">
        <v>13.944000000000001</v>
      </c>
      <c r="L1007" s="29" t="s">
        <v>1032</v>
      </c>
      <c r="M1007" s="29">
        <v>1</v>
      </c>
      <c r="N1007" s="29">
        <v>1.4</v>
      </c>
      <c r="O1007" s="29">
        <v>1</v>
      </c>
      <c r="P1007" s="29">
        <v>13.944000000000001</v>
      </c>
      <c r="Q1007" s="29" t="s">
        <v>1033</v>
      </c>
    </row>
    <row r="1008" spans="1:17" x14ac:dyDescent="0.3">
      <c r="B1008" s="29">
        <v>2</v>
      </c>
      <c r="C1008" s="29" t="s">
        <v>1050</v>
      </c>
      <c r="D1008" s="29" t="s">
        <v>1087</v>
      </c>
      <c r="E1008" s="29">
        <v>800</v>
      </c>
      <c r="G1008" s="29" t="s">
        <v>1035</v>
      </c>
      <c r="H1008" s="29">
        <v>1</v>
      </c>
      <c r="I1008" s="29">
        <v>9.9600000000000009</v>
      </c>
      <c r="J1008" s="29">
        <v>7.9680000000000009</v>
      </c>
      <c r="K1008" s="29">
        <v>7.9680000000000009</v>
      </c>
      <c r="L1008" s="29" t="s">
        <v>1032</v>
      </c>
      <c r="M1008" s="29">
        <v>1</v>
      </c>
      <c r="N1008" s="29">
        <v>0.8</v>
      </c>
      <c r="O1008" s="29">
        <v>1</v>
      </c>
      <c r="P1008" s="29">
        <v>7.9680000000000009</v>
      </c>
      <c r="Q1008" s="29" t="s">
        <v>1033</v>
      </c>
    </row>
    <row r="1009" spans="1:18" x14ac:dyDescent="0.3">
      <c r="A1009" s="29" t="s">
        <v>609</v>
      </c>
      <c r="B1009" s="29">
        <v>1</v>
      </c>
      <c r="C1009" s="29" t="s">
        <v>1050</v>
      </c>
      <c r="D1009" s="29" t="s">
        <v>1087</v>
      </c>
      <c r="E1009" s="29">
        <v>800</v>
      </c>
      <c r="G1009" s="29" t="s">
        <v>1035</v>
      </c>
      <c r="H1009" s="29">
        <v>1</v>
      </c>
      <c r="I1009" s="29">
        <v>9.9600000000000009</v>
      </c>
      <c r="J1009" s="29">
        <v>7.9680000000000009</v>
      </c>
      <c r="K1009" s="29">
        <v>7.9680000000000009</v>
      </c>
      <c r="L1009" s="29" t="s">
        <v>1032</v>
      </c>
      <c r="M1009" s="29">
        <v>1</v>
      </c>
      <c r="N1009" s="29">
        <v>0.8</v>
      </c>
      <c r="O1009" s="29">
        <v>1</v>
      </c>
      <c r="P1009" s="29">
        <v>7.9680000000000009</v>
      </c>
      <c r="Q1009" s="29" t="s">
        <v>1033</v>
      </c>
    </row>
    <row r="1010" spans="1:18" x14ac:dyDescent="0.3">
      <c r="B1010" s="29">
        <v>2</v>
      </c>
      <c r="C1010" s="29" t="s">
        <v>1050</v>
      </c>
      <c r="D1010" s="29" t="s">
        <v>1087</v>
      </c>
      <c r="E1010" s="29">
        <v>900</v>
      </c>
      <c r="G1010" s="29" t="s">
        <v>1035</v>
      </c>
      <c r="H1010" s="29">
        <v>1</v>
      </c>
      <c r="I1010" s="29">
        <v>9.9600000000000009</v>
      </c>
      <c r="J1010" s="29">
        <v>8.9640000000000004</v>
      </c>
      <c r="K1010" s="29">
        <v>8.9640000000000004</v>
      </c>
      <c r="L1010" s="29" t="s">
        <v>1032</v>
      </c>
      <c r="M1010" s="29">
        <v>1</v>
      </c>
      <c r="N1010" s="29">
        <v>0.9</v>
      </c>
      <c r="O1010" s="29">
        <v>1</v>
      </c>
      <c r="P1010" s="29">
        <v>8.9640000000000004</v>
      </c>
      <c r="Q1010" s="29" t="s">
        <v>1033</v>
      </c>
    </row>
    <row r="1011" spans="1:18" x14ac:dyDescent="0.3">
      <c r="A1011" s="29" t="s">
        <v>609</v>
      </c>
      <c r="B1011" s="29">
        <v>1</v>
      </c>
      <c r="C1011" s="29" t="s">
        <v>1050</v>
      </c>
      <c r="D1011" s="29" t="s">
        <v>1087</v>
      </c>
      <c r="E1011" s="29">
        <v>800</v>
      </c>
      <c r="G1011" s="29" t="s">
        <v>1035</v>
      </c>
      <c r="H1011" s="29">
        <v>1</v>
      </c>
      <c r="I1011" s="29">
        <v>9.9600000000000009</v>
      </c>
      <c r="J1011" s="29">
        <v>7.9680000000000009</v>
      </c>
      <c r="K1011" s="29">
        <v>7.9680000000000009</v>
      </c>
      <c r="L1011" s="29" t="s">
        <v>1032</v>
      </c>
      <c r="M1011" s="29">
        <v>1</v>
      </c>
      <c r="N1011" s="29">
        <v>0.8</v>
      </c>
      <c r="O1011" s="29">
        <v>1</v>
      </c>
      <c r="P1011" s="29">
        <v>7.9680000000000009</v>
      </c>
      <c r="Q1011" s="29" t="s">
        <v>1033</v>
      </c>
    </row>
    <row r="1012" spans="1:18" x14ac:dyDescent="0.3">
      <c r="B1012" s="29">
        <v>2</v>
      </c>
      <c r="C1012" s="29" t="s">
        <v>1050</v>
      </c>
      <c r="D1012" s="29" t="s">
        <v>1087</v>
      </c>
      <c r="E1012" s="29">
        <v>900</v>
      </c>
      <c r="G1012" s="29" t="s">
        <v>1035</v>
      </c>
      <c r="H1012" s="29">
        <v>1</v>
      </c>
      <c r="I1012" s="29">
        <v>9.9600000000000009</v>
      </c>
      <c r="J1012" s="29">
        <v>8.9640000000000004</v>
      </c>
      <c r="K1012" s="29">
        <v>8.9640000000000004</v>
      </c>
      <c r="L1012" s="29" t="s">
        <v>1032</v>
      </c>
      <c r="M1012" s="29">
        <v>1</v>
      </c>
      <c r="N1012" s="29">
        <v>0.9</v>
      </c>
      <c r="O1012" s="29">
        <v>1</v>
      </c>
      <c r="P1012" s="29">
        <v>8.9640000000000004</v>
      </c>
      <c r="Q1012" s="29" t="s">
        <v>1033</v>
      </c>
    </row>
    <row r="1013" spans="1:18" x14ac:dyDescent="0.3">
      <c r="A1013" s="29" t="s">
        <v>610</v>
      </c>
      <c r="B1013" s="29">
        <v>1</v>
      </c>
      <c r="C1013" s="29" t="s">
        <v>1050</v>
      </c>
      <c r="D1013" s="29" t="s">
        <v>1087</v>
      </c>
      <c r="E1013" s="29">
        <v>1200</v>
      </c>
      <c r="G1013" s="29" t="s">
        <v>1035</v>
      </c>
      <c r="H1013" s="29">
        <v>1</v>
      </c>
      <c r="I1013" s="29">
        <v>9.9600000000000009</v>
      </c>
      <c r="J1013" s="29">
        <v>11.952</v>
      </c>
      <c r="K1013" s="29">
        <v>11.952</v>
      </c>
      <c r="L1013" s="29" t="s">
        <v>1032</v>
      </c>
      <c r="M1013" s="29">
        <v>1</v>
      </c>
      <c r="N1013" s="29">
        <v>1.2</v>
      </c>
      <c r="O1013" s="29">
        <v>1</v>
      </c>
      <c r="P1013" s="29">
        <v>11.952</v>
      </c>
      <c r="Q1013" s="29" t="s">
        <v>1033</v>
      </c>
    </row>
    <row r="1014" spans="1:18" x14ac:dyDescent="0.3">
      <c r="B1014" s="29">
        <v>2</v>
      </c>
      <c r="C1014" s="29" t="s">
        <v>1050</v>
      </c>
      <c r="D1014" s="29" t="s">
        <v>1087</v>
      </c>
      <c r="E1014" s="29">
        <v>900</v>
      </c>
      <c r="G1014" s="29" t="s">
        <v>1035</v>
      </c>
      <c r="H1014" s="29">
        <v>1</v>
      </c>
      <c r="I1014" s="29">
        <v>9.9600000000000009</v>
      </c>
      <c r="J1014" s="29">
        <v>8.9640000000000004</v>
      </c>
      <c r="K1014" s="29">
        <v>8.9640000000000004</v>
      </c>
      <c r="L1014" s="29" t="s">
        <v>1032</v>
      </c>
      <c r="M1014" s="29">
        <v>1</v>
      </c>
      <c r="N1014" s="29">
        <v>0.9</v>
      </c>
      <c r="O1014" s="29">
        <v>1</v>
      </c>
      <c r="P1014" s="29">
        <v>8.9640000000000004</v>
      </c>
      <c r="Q1014" s="29" t="s">
        <v>1033</v>
      </c>
    </row>
    <row r="1015" spans="1:18" x14ac:dyDescent="0.3">
      <c r="A1015" s="29" t="s">
        <v>611</v>
      </c>
      <c r="B1015" s="29">
        <v>1</v>
      </c>
      <c r="C1015" s="29" t="s">
        <v>1089</v>
      </c>
      <c r="D1015" s="30" t="s">
        <v>1090</v>
      </c>
      <c r="E1015" s="29">
        <v>1685</v>
      </c>
      <c r="G1015" s="29" t="s">
        <v>1035</v>
      </c>
      <c r="H1015" s="29">
        <v>1</v>
      </c>
      <c r="I1015" s="29">
        <v>23.6</v>
      </c>
      <c r="J1015" s="29">
        <v>39.766000000000005</v>
      </c>
      <c r="K1015" s="29">
        <v>39.766000000000005</v>
      </c>
      <c r="L1015" s="29" t="s">
        <v>1032</v>
      </c>
      <c r="M1015" s="29">
        <v>1</v>
      </c>
      <c r="N1015" s="29">
        <v>1.6850000000000001</v>
      </c>
      <c r="O1015" s="29">
        <v>1</v>
      </c>
      <c r="P1015" s="29">
        <v>39.766000000000005</v>
      </c>
      <c r="Q1015" s="29" t="s">
        <v>1033</v>
      </c>
    </row>
    <row r="1016" spans="1:18" x14ac:dyDescent="0.3">
      <c r="B1016" s="29">
        <v>2</v>
      </c>
      <c r="C1016" s="29" t="s">
        <v>1088</v>
      </c>
      <c r="D1016" s="29">
        <v>16</v>
      </c>
      <c r="E1016" s="29">
        <v>500</v>
      </c>
      <c r="F1016" s="29">
        <v>500</v>
      </c>
      <c r="G1016" s="29" t="s">
        <v>1035</v>
      </c>
      <c r="H1016" s="29">
        <v>1</v>
      </c>
      <c r="J1016" s="29">
        <v>31.4</v>
      </c>
      <c r="K1016" s="29">
        <v>31.4</v>
      </c>
      <c r="L1016" s="29" t="s">
        <v>1036</v>
      </c>
      <c r="M1016" s="29">
        <v>1</v>
      </c>
      <c r="O1016" s="29">
        <v>1</v>
      </c>
      <c r="P1016" s="29">
        <v>31.4</v>
      </c>
      <c r="Q1016" s="29" t="s">
        <v>1037</v>
      </c>
      <c r="R1016" t="s">
        <v>1131</v>
      </c>
    </row>
    <row r="1017" spans="1:18" x14ac:dyDescent="0.3">
      <c r="B1017" s="29">
        <v>3</v>
      </c>
      <c r="C1017" s="29" t="s">
        <v>1038</v>
      </c>
      <c r="D1017" s="30" t="s">
        <v>288</v>
      </c>
      <c r="G1017" s="29" t="s">
        <v>1031</v>
      </c>
      <c r="H1017" s="29">
        <v>4</v>
      </c>
      <c r="J1017" s="29">
        <v>1</v>
      </c>
      <c r="K1017" s="29">
        <v>4</v>
      </c>
      <c r="L1017" s="29" t="s">
        <v>1039</v>
      </c>
      <c r="M1017" s="29">
        <v>1</v>
      </c>
      <c r="O1017" s="29">
        <v>4</v>
      </c>
      <c r="P1017" s="29">
        <v>4</v>
      </c>
      <c r="Q1017" s="29" t="s">
        <v>1040</v>
      </c>
    </row>
    <row r="1018" spans="1:18" x14ac:dyDescent="0.3">
      <c r="B1018" s="29">
        <v>4</v>
      </c>
      <c r="C1018" s="29" t="s">
        <v>1091</v>
      </c>
      <c r="D1018" s="29">
        <v>9</v>
      </c>
      <c r="E1018" s="29">
        <v>200</v>
      </c>
      <c r="F1018" s="29">
        <v>100</v>
      </c>
      <c r="G1018" s="29" t="s">
        <v>1035</v>
      </c>
      <c r="H1018" s="29">
        <v>1</v>
      </c>
      <c r="J1018" s="29">
        <v>1.4129999999999998</v>
      </c>
      <c r="K1018" s="29">
        <v>1.4129999999999998</v>
      </c>
      <c r="L1018" s="29" t="s">
        <v>1036</v>
      </c>
      <c r="M1018" s="29">
        <v>1</v>
      </c>
      <c r="O1018" s="29">
        <v>1</v>
      </c>
      <c r="P1018" s="29">
        <v>1.4129999999999998</v>
      </c>
      <c r="Q1018" s="29" t="s">
        <v>1037</v>
      </c>
    </row>
    <row r="1019" spans="1:18" x14ac:dyDescent="0.3">
      <c r="A1019" s="29" t="s">
        <v>612</v>
      </c>
      <c r="B1019" s="29">
        <v>1</v>
      </c>
      <c r="C1019" s="29" t="s">
        <v>1089</v>
      </c>
      <c r="D1019" s="29" t="s">
        <v>1090</v>
      </c>
      <c r="E1019" s="29">
        <v>585</v>
      </c>
      <c r="G1019" s="29" t="s">
        <v>1035</v>
      </c>
      <c r="H1019" s="29">
        <v>1</v>
      </c>
      <c r="I1019" s="29">
        <v>23.6</v>
      </c>
      <c r="J1019" s="29">
        <v>13.805999999999999</v>
      </c>
      <c r="K1019" s="29">
        <v>13.805999999999999</v>
      </c>
      <c r="L1019" s="29" t="s">
        <v>1032</v>
      </c>
      <c r="M1019" s="29">
        <v>1</v>
      </c>
      <c r="N1019" s="29">
        <v>0.58499999999999996</v>
      </c>
      <c r="O1019" s="29">
        <v>1</v>
      </c>
      <c r="P1019" s="29">
        <v>13.805999999999999</v>
      </c>
      <c r="Q1019" s="29" t="s">
        <v>1033</v>
      </c>
    </row>
    <row r="1020" spans="1:18" x14ac:dyDescent="0.3">
      <c r="B1020" s="29">
        <v>2</v>
      </c>
      <c r="C1020" s="29" t="s">
        <v>1091</v>
      </c>
      <c r="D1020" s="29">
        <v>9</v>
      </c>
      <c r="E1020" s="29">
        <v>200</v>
      </c>
      <c r="F1020" s="29">
        <v>100</v>
      </c>
      <c r="G1020" s="29" t="s">
        <v>1035</v>
      </c>
      <c r="H1020" s="29">
        <v>1</v>
      </c>
      <c r="J1020" s="29">
        <v>1.4129999999999998</v>
      </c>
      <c r="K1020" s="29">
        <v>1.4129999999999998</v>
      </c>
      <c r="L1020" s="29" t="s">
        <v>1036</v>
      </c>
      <c r="M1020" s="29">
        <v>1</v>
      </c>
      <c r="O1020" s="29">
        <v>1</v>
      </c>
      <c r="P1020" s="29">
        <v>1.4129999999999998</v>
      </c>
      <c r="Q1020" s="29" t="s">
        <v>1037</v>
      </c>
    </row>
    <row r="1021" spans="1:18" x14ac:dyDescent="0.3">
      <c r="A1021" s="29" t="s">
        <v>613</v>
      </c>
      <c r="B1021" s="29">
        <v>1</v>
      </c>
      <c r="C1021" s="29" t="s">
        <v>1089</v>
      </c>
      <c r="D1021" s="30" t="s">
        <v>1092</v>
      </c>
      <c r="E1021" s="29">
        <v>685</v>
      </c>
      <c r="G1021" s="29" t="s">
        <v>1035</v>
      </c>
      <c r="H1021" s="29">
        <v>1</v>
      </c>
      <c r="I1021" s="29">
        <v>31.1</v>
      </c>
      <c r="J1021" s="29">
        <v>21.303500000000003</v>
      </c>
      <c r="K1021" s="29">
        <v>21.303500000000003</v>
      </c>
      <c r="L1021" s="29" t="s">
        <v>1032</v>
      </c>
      <c r="M1021" s="29">
        <v>1</v>
      </c>
      <c r="N1021" s="29">
        <v>0.68500000000000005</v>
      </c>
      <c r="O1021" s="29">
        <v>1</v>
      </c>
      <c r="P1021" s="29">
        <v>21.303500000000003</v>
      </c>
      <c r="Q1021" s="29" t="s">
        <v>1033</v>
      </c>
    </row>
    <row r="1022" spans="1:18" x14ac:dyDescent="0.3">
      <c r="B1022" s="29">
        <v>2</v>
      </c>
      <c r="C1022" s="29" t="s">
        <v>1088</v>
      </c>
      <c r="D1022" s="29">
        <v>16</v>
      </c>
      <c r="E1022" s="29">
        <v>500</v>
      </c>
      <c r="F1022" s="29">
        <v>500</v>
      </c>
      <c r="G1022" s="29" t="s">
        <v>1035</v>
      </c>
      <c r="H1022" s="29">
        <v>1</v>
      </c>
      <c r="J1022" s="29">
        <v>31.4</v>
      </c>
      <c r="K1022" s="29">
        <v>31.4</v>
      </c>
      <c r="L1022" s="29" t="s">
        <v>1036</v>
      </c>
      <c r="M1022" s="29">
        <v>1</v>
      </c>
      <c r="O1022" s="29">
        <v>1</v>
      </c>
      <c r="P1022" s="29">
        <v>31.4</v>
      </c>
      <c r="Q1022" s="29" t="s">
        <v>1037</v>
      </c>
      <c r="R1022" t="s">
        <v>1131</v>
      </c>
    </row>
    <row r="1023" spans="1:18" x14ac:dyDescent="0.3">
      <c r="B1023" s="29">
        <v>3</v>
      </c>
      <c r="C1023" s="29" t="s">
        <v>1038</v>
      </c>
      <c r="D1023" s="30" t="s">
        <v>288</v>
      </c>
      <c r="G1023" s="29" t="s">
        <v>1031</v>
      </c>
      <c r="H1023" s="29">
        <v>4</v>
      </c>
      <c r="J1023" s="29">
        <v>1</v>
      </c>
      <c r="K1023" s="29">
        <v>4</v>
      </c>
      <c r="L1023" s="29" t="s">
        <v>1039</v>
      </c>
      <c r="M1023" s="29">
        <v>1</v>
      </c>
      <c r="O1023" s="29">
        <v>4</v>
      </c>
      <c r="P1023" s="29">
        <v>4</v>
      </c>
      <c r="Q1023" s="29" t="s">
        <v>1040</v>
      </c>
    </row>
    <row r="1024" spans="1:18" x14ac:dyDescent="0.3">
      <c r="B1024" s="29">
        <v>4</v>
      </c>
      <c r="C1024" s="29" t="s">
        <v>1091</v>
      </c>
      <c r="D1024" s="29">
        <v>9</v>
      </c>
      <c r="E1024" s="29">
        <v>200</v>
      </c>
      <c r="F1024" s="29">
        <v>100</v>
      </c>
      <c r="G1024" s="29" t="s">
        <v>1035</v>
      </c>
      <c r="H1024" s="29">
        <v>1</v>
      </c>
      <c r="J1024" s="29">
        <v>1.4129999999999998</v>
      </c>
      <c r="K1024" s="29">
        <v>1.4129999999999998</v>
      </c>
      <c r="L1024" s="29" t="s">
        <v>1036</v>
      </c>
      <c r="M1024" s="29">
        <v>1</v>
      </c>
      <c r="O1024" s="29">
        <v>1</v>
      </c>
      <c r="P1024" s="29">
        <v>1.4129999999999998</v>
      </c>
      <c r="Q1024" s="29" t="s">
        <v>1037</v>
      </c>
    </row>
    <row r="1025" spans="1:18" x14ac:dyDescent="0.3">
      <c r="A1025" s="29" t="s">
        <v>614</v>
      </c>
      <c r="B1025" s="29">
        <v>1</v>
      </c>
      <c r="C1025" s="29" t="s">
        <v>1089</v>
      </c>
      <c r="D1025" s="30" t="s">
        <v>1092</v>
      </c>
      <c r="E1025" s="29">
        <v>885</v>
      </c>
      <c r="G1025" s="29" t="s">
        <v>1035</v>
      </c>
      <c r="H1025" s="29">
        <v>1</v>
      </c>
      <c r="I1025" s="29">
        <v>31.1</v>
      </c>
      <c r="J1025" s="29">
        <v>27.523500000000002</v>
      </c>
      <c r="K1025" s="29">
        <v>27.523500000000002</v>
      </c>
      <c r="L1025" s="29" t="s">
        <v>1032</v>
      </c>
      <c r="M1025" s="29">
        <v>1</v>
      </c>
      <c r="N1025" s="29">
        <v>0.88500000000000001</v>
      </c>
      <c r="O1025" s="29">
        <v>1</v>
      </c>
      <c r="P1025" s="29">
        <v>27.523500000000002</v>
      </c>
      <c r="Q1025" s="29" t="s">
        <v>1033</v>
      </c>
    </row>
    <row r="1026" spans="1:18" x14ac:dyDescent="0.3">
      <c r="B1026" s="29">
        <v>2</v>
      </c>
      <c r="C1026" s="29" t="s">
        <v>1088</v>
      </c>
      <c r="D1026" s="29">
        <v>16</v>
      </c>
      <c r="E1026" s="29">
        <v>500</v>
      </c>
      <c r="F1026" s="29">
        <v>500</v>
      </c>
      <c r="G1026" s="29" t="s">
        <v>1035</v>
      </c>
      <c r="H1026" s="29">
        <v>1</v>
      </c>
      <c r="J1026" s="29">
        <v>31.4</v>
      </c>
      <c r="K1026" s="29">
        <v>31.4</v>
      </c>
      <c r="L1026" s="29" t="s">
        <v>1036</v>
      </c>
      <c r="M1026" s="29">
        <v>1</v>
      </c>
      <c r="O1026" s="29">
        <v>1</v>
      </c>
      <c r="P1026" s="29">
        <v>31.4</v>
      </c>
      <c r="Q1026" s="29" t="s">
        <v>1037</v>
      </c>
      <c r="R1026" t="s">
        <v>1131</v>
      </c>
    </row>
    <row r="1027" spans="1:18" x14ac:dyDescent="0.3">
      <c r="B1027" s="29">
        <v>3</v>
      </c>
      <c r="C1027" s="29" t="s">
        <v>1038</v>
      </c>
      <c r="D1027" s="30" t="s">
        <v>288</v>
      </c>
      <c r="G1027" s="29" t="s">
        <v>1031</v>
      </c>
      <c r="H1027" s="29">
        <v>4</v>
      </c>
      <c r="J1027" s="29">
        <v>1</v>
      </c>
      <c r="K1027" s="29">
        <v>4</v>
      </c>
      <c r="L1027" s="29" t="s">
        <v>1039</v>
      </c>
      <c r="M1027" s="29">
        <v>1</v>
      </c>
      <c r="O1027" s="29">
        <v>4</v>
      </c>
      <c r="P1027" s="29">
        <v>4</v>
      </c>
      <c r="Q1027" s="29" t="s">
        <v>1040</v>
      </c>
    </row>
    <row r="1028" spans="1:18" x14ac:dyDescent="0.3">
      <c r="B1028" s="29">
        <v>4</v>
      </c>
      <c r="C1028" s="29" t="s">
        <v>1091</v>
      </c>
      <c r="D1028" s="29">
        <v>9</v>
      </c>
      <c r="E1028" s="29">
        <v>200</v>
      </c>
      <c r="F1028" s="29">
        <v>100</v>
      </c>
      <c r="G1028" s="29" t="s">
        <v>1035</v>
      </c>
      <c r="H1028" s="29">
        <v>1</v>
      </c>
      <c r="J1028" s="29">
        <v>1.4129999999999998</v>
      </c>
      <c r="K1028" s="29">
        <v>1.4129999999999998</v>
      </c>
      <c r="L1028" s="29" t="s">
        <v>1036</v>
      </c>
      <c r="M1028" s="29">
        <v>1</v>
      </c>
      <c r="O1028" s="29">
        <v>1</v>
      </c>
      <c r="P1028" s="29">
        <v>1.4129999999999998</v>
      </c>
      <c r="Q1028" s="29" t="s">
        <v>1037</v>
      </c>
    </row>
    <row r="1029" spans="1:18" x14ac:dyDescent="0.3">
      <c r="A1029" s="29" t="s">
        <v>615</v>
      </c>
      <c r="B1029" s="29">
        <v>1</v>
      </c>
      <c r="C1029" s="29" t="s">
        <v>1089</v>
      </c>
      <c r="D1029" s="30" t="s">
        <v>1092</v>
      </c>
      <c r="E1029" s="29">
        <v>885</v>
      </c>
      <c r="G1029" s="29" t="s">
        <v>1035</v>
      </c>
      <c r="H1029" s="29">
        <v>1</v>
      </c>
      <c r="I1029" s="29">
        <v>31.1</v>
      </c>
      <c r="J1029" s="29">
        <v>27.523500000000002</v>
      </c>
      <c r="K1029" s="29">
        <v>27.523500000000002</v>
      </c>
      <c r="L1029" s="29" t="s">
        <v>1032</v>
      </c>
      <c r="M1029" s="29">
        <v>1</v>
      </c>
      <c r="N1029" s="29">
        <v>0.88500000000000001</v>
      </c>
      <c r="O1029" s="29">
        <v>1</v>
      </c>
      <c r="P1029" s="29">
        <v>27.523500000000002</v>
      </c>
      <c r="Q1029" s="29" t="s">
        <v>1033</v>
      </c>
    </row>
    <row r="1030" spans="1:18" x14ac:dyDescent="0.3">
      <c r="B1030" s="29">
        <v>2</v>
      </c>
      <c r="C1030" s="29" t="s">
        <v>1088</v>
      </c>
      <c r="D1030" s="29">
        <v>16</v>
      </c>
      <c r="E1030" s="29">
        <v>500</v>
      </c>
      <c r="F1030" s="29">
        <v>500</v>
      </c>
      <c r="G1030" s="29" t="s">
        <v>1035</v>
      </c>
      <c r="H1030" s="29">
        <v>1</v>
      </c>
      <c r="J1030" s="29">
        <v>31.4</v>
      </c>
      <c r="K1030" s="29">
        <v>31.4</v>
      </c>
      <c r="L1030" s="29" t="s">
        <v>1036</v>
      </c>
      <c r="M1030" s="29">
        <v>1</v>
      </c>
      <c r="O1030" s="29">
        <v>1</v>
      </c>
      <c r="P1030" s="29">
        <v>31.4</v>
      </c>
      <c r="Q1030" s="29" t="s">
        <v>1037</v>
      </c>
      <c r="R1030" t="s">
        <v>1131</v>
      </c>
    </row>
    <row r="1031" spans="1:18" x14ac:dyDescent="0.3">
      <c r="B1031" s="29">
        <v>3</v>
      </c>
      <c r="C1031" s="29" t="s">
        <v>1038</v>
      </c>
      <c r="D1031" s="30" t="s">
        <v>288</v>
      </c>
      <c r="G1031" s="29" t="s">
        <v>1031</v>
      </c>
      <c r="H1031" s="29">
        <v>4</v>
      </c>
      <c r="J1031" s="29">
        <v>1</v>
      </c>
      <c r="K1031" s="29">
        <v>4</v>
      </c>
      <c r="L1031" s="29" t="s">
        <v>1039</v>
      </c>
      <c r="M1031" s="29">
        <v>1</v>
      </c>
      <c r="O1031" s="29">
        <v>4</v>
      </c>
      <c r="P1031" s="29">
        <v>4</v>
      </c>
      <c r="Q1031" s="29" t="s">
        <v>1040</v>
      </c>
    </row>
    <row r="1032" spans="1:18" x14ac:dyDescent="0.3">
      <c r="B1032" s="29">
        <v>4</v>
      </c>
      <c r="C1032" s="29" t="s">
        <v>1091</v>
      </c>
      <c r="D1032" s="29">
        <v>9</v>
      </c>
      <c r="E1032" s="29">
        <v>200</v>
      </c>
      <c r="F1032" s="29">
        <v>100</v>
      </c>
      <c r="G1032" s="29" t="s">
        <v>1035</v>
      </c>
      <c r="H1032" s="29">
        <v>1</v>
      </c>
      <c r="J1032" s="29">
        <v>1.4129999999999998</v>
      </c>
      <c r="K1032" s="29">
        <v>1.4129999999999998</v>
      </c>
      <c r="L1032" s="29" t="s">
        <v>1036</v>
      </c>
      <c r="M1032" s="29">
        <v>1</v>
      </c>
      <c r="O1032" s="29">
        <v>1</v>
      </c>
      <c r="P1032" s="29">
        <v>1.4129999999999998</v>
      </c>
      <c r="Q1032" s="29" t="s">
        <v>1037</v>
      </c>
    </row>
    <row r="1033" spans="1:18" x14ac:dyDescent="0.3">
      <c r="A1033" s="29" t="s">
        <v>616</v>
      </c>
      <c r="B1033" s="29">
        <v>1</v>
      </c>
      <c r="C1033" s="29" t="s">
        <v>1089</v>
      </c>
      <c r="D1033" s="29" t="s">
        <v>1092</v>
      </c>
      <c r="E1033" s="29">
        <v>985</v>
      </c>
      <c r="G1033" s="29" t="s">
        <v>1035</v>
      </c>
      <c r="H1033" s="29">
        <v>1</v>
      </c>
      <c r="I1033" s="29">
        <v>31.1</v>
      </c>
      <c r="J1033" s="29">
        <v>30.633500000000002</v>
      </c>
      <c r="K1033" s="29">
        <v>30.633500000000002</v>
      </c>
      <c r="L1033" s="29" t="s">
        <v>1032</v>
      </c>
      <c r="M1033" s="29">
        <v>1</v>
      </c>
      <c r="N1033" s="29">
        <v>0.98499999999999999</v>
      </c>
      <c r="O1033" s="29">
        <v>1</v>
      </c>
      <c r="P1033" s="29">
        <v>30.633500000000002</v>
      </c>
      <c r="Q1033" s="29" t="s">
        <v>1033</v>
      </c>
    </row>
    <row r="1034" spans="1:18" x14ac:dyDescent="0.3">
      <c r="B1034" s="29">
        <v>2</v>
      </c>
      <c r="C1034" s="29" t="s">
        <v>1091</v>
      </c>
      <c r="D1034" s="30">
        <v>9</v>
      </c>
      <c r="E1034" s="29">
        <v>200</v>
      </c>
      <c r="F1034" s="29">
        <v>100</v>
      </c>
      <c r="G1034" s="29" t="s">
        <v>1035</v>
      </c>
      <c r="H1034" s="29">
        <v>1</v>
      </c>
      <c r="J1034" s="29">
        <v>1.4129999999999998</v>
      </c>
      <c r="K1034" s="29">
        <v>1.4129999999999998</v>
      </c>
      <c r="L1034" s="29" t="s">
        <v>1036</v>
      </c>
      <c r="M1034" s="29">
        <v>1</v>
      </c>
      <c r="O1034" s="29">
        <v>1</v>
      </c>
      <c r="P1034" s="29">
        <v>1.4129999999999998</v>
      </c>
      <c r="Q1034" s="29" t="s">
        <v>1037</v>
      </c>
    </row>
    <row r="1035" spans="1:18" x14ac:dyDescent="0.3">
      <c r="A1035" s="29" t="s">
        <v>617</v>
      </c>
      <c r="B1035" s="29">
        <v>1</v>
      </c>
      <c r="C1035" s="29" t="s">
        <v>1050</v>
      </c>
      <c r="D1035" s="30" t="s">
        <v>1086</v>
      </c>
      <c r="E1035" s="29">
        <v>385</v>
      </c>
      <c r="G1035" s="29" t="s">
        <v>1035</v>
      </c>
      <c r="H1035" s="29">
        <v>1</v>
      </c>
      <c r="I1035" s="29">
        <v>4.43</v>
      </c>
      <c r="J1035" s="29">
        <v>1.7055499999999999</v>
      </c>
      <c r="K1035" s="29">
        <v>1.7055499999999999</v>
      </c>
      <c r="L1035" s="29" t="s">
        <v>1032</v>
      </c>
      <c r="M1035" s="29">
        <v>1</v>
      </c>
      <c r="N1035" s="29">
        <v>0.38500000000000001</v>
      </c>
      <c r="O1035" s="29">
        <v>1</v>
      </c>
      <c r="P1035" s="29">
        <v>1.7055499999999999</v>
      </c>
      <c r="Q1035" s="29" t="s">
        <v>1033</v>
      </c>
    </row>
    <row r="1036" spans="1:18" x14ac:dyDescent="0.3">
      <c r="B1036" s="29">
        <v>2</v>
      </c>
      <c r="C1036" s="29" t="s">
        <v>1088</v>
      </c>
      <c r="D1036" s="29">
        <v>9</v>
      </c>
      <c r="E1036" s="29">
        <v>180</v>
      </c>
      <c r="F1036" s="29">
        <v>180</v>
      </c>
      <c r="G1036" s="29" t="s">
        <v>1035</v>
      </c>
      <c r="H1036" s="29">
        <v>1</v>
      </c>
      <c r="J1036" s="29">
        <v>2.2890600000000001</v>
      </c>
      <c r="K1036" s="29">
        <v>2.2890600000000001</v>
      </c>
      <c r="L1036" s="29" t="s">
        <v>1036</v>
      </c>
      <c r="M1036" s="29">
        <v>1</v>
      </c>
      <c r="O1036" s="29">
        <v>1</v>
      </c>
      <c r="P1036" s="29">
        <v>2.2890600000000001</v>
      </c>
      <c r="Q1036" s="29" t="s">
        <v>1037</v>
      </c>
      <c r="R1036" t="s">
        <v>1130</v>
      </c>
    </row>
    <row r="1037" spans="1:18" x14ac:dyDescent="0.3">
      <c r="B1037" s="29">
        <v>3</v>
      </c>
      <c r="C1037" s="29" t="s">
        <v>1038</v>
      </c>
      <c r="D1037" s="30" t="s">
        <v>287</v>
      </c>
      <c r="G1037" s="29" t="s">
        <v>1031</v>
      </c>
      <c r="H1037" s="29">
        <v>4</v>
      </c>
      <c r="J1037" s="29">
        <v>1</v>
      </c>
      <c r="K1037" s="29">
        <v>4</v>
      </c>
      <c r="L1037" s="29" t="s">
        <v>1039</v>
      </c>
      <c r="M1037" s="29">
        <v>1</v>
      </c>
      <c r="O1037" s="29">
        <v>4</v>
      </c>
      <c r="P1037" s="29">
        <v>4</v>
      </c>
      <c r="Q1037" s="29" t="s">
        <v>1040</v>
      </c>
    </row>
    <row r="1038" spans="1:18" x14ac:dyDescent="0.3">
      <c r="A1038" s="29" t="s">
        <v>618</v>
      </c>
      <c r="B1038" s="29">
        <v>1</v>
      </c>
      <c r="C1038" s="29" t="s">
        <v>1050</v>
      </c>
      <c r="D1038" s="30" t="s">
        <v>1086</v>
      </c>
      <c r="E1038" s="29">
        <v>685</v>
      </c>
      <c r="G1038" s="29" t="s">
        <v>1035</v>
      </c>
      <c r="H1038" s="29">
        <v>1</v>
      </c>
      <c r="I1038" s="29">
        <v>4.43</v>
      </c>
      <c r="J1038" s="29">
        <v>3.0345499999999999</v>
      </c>
      <c r="K1038" s="29">
        <v>3.0345499999999999</v>
      </c>
      <c r="L1038" s="29" t="s">
        <v>1032</v>
      </c>
      <c r="M1038" s="29">
        <v>1</v>
      </c>
      <c r="N1038" s="29">
        <v>0.68500000000000005</v>
      </c>
      <c r="O1038" s="29">
        <v>1</v>
      </c>
      <c r="P1038" s="29">
        <v>3.0345499999999999</v>
      </c>
      <c r="Q1038" s="29" t="s">
        <v>1033</v>
      </c>
    </row>
    <row r="1039" spans="1:18" x14ac:dyDescent="0.3">
      <c r="B1039" s="29">
        <v>2</v>
      </c>
      <c r="C1039" s="29" t="s">
        <v>1088</v>
      </c>
      <c r="D1039" s="29">
        <v>9</v>
      </c>
      <c r="E1039" s="29">
        <v>180</v>
      </c>
      <c r="F1039" s="29">
        <v>180</v>
      </c>
      <c r="G1039" s="29" t="s">
        <v>1035</v>
      </c>
      <c r="H1039" s="29">
        <v>1</v>
      </c>
      <c r="J1039" s="29">
        <v>2.2890600000000001</v>
      </c>
      <c r="K1039" s="29">
        <v>2.2890600000000001</v>
      </c>
      <c r="L1039" s="29" t="s">
        <v>1036</v>
      </c>
      <c r="M1039" s="29">
        <v>1</v>
      </c>
      <c r="O1039" s="29">
        <v>1</v>
      </c>
      <c r="P1039" s="29">
        <v>2.2890600000000001</v>
      </c>
      <c r="Q1039" s="29" t="s">
        <v>1037</v>
      </c>
      <c r="R1039" t="s">
        <v>1130</v>
      </c>
    </row>
    <row r="1040" spans="1:18" x14ac:dyDescent="0.3">
      <c r="B1040" s="29">
        <v>3</v>
      </c>
      <c r="C1040" s="29" t="s">
        <v>1038</v>
      </c>
      <c r="D1040" s="30" t="s">
        <v>287</v>
      </c>
      <c r="G1040" s="29" t="s">
        <v>1031</v>
      </c>
      <c r="H1040" s="29">
        <v>4</v>
      </c>
      <c r="J1040" s="29">
        <v>1</v>
      </c>
      <c r="K1040" s="29">
        <v>4</v>
      </c>
      <c r="L1040" s="29" t="s">
        <v>1039</v>
      </c>
      <c r="M1040" s="29">
        <v>1</v>
      </c>
      <c r="O1040" s="29">
        <v>4</v>
      </c>
      <c r="P1040" s="29">
        <v>4</v>
      </c>
      <c r="Q1040" s="29" t="s">
        <v>1040</v>
      </c>
    </row>
    <row r="1041" spans="1:18" x14ac:dyDescent="0.3">
      <c r="A1041" s="29" t="s">
        <v>619</v>
      </c>
      <c r="B1041" s="29">
        <v>1</v>
      </c>
      <c r="C1041" s="29" t="s">
        <v>1050</v>
      </c>
      <c r="D1041" s="30" t="s">
        <v>1086</v>
      </c>
      <c r="E1041" s="29">
        <v>685</v>
      </c>
      <c r="G1041" s="29" t="s">
        <v>1035</v>
      </c>
      <c r="H1041" s="29">
        <v>1</v>
      </c>
      <c r="I1041" s="29">
        <v>4.43</v>
      </c>
      <c r="J1041" s="29">
        <v>3.0345499999999999</v>
      </c>
      <c r="K1041" s="29">
        <v>3.0345499999999999</v>
      </c>
      <c r="L1041" s="29" t="s">
        <v>1032</v>
      </c>
      <c r="M1041" s="29">
        <v>1</v>
      </c>
      <c r="N1041" s="29">
        <v>0.68500000000000005</v>
      </c>
      <c r="O1041" s="29">
        <v>1</v>
      </c>
      <c r="P1041" s="29">
        <v>3.0345499999999999</v>
      </c>
      <c r="Q1041" s="29" t="s">
        <v>1033</v>
      </c>
    </row>
    <row r="1042" spans="1:18" x14ac:dyDescent="0.3">
      <c r="B1042" s="29">
        <v>2</v>
      </c>
      <c r="C1042" s="29" t="s">
        <v>1088</v>
      </c>
      <c r="D1042" s="29">
        <v>9</v>
      </c>
      <c r="E1042" s="29">
        <v>180</v>
      </c>
      <c r="F1042" s="29">
        <v>180</v>
      </c>
      <c r="G1042" s="29" t="s">
        <v>1035</v>
      </c>
      <c r="H1042" s="29">
        <v>1</v>
      </c>
      <c r="J1042" s="29">
        <v>2.2890600000000001</v>
      </c>
      <c r="K1042" s="29">
        <v>2.2890600000000001</v>
      </c>
      <c r="L1042" s="29" t="s">
        <v>1036</v>
      </c>
      <c r="M1042" s="29">
        <v>1</v>
      </c>
      <c r="O1042" s="29">
        <v>1</v>
      </c>
      <c r="P1042" s="29">
        <v>2.2890600000000001</v>
      </c>
      <c r="Q1042" s="29" t="s">
        <v>1037</v>
      </c>
      <c r="R1042" t="s">
        <v>1130</v>
      </c>
    </row>
    <row r="1043" spans="1:18" x14ac:dyDescent="0.3">
      <c r="B1043" s="29">
        <v>3</v>
      </c>
      <c r="C1043" s="29" t="s">
        <v>1038</v>
      </c>
      <c r="D1043" s="30" t="s">
        <v>287</v>
      </c>
      <c r="G1043" s="29" t="s">
        <v>1031</v>
      </c>
      <c r="H1043" s="29">
        <v>4</v>
      </c>
      <c r="J1043" s="29">
        <v>1</v>
      </c>
      <c r="K1043" s="29">
        <v>4</v>
      </c>
      <c r="L1043" s="29" t="s">
        <v>1039</v>
      </c>
      <c r="M1043" s="29">
        <v>1</v>
      </c>
      <c r="O1043" s="29">
        <v>4</v>
      </c>
      <c r="P1043" s="29">
        <v>4</v>
      </c>
      <c r="Q1043" s="29" t="s">
        <v>1040</v>
      </c>
    </row>
    <row r="1044" spans="1:18" x14ac:dyDescent="0.3">
      <c r="A1044" s="29" t="s">
        <v>620</v>
      </c>
      <c r="B1044" s="29">
        <v>1</v>
      </c>
      <c r="C1044" s="29" t="s">
        <v>1050</v>
      </c>
      <c r="D1044" s="30" t="s">
        <v>1086</v>
      </c>
      <c r="E1044" s="29">
        <v>885</v>
      </c>
      <c r="G1044" s="29" t="s">
        <v>1035</v>
      </c>
      <c r="H1044" s="29">
        <v>1</v>
      </c>
      <c r="I1044" s="29">
        <v>4.43</v>
      </c>
      <c r="J1044" s="29">
        <v>3.92055</v>
      </c>
      <c r="K1044" s="29">
        <v>3.92055</v>
      </c>
      <c r="L1044" s="29" t="s">
        <v>1032</v>
      </c>
      <c r="M1044" s="29">
        <v>1</v>
      </c>
      <c r="N1044" s="29">
        <v>0.88500000000000001</v>
      </c>
      <c r="O1044" s="29">
        <v>1</v>
      </c>
      <c r="P1044" s="29">
        <v>3.92055</v>
      </c>
      <c r="Q1044" s="29" t="s">
        <v>1033</v>
      </c>
    </row>
    <row r="1045" spans="1:18" x14ac:dyDescent="0.3">
      <c r="B1045" s="29">
        <v>2</v>
      </c>
      <c r="C1045" s="29" t="s">
        <v>1088</v>
      </c>
      <c r="D1045" s="29">
        <v>9</v>
      </c>
      <c r="E1045" s="29">
        <v>180</v>
      </c>
      <c r="F1045" s="29">
        <v>180</v>
      </c>
      <c r="G1045" s="29" t="s">
        <v>1035</v>
      </c>
      <c r="H1045" s="29">
        <v>1</v>
      </c>
      <c r="J1045" s="29">
        <v>2.2890600000000001</v>
      </c>
      <c r="K1045" s="29">
        <v>2.2890600000000001</v>
      </c>
      <c r="L1045" s="29" t="s">
        <v>1036</v>
      </c>
      <c r="M1045" s="29">
        <v>1</v>
      </c>
      <c r="O1045" s="29">
        <v>1</v>
      </c>
      <c r="P1045" s="29">
        <v>2.2890600000000001</v>
      </c>
      <c r="Q1045" s="29" t="s">
        <v>1037</v>
      </c>
      <c r="R1045" t="s">
        <v>1130</v>
      </c>
    </row>
    <row r="1046" spans="1:18" x14ac:dyDescent="0.3">
      <c r="B1046" s="29">
        <v>3</v>
      </c>
      <c r="C1046" s="29" t="s">
        <v>1038</v>
      </c>
      <c r="D1046" s="30" t="s">
        <v>287</v>
      </c>
      <c r="G1046" s="29" t="s">
        <v>1031</v>
      </c>
      <c r="H1046" s="29">
        <v>4</v>
      </c>
      <c r="J1046" s="29">
        <v>1</v>
      </c>
      <c r="K1046" s="29">
        <v>4</v>
      </c>
      <c r="L1046" s="29" t="s">
        <v>1039</v>
      </c>
      <c r="M1046" s="29">
        <v>1</v>
      </c>
      <c r="O1046" s="29">
        <v>4</v>
      </c>
      <c r="P1046" s="29">
        <v>4</v>
      </c>
      <c r="Q1046" s="29" t="s">
        <v>1040</v>
      </c>
    </row>
    <row r="1047" spans="1:18" x14ac:dyDescent="0.3">
      <c r="A1047" s="29" t="s">
        <v>620</v>
      </c>
      <c r="B1047" s="29">
        <v>1</v>
      </c>
      <c r="C1047" s="29" t="s">
        <v>1050</v>
      </c>
      <c r="D1047" s="30" t="s">
        <v>1086</v>
      </c>
      <c r="E1047" s="29">
        <v>885</v>
      </c>
      <c r="G1047" s="29" t="s">
        <v>1035</v>
      </c>
      <c r="H1047" s="29">
        <v>1</v>
      </c>
      <c r="I1047" s="29">
        <v>4.43</v>
      </c>
      <c r="J1047" s="29">
        <v>3.92055</v>
      </c>
      <c r="K1047" s="29">
        <v>3.92055</v>
      </c>
      <c r="L1047" s="29" t="s">
        <v>1032</v>
      </c>
      <c r="M1047" s="29">
        <v>1</v>
      </c>
      <c r="N1047" s="29">
        <v>0.88500000000000001</v>
      </c>
      <c r="O1047" s="29">
        <v>1</v>
      </c>
      <c r="P1047" s="29">
        <v>3.92055</v>
      </c>
      <c r="Q1047" s="29" t="s">
        <v>1033</v>
      </c>
    </row>
    <row r="1048" spans="1:18" x14ac:dyDescent="0.3">
      <c r="B1048" s="29">
        <v>2</v>
      </c>
      <c r="C1048" s="29" t="s">
        <v>1088</v>
      </c>
      <c r="D1048" s="29">
        <v>9</v>
      </c>
      <c r="E1048" s="29">
        <v>180</v>
      </c>
      <c r="F1048" s="29">
        <v>180</v>
      </c>
      <c r="G1048" s="29" t="s">
        <v>1035</v>
      </c>
      <c r="H1048" s="29">
        <v>1</v>
      </c>
      <c r="J1048" s="29">
        <v>2.2890600000000001</v>
      </c>
      <c r="K1048" s="29">
        <v>2.2890600000000001</v>
      </c>
      <c r="L1048" s="29" t="s">
        <v>1036</v>
      </c>
      <c r="M1048" s="29">
        <v>1</v>
      </c>
      <c r="O1048" s="29">
        <v>1</v>
      </c>
      <c r="P1048" s="29">
        <v>2.2890600000000001</v>
      </c>
      <c r="Q1048" s="29" t="s">
        <v>1037</v>
      </c>
      <c r="R1048" t="s">
        <v>1130</v>
      </c>
    </row>
    <row r="1049" spans="1:18" x14ac:dyDescent="0.3">
      <c r="B1049" s="29">
        <v>3</v>
      </c>
      <c r="C1049" s="29" t="s">
        <v>1038</v>
      </c>
      <c r="D1049" s="30" t="s">
        <v>287</v>
      </c>
      <c r="G1049" s="29" t="s">
        <v>1031</v>
      </c>
      <c r="H1049" s="29">
        <v>4</v>
      </c>
      <c r="J1049" s="29">
        <v>1</v>
      </c>
      <c r="K1049" s="29">
        <v>4</v>
      </c>
      <c r="L1049" s="29" t="s">
        <v>1039</v>
      </c>
      <c r="M1049" s="29">
        <v>1</v>
      </c>
      <c r="O1049" s="29">
        <v>4</v>
      </c>
      <c r="P1049" s="29">
        <v>4</v>
      </c>
      <c r="Q1049" s="29" t="s">
        <v>1040</v>
      </c>
    </row>
    <row r="1050" spans="1:18" x14ac:dyDescent="0.3">
      <c r="A1050" s="29" t="s">
        <v>621</v>
      </c>
      <c r="B1050" s="29">
        <v>1</v>
      </c>
      <c r="C1050" s="29" t="s">
        <v>1050</v>
      </c>
      <c r="D1050" s="30" t="s">
        <v>1087</v>
      </c>
      <c r="E1050" s="29">
        <v>585</v>
      </c>
      <c r="G1050" s="29" t="s">
        <v>1035</v>
      </c>
      <c r="H1050" s="29">
        <v>1</v>
      </c>
      <c r="I1050" s="29">
        <v>9.9600000000000009</v>
      </c>
      <c r="J1050" s="29">
        <v>5.8266</v>
      </c>
      <c r="K1050" s="29">
        <v>5.8266</v>
      </c>
      <c r="L1050" s="29" t="s">
        <v>1032</v>
      </c>
      <c r="M1050" s="29">
        <v>1</v>
      </c>
      <c r="N1050" s="29">
        <v>0.58499999999999996</v>
      </c>
      <c r="O1050" s="29">
        <v>1</v>
      </c>
      <c r="P1050" s="29">
        <v>5.8266</v>
      </c>
      <c r="Q1050" s="29" t="s">
        <v>1033</v>
      </c>
    </row>
    <row r="1051" spans="1:18" x14ac:dyDescent="0.3">
      <c r="B1051" s="29">
        <v>2</v>
      </c>
      <c r="C1051" s="29" t="s">
        <v>1088</v>
      </c>
      <c r="D1051" s="29">
        <v>9</v>
      </c>
      <c r="E1051" s="29">
        <v>260</v>
      </c>
      <c r="F1051" s="29">
        <v>260</v>
      </c>
      <c r="G1051" s="29" t="s">
        <v>1035</v>
      </c>
      <c r="H1051" s="29">
        <v>1</v>
      </c>
      <c r="J1051" s="29">
        <v>4.7759399999999994</v>
      </c>
      <c r="K1051" s="29">
        <v>4.7759399999999994</v>
      </c>
      <c r="L1051" s="29" t="s">
        <v>1036</v>
      </c>
      <c r="M1051" s="29">
        <v>1</v>
      </c>
      <c r="O1051" s="29">
        <v>1</v>
      </c>
      <c r="P1051" s="29">
        <v>4.7759399999999994</v>
      </c>
      <c r="Q1051" s="29" t="s">
        <v>1037</v>
      </c>
      <c r="R1051" t="s">
        <v>1128</v>
      </c>
    </row>
    <row r="1052" spans="1:18" x14ac:dyDescent="0.3">
      <c r="B1052" s="29">
        <v>3</v>
      </c>
      <c r="C1052" s="29" t="s">
        <v>1038</v>
      </c>
      <c r="D1052" s="30" t="s">
        <v>287</v>
      </c>
      <c r="G1052" s="29" t="s">
        <v>1031</v>
      </c>
      <c r="H1052" s="29">
        <v>4</v>
      </c>
      <c r="J1052" s="29">
        <v>1</v>
      </c>
      <c r="K1052" s="29">
        <v>4</v>
      </c>
      <c r="L1052" s="29" t="s">
        <v>1039</v>
      </c>
      <c r="M1052" s="29">
        <v>1</v>
      </c>
      <c r="O1052" s="29">
        <v>4</v>
      </c>
      <c r="P1052" s="29">
        <v>4</v>
      </c>
      <c r="Q1052" s="29" t="s">
        <v>1040</v>
      </c>
    </row>
    <row r="1053" spans="1:18" x14ac:dyDescent="0.3">
      <c r="A1053" s="29" t="s">
        <v>622</v>
      </c>
      <c r="B1053" s="29">
        <v>1</v>
      </c>
      <c r="C1053" s="29" t="s">
        <v>1050</v>
      </c>
      <c r="D1053" s="30" t="s">
        <v>1087</v>
      </c>
      <c r="E1053" s="29">
        <v>985</v>
      </c>
      <c r="G1053" s="29" t="s">
        <v>1035</v>
      </c>
      <c r="H1053" s="29">
        <v>1</v>
      </c>
      <c r="I1053" s="29">
        <v>9.9600000000000009</v>
      </c>
      <c r="J1053" s="29">
        <v>9.8106000000000009</v>
      </c>
      <c r="K1053" s="29">
        <v>9.8106000000000009</v>
      </c>
      <c r="L1053" s="29" t="s">
        <v>1032</v>
      </c>
      <c r="M1053" s="29">
        <v>1</v>
      </c>
      <c r="N1053" s="29">
        <v>0.98499999999999999</v>
      </c>
      <c r="O1053" s="29">
        <v>1</v>
      </c>
      <c r="P1053" s="29">
        <v>9.8106000000000009</v>
      </c>
      <c r="Q1053" s="29" t="s">
        <v>1033</v>
      </c>
    </row>
    <row r="1054" spans="1:18" x14ac:dyDescent="0.3">
      <c r="B1054" s="29">
        <v>2</v>
      </c>
      <c r="C1054" s="29" t="s">
        <v>1088</v>
      </c>
      <c r="D1054" s="29">
        <v>9</v>
      </c>
      <c r="E1054" s="29">
        <v>260</v>
      </c>
      <c r="F1054" s="29">
        <v>260</v>
      </c>
      <c r="G1054" s="29" t="s">
        <v>1035</v>
      </c>
      <c r="H1054" s="29">
        <v>1</v>
      </c>
      <c r="J1054" s="29">
        <v>4.7759399999999994</v>
      </c>
      <c r="K1054" s="29">
        <v>4.7759399999999994</v>
      </c>
      <c r="L1054" s="29" t="s">
        <v>1036</v>
      </c>
      <c r="M1054" s="29">
        <v>1</v>
      </c>
      <c r="O1054" s="29">
        <v>1</v>
      </c>
      <c r="P1054" s="29">
        <v>4.7759399999999994</v>
      </c>
      <c r="Q1054" s="29" t="s">
        <v>1037</v>
      </c>
      <c r="R1054" t="s">
        <v>1128</v>
      </c>
    </row>
    <row r="1055" spans="1:18" x14ac:dyDescent="0.3">
      <c r="B1055" s="29">
        <v>3</v>
      </c>
      <c r="C1055" s="29" t="s">
        <v>1038</v>
      </c>
      <c r="D1055" s="30" t="s">
        <v>287</v>
      </c>
      <c r="G1055" s="29" t="s">
        <v>1031</v>
      </c>
      <c r="H1055" s="29">
        <v>4</v>
      </c>
      <c r="J1055" s="29">
        <v>1</v>
      </c>
      <c r="K1055" s="29">
        <v>4</v>
      </c>
      <c r="L1055" s="29" t="s">
        <v>1039</v>
      </c>
      <c r="M1055" s="29">
        <v>1</v>
      </c>
      <c r="O1055" s="29">
        <v>4</v>
      </c>
      <c r="P1055" s="29">
        <v>4</v>
      </c>
      <c r="Q1055" s="29" t="s">
        <v>1040</v>
      </c>
    </row>
    <row r="1056" spans="1:18" x14ac:dyDescent="0.3">
      <c r="A1056" s="29" t="s">
        <v>623</v>
      </c>
      <c r="B1056" s="29">
        <v>1</v>
      </c>
      <c r="C1056" s="29" t="s">
        <v>1050</v>
      </c>
      <c r="D1056" s="30" t="s">
        <v>1087</v>
      </c>
      <c r="E1056" s="29">
        <v>1585</v>
      </c>
      <c r="G1056" s="29" t="s">
        <v>1035</v>
      </c>
      <c r="H1056" s="29">
        <v>1</v>
      </c>
      <c r="I1056" s="29">
        <v>9.9600000000000009</v>
      </c>
      <c r="J1056" s="29">
        <v>15.786600000000002</v>
      </c>
      <c r="K1056" s="29">
        <v>15.786600000000002</v>
      </c>
      <c r="L1056" s="29" t="s">
        <v>1032</v>
      </c>
      <c r="M1056" s="29">
        <v>1</v>
      </c>
      <c r="N1056" s="29">
        <v>1.585</v>
      </c>
      <c r="O1056" s="29">
        <v>1</v>
      </c>
      <c r="P1056" s="29">
        <v>15.786600000000002</v>
      </c>
      <c r="Q1056" s="29" t="s">
        <v>1033</v>
      </c>
    </row>
    <row r="1057" spans="1:18" x14ac:dyDescent="0.3">
      <c r="B1057" s="29">
        <v>2</v>
      </c>
      <c r="C1057" s="29" t="s">
        <v>1088</v>
      </c>
      <c r="D1057" s="29">
        <v>9</v>
      </c>
      <c r="E1057" s="29">
        <v>260</v>
      </c>
      <c r="F1057" s="29">
        <v>260</v>
      </c>
      <c r="G1057" s="29" t="s">
        <v>1035</v>
      </c>
      <c r="H1057" s="29">
        <v>1</v>
      </c>
      <c r="J1057" s="29">
        <v>4.7759399999999994</v>
      </c>
      <c r="K1057" s="29">
        <v>4.7759399999999994</v>
      </c>
      <c r="L1057" s="29" t="s">
        <v>1036</v>
      </c>
      <c r="M1057" s="29">
        <v>1</v>
      </c>
      <c r="O1057" s="29">
        <v>1</v>
      </c>
      <c r="P1057" s="29">
        <v>4.7759399999999994</v>
      </c>
      <c r="Q1057" s="29" t="s">
        <v>1037</v>
      </c>
      <c r="R1057" t="s">
        <v>1128</v>
      </c>
    </row>
    <row r="1058" spans="1:18" x14ac:dyDescent="0.3">
      <c r="B1058" s="29">
        <v>3</v>
      </c>
      <c r="C1058" s="29" t="s">
        <v>1038</v>
      </c>
      <c r="D1058" s="30" t="s">
        <v>287</v>
      </c>
      <c r="G1058" s="29" t="s">
        <v>1031</v>
      </c>
      <c r="H1058" s="29">
        <v>4</v>
      </c>
      <c r="J1058" s="29">
        <v>1</v>
      </c>
      <c r="K1058" s="29">
        <v>4</v>
      </c>
      <c r="L1058" s="29" t="s">
        <v>1039</v>
      </c>
      <c r="M1058" s="29">
        <v>1</v>
      </c>
      <c r="O1058" s="29">
        <v>4</v>
      </c>
      <c r="P1058" s="29">
        <v>4</v>
      </c>
      <c r="Q1058" s="29" t="s">
        <v>1040</v>
      </c>
    </row>
    <row r="1059" spans="1:18" x14ac:dyDescent="0.3">
      <c r="A1059" s="29" t="s">
        <v>624</v>
      </c>
      <c r="B1059" s="29">
        <v>1</v>
      </c>
      <c r="C1059" s="29" t="s">
        <v>1063</v>
      </c>
      <c r="D1059" s="30" t="s">
        <v>1064</v>
      </c>
      <c r="E1059" s="29">
        <v>2614</v>
      </c>
      <c r="G1059" s="29" t="s">
        <v>1035</v>
      </c>
      <c r="H1059" s="29">
        <v>1</v>
      </c>
      <c r="I1059" s="29">
        <v>13.4</v>
      </c>
      <c r="J1059" s="29">
        <v>35.0276</v>
      </c>
      <c r="K1059" s="29">
        <v>35.0276</v>
      </c>
      <c r="L1059" s="29" t="s">
        <v>1032</v>
      </c>
      <c r="M1059" s="29">
        <v>1</v>
      </c>
      <c r="N1059" s="29">
        <v>2.6139999999999999</v>
      </c>
      <c r="O1059" s="29">
        <v>1</v>
      </c>
      <c r="P1059" s="29">
        <v>35.0276</v>
      </c>
      <c r="Q1059" s="29" t="s">
        <v>1033</v>
      </c>
    </row>
    <row r="1060" spans="1:18" x14ac:dyDescent="0.3">
      <c r="B1060" s="29">
        <v>2</v>
      </c>
      <c r="C1060" s="29" t="s">
        <v>1088</v>
      </c>
      <c r="D1060" s="29">
        <v>16</v>
      </c>
      <c r="E1060" s="29">
        <v>380</v>
      </c>
      <c r="F1060" s="29">
        <v>380</v>
      </c>
      <c r="G1060" s="29" t="s">
        <v>1035</v>
      </c>
      <c r="H1060" s="29">
        <v>1</v>
      </c>
      <c r="J1060" s="29">
        <v>18.13664</v>
      </c>
      <c r="K1060" s="29">
        <v>18.13664</v>
      </c>
      <c r="L1060" s="29" t="s">
        <v>1036</v>
      </c>
      <c r="M1060" s="29">
        <v>1</v>
      </c>
      <c r="O1060" s="29">
        <v>1</v>
      </c>
      <c r="P1060" s="29">
        <v>18.13664</v>
      </c>
      <c r="Q1060" s="29" t="s">
        <v>1037</v>
      </c>
      <c r="R1060" t="s">
        <v>1132</v>
      </c>
    </row>
    <row r="1061" spans="1:18" x14ac:dyDescent="0.3">
      <c r="B1061" s="29">
        <v>3</v>
      </c>
      <c r="C1061" s="29" t="s">
        <v>1038</v>
      </c>
      <c r="D1061" s="30" t="s">
        <v>1093</v>
      </c>
      <c r="G1061" s="29" t="s">
        <v>1031</v>
      </c>
      <c r="H1061" s="29">
        <v>4</v>
      </c>
      <c r="J1061" s="29">
        <v>1</v>
      </c>
      <c r="K1061" s="29">
        <v>4</v>
      </c>
      <c r="L1061" s="29" t="s">
        <v>1039</v>
      </c>
      <c r="M1061" s="29">
        <v>1</v>
      </c>
      <c r="O1061" s="29">
        <v>4</v>
      </c>
      <c r="P1061" s="29">
        <v>4</v>
      </c>
      <c r="Q1061" s="29" t="s">
        <v>1040</v>
      </c>
    </row>
    <row r="1062" spans="1:18" x14ac:dyDescent="0.3">
      <c r="A1062" s="29" t="s">
        <v>625</v>
      </c>
      <c r="B1062" s="29">
        <v>1</v>
      </c>
      <c r="C1062" s="29" t="s">
        <v>1050</v>
      </c>
      <c r="D1062" s="30" t="s">
        <v>1087</v>
      </c>
      <c r="E1062" s="29">
        <v>3009</v>
      </c>
      <c r="G1062" s="29" t="s">
        <v>1035</v>
      </c>
      <c r="H1062" s="29">
        <v>1</v>
      </c>
      <c r="I1062" s="29">
        <v>9.9600000000000009</v>
      </c>
      <c r="J1062" s="29">
        <v>29.969640000000002</v>
      </c>
      <c r="K1062" s="29">
        <v>29.969640000000002</v>
      </c>
      <c r="L1062" s="29" t="s">
        <v>1032</v>
      </c>
      <c r="M1062" s="29">
        <v>1</v>
      </c>
      <c r="N1062" s="29">
        <v>3.0089999999999999</v>
      </c>
      <c r="O1062" s="29">
        <v>1</v>
      </c>
      <c r="P1062" s="29">
        <v>29.969640000000002</v>
      </c>
      <c r="Q1062" s="29" t="s">
        <v>1033</v>
      </c>
    </row>
    <row r="1063" spans="1:18" x14ac:dyDescent="0.3">
      <c r="B1063" s="29">
        <v>2</v>
      </c>
      <c r="C1063" s="29" t="s">
        <v>1088</v>
      </c>
      <c r="D1063" s="29">
        <v>9</v>
      </c>
      <c r="E1063" s="29">
        <v>260</v>
      </c>
      <c r="F1063" s="29">
        <v>260</v>
      </c>
      <c r="G1063" s="29" t="s">
        <v>1035</v>
      </c>
      <c r="H1063" s="29">
        <v>1</v>
      </c>
      <c r="J1063" s="29">
        <v>4.7759399999999994</v>
      </c>
      <c r="K1063" s="29">
        <v>4.7759399999999994</v>
      </c>
      <c r="L1063" s="29" t="s">
        <v>1036</v>
      </c>
      <c r="M1063" s="29">
        <v>1</v>
      </c>
      <c r="O1063" s="29">
        <v>1</v>
      </c>
      <c r="P1063" s="29">
        <v>4.7759399999999994</v>
      </c>
      <c r="Q1063" s="29" t="s">
        <v>1037</v>
      </c>
      <c r="R1063" t="s">
        <v>1128</v>
      </c>
    </row>
    <row r="1064" spans="1:18" x14ac:dyDescent="0.3">
      <c r="B1064" s="29">
        <v>3</v>
      </c>
      <c r="C1064" s="29" t="s">
        <v>1038</v>
      </c>
      <c r="D1064" s="30" t="s">
        <v>287</v>
      </c>
      <c r="G1064" s="29" t="s">
        <v>1031</v>
      </c>
      <c r="H1064" s="29">
        <v>4</v>
      </c>
      <c r="J1064" s="29">
        <v>1</v>
      </c>
      <c r="K1064" s="29">
        <v>4</v>
      </c>
      <c r="L1064" s="29" t="s">
        <v>1039</v>
      </c>
      <c r="M1064" s="29">
        <v>1</v>
      </c>
      <c r="O1064" s="29">
        <v>4</v>
      </c>
      <c r="P1064" s="29">
        <v>4</v>
      </c>
      <c r="Q1064" s="29" t="s">
        <v>1040</v>
      </c>
    </row>
    <row r="1065" spans="1:18" x14ac:dyDescent="0.3">
      <c r="A1065" s="29" t="s">
        <v>626</v>
      </c>
      <c r="B1065" s="29">
        <v>1</v>
      </c>
      <c r="C1065" s="29" t="s">
        <v>1063</v>
      </c>
      <c r="D1065" s="29" t="s">
        <v>1064</v>
      </c>
      <c r="E1065" s="29">
        <v>1700</v>
      </c>
      <c r="G1065" s="29" t="s">
        <v>1035</v>
      </c>
      <c r="H1065" s="29">
        <v>1</v>
      </c>
      <c r="I1065" s="29">
        <v>13.4</v>
      </c>
      <c r="J1065" s="29">
        <v>22.78</v>
      </c>
      <c r="K1065" s="29">
        <v>22.78</v>
      </c>
      <c r="L1065" s="29" t="s">
        <v>1032</v>
      </c>
      <c r="M1065" s="29">
        <v>1</v>
      </c>
      <c r="N1065" s="29">
        <v>1.7</v>
      </c>
      <c r="O1065" s="29">
        <v>1</v>
      </c>
      <c r="P1065" s="29">
        <v>22.78</v>
      </c>
      <c r="Q1065" s="29" t="s">
        <v>1033</v>
      </c>
    </row>
    <row r="1066" spans="1:18" x14ac:dyDescent="0.3">
      <c r="A1066" s="29" t="s">
        <v>627</v>
      </c>
      <c r="B1066" s="29">
        <v>1</v>
      </c>
      <c r="C1066" s="29" t="s">
        <v>1063</v>
      </c>
      <c r="D1066" s="29" t="s">
        <v>1064</v>
      </c>
      <c r="E1066" s="29">
        <v>1785</v>
      </c>
      <c r="G1066" s="29" t="s">
        <v>1035</v>
      </c>
      <c r="H1066" s="29">
        <v>1</v>
      </c>
      <c r="I1066" s="29">
        <v>13.4</v>
      </c>
      <c r="J1066" s="29">
        <v>23.919</v>
      </c>
      <c r="K1066" s="29">
        <v>23.919</v>
      </c>
      <c r="L1066" s="29" t="s">
        <v>1032</v>
      </c>
      <c r="M1066" s="29">
        <v>1</v>
      </c>
      <c r="N1066" s="29">
        <v>1.7849999999999999</v>
      </c>
      <c r="O1066" s="29">
        <v>1</v>
      </c>
      <c r="P1066" s="29">
        <v>23.919</v>
      </c>
      <c r="Q1066" s="29" t="s">
        <v>1033</v>
      </c>
    </row>
    <row r="1067" spans="1:18" x14ac:dyDescent="0.3">
      <c r="A1067" s="29" t="s">
        <v>628</v>
      </c>
      <c r="B1067" s="29">
        <v>1</v>
      </c>
      <c r="C1067" s="29" t="s">
        <v>1063</v>
      </c>
      <c r="D1067" s="29" t="s">
        <v>1094</v>
      </c>
      <c r="E1067" s="29">
        <v>1400</v>
      </c>
      <c r="G1067" s="29" t="s">
        <v>1035</v>
      </c>
      <c r="H1067" s="29">
        <v>1</v>
      </c>
      <c r="I1067" s="29">
        <v>24</v>
      </c>
      <c r="J1067" s="29">
        <v>33.599999999999994</v>
      </c>
      <c r="K1067" s="29">
        <v>33.599999999999994</v>
      </c>
      <c r="L1067" s="29" t="s">
        <v>1032</v>
      </c>
      <c r="M1067" s="29">
        <v>1</v>
      </c>
      <c r="N1067" s="29">
        <v>1.4</v>
      </c>
      <c r="O1067" s="29">
        <v>1</v>
      </c>
      <c r="P1067" s="29">
        <v>33.599999999999994</v>
      </c>
      <c r="Q1067" s="29" t="s">
        <v>1033</v>
      </c>
    </row>
    <row r="1068" spans="1:18" x14ac:dyDescent="0.3">
      <c r="A1068" s="29" t="s">
        <v>629</v>
      </c>
      <c r="B1068" s="29">
        <v>1</v>
      </c>
      <c r="C1068" s="29" t="s">
        <v>1063</v>
      </c>
      <c r="D1068" s="29" t="s">
        <v>1094</v>
      </c>
      <c r="E1068" s="29">
        <v>2000</v>
      </c>
      <c r="G1068" s="29" t="s">
        <v>1035</v>
      </c>
      <c r="H1068" s="29">
        <v>1</v>
      </c>
      <c r="I1068" s="29">
        <v>24</v>
      </c>
      <c r="J1068" s="29">
        <v>48</v>
      </c>
      <c r="K1068" s="29">
        <v>48</v>
      </c>
      <c r="L1068" s="29" t="s">
        <v>1032</v>
      </c>
      <c r="M1068" s="29">
        <v>1</v>
      </c>
      <c r="N1068" s="29">
        <v>2</v>
      </c>
      <c r="O1068" s="29">
        <v>1</v>
      </c>
      <c r="P1068" s="29">
        <v>48</v>
      </c>
      <c r="Q1068" s="29" t="s">
        <v>1033</v>
      </c>
    </row>
    <row r="1069" spans="1:18" x14ac:dyDescent="0.3">
      <c r="A1069" s="29" t="s">
        <v>630</v>
      </c>
      <c r="B1069" s="29">
        <v>1</v>
      </c>
      <c r="C1069" s="29" t="s">
        <v>1063</v>
      </c>
      <c r="D1069" s="29" t="s">
        <v>1094</v>
      </c>
      <c r="E1069" s="29">
        <v>2300</v>
      </c>
      <c r="G1069" s="29" t="s">
        <v>1035</v>
      </c>
      <c r="H1069" s="29">
        <v>1</v>
      </c>
      <c r="I1069" s="29">
        <v>24</v>
      </c>
      <c r="J1069" s="29">
        <v>55.199999999999996</v>
      </c>
      <c r="K1069" s="29">
        <v>55.199999999999996</v>
      </c>
      <c r="L1069" s="29" t="s">
        <v>1032</v>
      </c>
      <c r="M1069" s="29">
        <v>1</v>
      </c>
      <c r="N1069" s="29">
        <v>2.2999999999999998</v>
      </c>
      <c r="O1069" s="29">
        <v>1</v>
      </c>
      <c r="P1069" s="29">
        <v>55.199999999999996</v>
      </c>
      <c r="Q1069" s="29" t="s">
        <v>1033</v>
      </c>
    </row>
    <row r="1070" spans="1:18" x14ac:dyDescent="0.3">
      <c r="A1070" s="29" t="s">
        <v>631</v>
      </c>
      <c r="B1070" s="29">
        <v>1</v>
      </c>
      <c r="C1070" s="29" t="s">
        <v>1063</v>
      </c>
      <c r="D1070" s="29" t="s">
        <v>1094</v>
      </c>
      <c r="E1070" s="29">
        <v>1285</v>
      </c>
      <c r="G1070" s="29" t="s">
        <v>1035</v>
      </c>
      <c r="H1070" s="29">
        <v>1</v>
      </c>
      <c r="I1070" s="29">
        <v>24</v>
      </c>
      <c r="J1070" s="29">
        <v>30.839999999999996</v>
      </c>
      <c r="K1070" s="29">
        <v>30.839999999999996</v>
      </c>
      <c r="L1070" s="29" t="s">
        <v>1032</v>
      </c>
      <c r="M1070" s="29">
        <v>1</v>
      </c>
      <c r="N1070" s="29">
        <v>1.2849999999999999</v>
      </c>
      <c r="O1070" s="29">
        <v>1</v>
      </c>
      <c r="P1070" s="29">
        <v>30.839999999999996</v>
      </c>
      <c r="Q1070" s="29" t="s">
        <v>1033</v>
      </c>
    </row>
    <row r="1071" spans="1:18" x14ac:dyDescent="0.3">
      <c r="A1071" s="29" t="s">
        <v>632</v>
      </c>
      <c r="B1071" s="29">
        <v>1</v>
      </c>
      <c r="C1071" s="29" t="s">
        <v>1050</v>
      </c>
      <c r="D1071" s="29" t="s">
        <v>1086</v>
      </c>
      <c r="E1071" s="29">
        <v>400</v>
      </c>
      <c r="G1071" s="29" t="s">
        <v>1035</v>
      </c>
      <c r="H1071" s="29">
        <v>1</v>
      </c>
      <c r="I1071" s="29">
        <v>4.43</v>
      </c>
      <c r="J1071" s="29">
        <v>1.772</v>
      </c>
      <c r="K1071" s="29">
        <v>1.772</v>
      </c>
      <c r="L1071" s="29" t="s">
        <v>1032</v>
      </c>
      <c r="M1071" s="29">
        <v>1</v>
      </c>
      <c r="N1071" s="29">
        <v>0.4</v>
      </c>
      <c r="O1071" s="29">
        <v>1</v>
      </c>
      <c r="P1071" s="29">
        <v>1.772</v>
      </c>
      <c r="Q1071" s="29" t="s">
        <v>1033</v>
      </c>
    </row>
    <row r="1072" spans="1:18" x14ac:dyDescent="0.3">
      <c r="A1072" s="29" t="s">
        <v>632</v>
      </c>
      <c r="B1072" s="29">
        <v>1</v>
      </c>
      <c r="C1072" s="29" t="s">
        <v>1050</v>
      </c>
      <c r="D1072" s="29" t="s">
        <v>1086</v>
      </c>
      <c r="E1072" s="29">
        <v>400</v>
      </c>
      <c r="G1072" s="29" t="s">
        <v>1035</v>
      </c>
      <c r="H1072" s="29">
        <v>1</v>
      </c>
      <c r="I1072" s="29">
        <v>4.43</v>
      </c>
      <c r="J1072" s="29">
        <v>1.772</v>
      </c>
      <c r="K1072" s="29">
        <v>1.772</v>
      </c>
      <c r="L1072" s="29" t="s">
        <v>1032</v>
      </c>
      <c r="M1072" s="29">
        <v>1</v>
      </c>
      <c r="N1072" s="29">
        <v>0.4</v>
      </c>
      <c r="O1072" s="29">
        <v>1</v>
      </c>
      <c r="P1072" s="29">
        <v>1.772</v>
      </c>
      <c r="Q1072" s="29" t="s">
        <v>1033</v>
      </c>
    </row>
    <row r="1073" spans="1:17" x14ac:dyDescent="0.3">
      <c r="A1073" s="29" t="s">
        <v>633</v>
      </c>
      <c r="B1073" s="29">
        <v>1</v>
      </c>
      <c r="C1073" s="29" t="s">
        <v>1050</v>
      </c>
      <c r="D1073" s="29" t="s">
        <v>1086</v>
      </c>
      <c r="E1073" s="29">
        <v>500</v>
      </c>
      <c r="G1073" s="29" t="s">
        <v>1035</v>
      </c>
      <c r="H1073" s="29">
        <v>1</v>
      </c>
      <c r="I1073" s="29">
        <v>4.43</v>
      </c>
      <c r="J1073" s="29">
        <v>2.2149999999999999</v>
      </c>
      <c r="K1073" s="29">
        <v>2.2149999999999999</v>
      </c>
      <c r="L1073" s="29" t="s">
        <v>1032</v>
      </c>
      <c r="M1073" s="29">
        <v>1</v>
      </c>
      <c r="N1073" s="29">
        <v>0.5</v>
      </c>
      <c r="O1073" s="29">
        <v>1</v>
      </c>
      <c r="P1073" s="29">
        <v>2.2149999999999999</v>
      </c>
      <c r="Q1073" s="29" t="s">
        <v>1033</v>
      </c>
    </row>
    <row r="1074" spans="1:17" x14ac:dyDescent="0.3">
      <c r="A1074" s="29" t="s">
        <v>633</v>
      </c>
      <c r="B1074" s="29">
        <v>1</v>
      </c>
      <c r="C1074" s="29" t="s">
        <v>1050</v>
      </c>
      <c r="D1074" s="29" t="s">
        <v>1086</v>
      </c>
      <c r="E1074" s="29">
        <v>500</v>
      </c>
      <c r="G1074" s="29" t="s">
        <v>1035</v>
      </c>
      <c r="H1074" s="29">
        <v>1</v>
      </c>
      <c r="I1074" s="29">
        <v>4.43</v>
      </c>
      <c r="J1074" s="29">
        <v>2.2149999999999999</v>
      </c>
      <c r="K1074" s="29">
        <v>2.2149999999999999</v>
      </c>
      <c r="L1074" s="29" t="s">
        <v>1032</v>
      </c>
      <c r="M1074" s="29">
        <v>1</v>
      </c>
      <c r="N1074" s="29">
        <v>0.5</v>
      </c>
      <c r="O1074" s="29">
        <v>1</v>
      </c>
      <c r="P1074" s="29">
        <v>2.2149999999999999</v>
      </c>
      <c r="Q1074" s="29" t="s">
        <v>1033</v>
      </c>
    </row>
    <row r="1075" spans="1:17" x14ac:dyDescent="0.3">
      <c r="A1075" s="29" t="s">
        <v>633</v>
      </c>
      <c r="B1075" s="29">
        <v>1</v>
      </c>
      <c r="C1075" s="29" t="s">
        <v>1050</v>
      </c>
      <c r="D1075" s="29" t="s">
        <v>1086</v>
      </c>
      <c r="E1075" s="29">
        <v>500</v>
      </c>
      <c r="G1075" s="29" t="s">
        <v>1035</v>
      </c>
      <c r="H1075" s="29">
        <v>1</v>
      </c>
      <c r="I1075" s="29">
        <v>4.43</v>
      </c>
      <c r="J1075" s="29">
        <v>2.2149999999999999</v>
      </c>
      <c r="K1075" s="29">
        <v>2.2149999999999999</v>
      </c>
      <c r="L1075" s="29" t="s">
        <v>1032</v>
      </c>
      <c r="M1075" s="29">
        <v>1</v>
      </c>
      <c r="N1075" s="29">
        <v>0.5</v>
      </c>
      <c r="O1075" s="29">
        <v>1</v>
      </c>
      <c r="P1075" s="29">
        <v>2.2149999999999999</v>
      </c>
      <c r="Q1075" s="29" t="s">
        <v>1033</v>
      </c>
    </row>
    <row r="1076" spans="1:17" x14ac:dyDescent="0.3">
      <c r="A1076" s="29" t="s">
        <v>633</v>
      </c>
      <c r="B1076" s="29">
        <v>1</v>
      </c>
      <c r="C1076" s="29" t="s">
        <v>1050</v>
      </c>
      <c r="D1076" s="29" t="s">
        <v>1086</v>
      </c>
      <c r="E1076" s="29">
        <v>500</v>
      </c>
      <c r="G1076" s="29" t="s">
        <v>1035</v>
      </c>
      <c r="H1076" s="29">
        <v>1</v>
      </c>
      <c r="I1076" s="29">
        <v>4.43</v>
      </c>
      <c r="J1076" s="29">
        <v>2.2149999999999999</v>
      </c>
      <c r="K1076" s="29">
        <v>2.2149999999999999</v>
      </c>
      <c r="L1076" s="29" t="s">
        <v>1032</v>
      </c>
      <c r="M1076" s="29">
        <v>1</v>
      </c>
      <c r="N1076" s="29">
        <v>0.5</v>
      </c>
      <c r="O1076" s="29">
        <v>1</v>
      </c>
      <c r="P1076" s="29">
        <v>2.2149999999999999</v>
      </c>
      <c r="Q1076" s="29" t="s">
        <v>1033</v>
      </c>
    </row>
    <row r="1077" spans="1:17" x14ac:dyDescent="0.3">
      <c r="A1077" s="29" t="s">
        <v>634</v>
      </c>
      <c r="B1077" s="29">
        <v>1</v>
      </c>
      <c r="C1077" s="29" t="s">
        <v>1050</v>
      </c>
      <c r="D1077" s="29" t="s">
        <v>1086</v>
      </c>
      <c r="E1077" s="29">
        <v>600</v>
      </c>
      <c r="G1077" s="29" t="s">
        <v>1035</v>
      </c>
      <c r="H1077" s="29">
        <v>1</v>
      </c>
      <c r="I1077" s="29">
        <v>4.43</v>
      </c>
      <c r="J1077" s="29">
        <v>2.6579999999999999</v>
      </c>
      <c r="K1077" s="29">
        <v>2.6579999999999999</v>
      </c>
      <c r="L1077" s="29" t="s">
        <v>1032</v>
      </c>
      <c r="M1077" s="29">
        <v>1</v>
      </c>
      <c r="N1077" s="29">
        <v>0.6</v>
      </c>
      <c r="O1077" s="29">
        <v>1</v>
      </c>
      <c r="P1077" s="29">
        <v>2.6579999999999999</v>
      </c>
      <c r="Q1077" s="29" t="s">
        <v>1033</v>
      </c>
    </row>
    <row r="1078" spans="1:17" x14ac:dyDescent="0.3">
      <c r="A1078" s="29" t="s">
        <v>635</v>
      </c>
      <c r="B1078" s="29">
        <v>1</v>
      </c>
      <c r="C1078" s="29" t="s">
        <v>1050</v>
      </c>
      <c r="D1078" s="29" t="s">
        <v>1086</v>
      </c>
      <c r="E1078" s="29">
        <v>800</v>
      </c>
      <c r="G1078" s="29" t="s">
        <v>1035</v>
      </c>
      <c r="H1078" s="29">
        <v>1</v>
      </c>
      <c r="I1078" s="29">
        <v>4.43</v>
      </c>
      <c r="J1078" s="29">
        <v>3.544</v>
      </c>
      <c r="K1078" s="29">
        <v>3.544</v>
      </c>
      <c r="L1078" s="29" t="s">
        <v>1032</v>
      </c>
      <c r="M1078" s="29">
        <v>1</v>
      </c>
      <c r="N1078" s="29">
        <v>0.8</v>
      </c>
      <c r="O1078" s="29">
        <v>1</v>
      </c>
      <c r="P1078" s="29">
        <v>3.544</v>
      </c>
      <c r="Q1078" s="29" t="s">
        <v>1033</v>
      </c>
    </row>
    <row r="1079" spans="1:17" x14ac:dyDescent="0.3">
      <c r="A1079" s="29" t="s">
        <v>636</v>
      </c>
      <c r="B1079" s="29">
        <v>1</v>
      </c>
      <c r="C1079" s="29" t="s">
        <v>1050</v>
      </c>
      <c r="D1079" s="29" t="s">
        <v>1086</v>
      </c>
      <c r="E1079" s="29">
        <v>700</v>
      </c>
      <c r="G1079" s="29" t="s">
        <v>1035</v>
      </c>
      <c r="H1079" s="29">
        <v>1</v>
      </c>
      <c r="I1079" s="29">
        <v>4.43</v>
      </c>
      <c r="J1079" s="29">
        <v>3.1009999999999995</v>
      </c>
      <c r="K1079" s="29">
        <v>3.1009999999999995</v>
      </c>
      <c r="L1079" s="29" t="s">
        <v>1032</v>
      </c>
      <c r="M1079" s="29">
        <v>1</v>
      </c>
      <c r="N1079" s="29">
        <v>0.7</v>
      </c>
      <c r="O1079" s="29">
        <v>1</v>
      </c>
      <c r="P1079" s="29">
        <v>3.1009999999999995</v>
      </c>
      <c r="Q1079" s="29" t="s">
        <v>1033</v>
      </c>
    </row>
    <row r="1080" spans="1:17" x14ac:dyDescent="0.3">
      <c r="A1080" s="29" t="s">
        <v>637</v>
      </c>
      <c r="B1080" s="29">
        <v>1</v>
      </c>
      <c r="C1080" s="29" t="s">
        <v>1050</v>
      </c>
      <c r="D1080" s="29" t="s">
        <v>1087</v>
      </c>
      <c r="E1080" s="29">
        <v>500</v>
      </c>
      <c r="G1080" s="29" t="s">
        <v>1035</v>
      </c>
      <c r="H1080" s="29">
        <v>1</v>
      </c>
      <c r="I1080" s="29">
        <v>9.9600000000000009</v>
      </c>
      <c r="J1080" s="29">
        <v>4.9800000000000004</v>
      </c>
      <c r="K1080" s="29">
        <v>4.9800000000000004</v>
      </c>
      <c r="L1080" s="29" t="s">
        <v>1032</v>
      </c>
      <c r="M1080" s="29">
        <v>1</v>
      </c>
      <c r="N1080" s="29">
        <v>0.5</v>
      </c>
      <c r="O1080" s="29">
        <v>1</v>
      </c>
      <c r="P1080" s="29">
        <v>4.9800000000000004</v>
      </c>
      <c r="Q1080" s="29" t="s">
        <v>1033</v>
      </c>
    </row>
    <row r="1081" spans="1:17" x14ac:dyDescent="0.3">
      <c r="A1081" s="29" t="s">
        <v>638</v>
      </c>
      <c r="B1081" s="29">
        <v>1</v>
      </c>
      <c r="C1081" s="29" t="s">
        <v>1050</v>
      </c>
      <c r="D1081" s="29" t="s">
        <v>1087</v>
      </c>
      <c r="E1081" s="29">
        <v>700</v>
      </c>
      <c r="G1081" s="29" t="s">
        <v>1035</v>
      </c>
      <c r="H1081" s="29">
        <v>1</v>
      </c>
      <c r="I1081" s="29">
        <v>9.9600000000000009</v>
      </c>
      <c r="J1081" s="29">
        <v>6.9720000000000004</v>
      </c>
      <c r="K1081" s="29">
        <v>6.9720000000000004</v>
      </c>
      <c r="L1081" s="29" t="s">
        <v>1032</v>
      </c>
      <c r="M1081" s="29">
        <v>1</v>
      </c>
      <c r="N1081" s="29">
        <v>0.7</v>
      </c>
      <c r="O1081" s="29">
        <v>1</v>
      </c>
      <c r="P1081" s="29">
        <v>6.9720000000000004</v>
      </c>
      <c r="Q1081" s="29" t="s">
        <v>1033</v>
      </c>
    </row>
    <row r="1082" spans="1:17" x14ac:dyDescent="0.3">
      <c r="A1082" s="29" t="s">
        <v>639</v>
      </c>
      <c r="B1082" s="29">
        <v>1</v>
      </c>
      <c r="C1082" s="29" t="s">
        <v>1050</v>
      </c>
      <c r="D1082" s="29" t="s">
        <v>1087</v>
      </c>
      <c r="E1082" s="29">
        <v>1000</v>
      </c>
      <c r="G1082" s="29" t="s">
        <v>1035</v>
      </c>
      <c r="H1082" s="29">
        <v>1</v>
      </c>
      <c r="I1082" s="29">
        <v>9.9600000000000009</v>
      </c>
      <c r="J1082" s="29">
        <v>9.9600000000000009</v>
      </c>
      <c r="K1082" s="29">
        <v>9.9600000000000009</v>
      </c>
      <c r="L1082" s="29" t="s">
        <v>1032</v>
      </c>
      <c r="M1082" s="29">
        <v>1</v>
      </c>
      <c r="N1082" s="29">
        <v>1</v>
      </c>
      <c r="O1082" s="29">
        <v>1</v>
      </c>
      <c r="P1082" s="29">
        <v>9.9600000000000009</v>
      </c>
      <c r="Q1082" s="29" t="s">
        <v>1033</v>
      </c>
    </row>
    <row r="1083" spans="1:17" x14ac:dyDescent="0.3">
      <c r="A1083" s="29" t="s">
        <v>640</v>
      </c>
      <c r="B1083" s="29">
        <v>1</v>
      </c>
      <c r="C1083" s="29" t="s">
        <v>1050</v>
      </c>
      <c r="D1083" s="29" t="s">
        <v>1087</v>
      </c>
      <c r="E1083" s="29">
        <v>500</v>
      </c>
      <c r="G1083" s="29" t="s">
        <v>1035</v>
      </c>
      <c r="H1083" s="29">
        <v>1</v>
      </c>
      <c r="I1083" s="29">
        <v>9.9600000000000009</v>
      </c>
      <c r="J1083" s="29">
        <v>4.9800000000000004</v>
      </c>
      <c r="K1083" s="29">
        <v>4.9800000000000004</v>
      </c>
      <c r="L1083" s="29" t="s">
        <v>1032</v>
      </c>
      <c r="M1083" s="29">
        <v>1</v>
      </c>
      <c r="N1083" s="29">
        <v>0.5</v>
      </c>
      <c r="O1083" s="29">
        <v>1</v>
      </c>
      <c r="P1083" s="29">
        <v>4.9800000000000004</v>
      </c>
      <c r="Q1083" s="29" t="s">
        <v>1033</v>
      </c>
    </row>
    <row r="1084" spans="1:17" x14ac:dyDescent="0.3">
      <c r="A1084" s="29" t="s">
        <v>641</v>
      </c>
      <c r="B1084" s="29">
        <v>1</v>
      </c>
      <c r="C1084" s="29" t="s">
        <v>1050</v>
      </c>
      <c r="D1084" s="29" t="s">
        <v>1087</v>
      </c>
      <c r="E1084" s="29">
        <v>600</v>
      </c>
      <c r="G1084" s="29" t="s">
        <v>1035</v>
      </c>
      <c r="H1084" s="29">
        <v>1</v>
      </c>
      <c r="I1084" s="29">
        <v>9.9600000000000009</v>
      </c>
      <c r="J1084" s="29">
        <v>5.976</v>
      </c>
      <c r="K1084" s="29">
        <v>5.976</v>
      </c>
      <c r="L1084" s="29" t="s">
        <v>1032</v>
      </c>
      <c r="M1084" s="29">
        <v>1</v>
      </c>
      <c r="N1084" s="29">
        <v>0.6</v>
      </c>
      <c r="O1084" s="29">
        <v>1</v>
      </c>
      <c r="P1084" s="29">
        <v>5.976</v>
      </c>
      <c r="Q1084" s="29" t="s">
        <v>1033</v>
      </c>
    </row>
    <row r="1085" spans="1:17" x14ac:dyDescent="0.3">
      <c r="A1085" s="29" t="s">
        <v>641</v>
      </c>
      <c r="B1085" s="29">
        <v>1</v>
      </c>
      <c r="C1085" s="29" t="s">
        <v>1050</v>
      </c>
      <c r="D1085" s="29" t="s">
        <v>1087</v>
      </c>
      <c r="E1085" s="29">
        <v>600</v>
      </c>
      <c r="G1085" s="29" t="s">
        <v>1035</v>
      </c>
      <c r="H1085" s="29">
        <v>1</v>
      </c>
      <c r="I1085" s="29">
        <v>9.9600000000000009</v>
      </c>
      <c r="J1085" s="29">
        <v>5.976</v>
      </c>
      <c r="K1085" s="29">
        <v>5.976</v>
      </c>
      <c r="L1085" s="29" t="s">
        <v>1032</v>
      </c>
      <c r="M1085" s="29">
        <v>1</v>
      </c>
      <c r="N1085" s="29">
        <v>0.6</v>
      </c>
      <c r="O1085" s="29">
        <v>1</v>
      </c>
      <c r="P1085" s="29">
        <v>5.976</v>
      </c>
      <c r="Q1085" s="29" t="s">
        <v>1033</v>
      </c>
    </row>
    <row r="1086" spans="1:17" x14ac:dyDescent="0.3">
      <c r="A1086" s="29" t="s">
        <v>642</v>
      </c>
      <c r="B1086" s="29">
        <v>1</v>
      </c>
      <c r="C1086" s="29" t="s">
        <v>1050</v>
      </c>
      <c r="D1086" s="29" t="s">
        <v>1087</v>
      </c>
      <c r="E1086" s="29">
        <v>800</v>
      </c>
      <c r="G1086" s="29" t="s">
        <v>1035</v>
      </c>
      <c r="H1086" s="29">
        <v>1</v>
      </c>
      <c r="I1086" s="29">
        <v>9.9600000000000009</v>
      </c>
      <c r="J1086" s="29">
        <v>7.9680000000000009</v>
      </c>
      <c r="K1086" s="29">
        <v>7.9680000000000009</v>
      </c>
      <c r="L1086" s="29" t="s">
        <v>1032</v>
      </c>
      <c r="M1086" s="29">
        <v>1</v>
      </c>
      <c r="N1086" s="29">
        <v>0.8</v>
      </c>
      <c r="O1086" s="29">
        <v>1</v>
      </c>
      <c r="P1086" s="29">
        <v>7.9680000000000009</v>
      </c>
      <c r="Q1086" s="29" t="s">
        <v>1033</v>
      </c>
    </row>
    <row r="1087" spans="1:17" x14ac:dyDescent="0.3">
      <c r="A1087" s="29" t="s">
        <v>642</v>
      </c>
      <c r="B1087" s="29">
        <v>1</v>
      </c>
      <c r="C1087" s="29" t="s">
        <v>1050</v>
      </c>
      <c r="D1087" s="29" t="s">
        <v>1087</v>
      </c>
      <c r="E1087" s="29">
        <v>800</v>
      </c>
      <c r="G1087" s="29" t="s">
        <v>1035</v>
      </c>
      <c r="H1087" s="29">
        <v>1</v>
      </c>
      <c r="I1087" s="29">
        <v>9.9600000000000009</v>
      </c>
      <c r="J1087" s="29">
        <v>7.9680000000000009</v>
      </c>
      <c r="K1087" s="29">
        <v>7.9680000000000009</v>
      </c>
      <c r="L1087" s="29" t="s">
        <v>1032</v>
      </c>
      <c r="M1087" s="29">
        <v>1</v>
      </c>
      <c r="N1087" s="29">
        <v>0.8</v>
      </c>
      <c r="O1087" s="29">
        <v>1</v>
      </c>
      <c r="P1087" s="29">
        <v>7.9680000000000009</v>
      </c>
      <c r="Q1087" s="29" t="s">
        <v>1033</v>
      </c>
    </row>
    <row r="1088" spans="1:17" x14ac:dyDescent="0.3">
      <c r="A1088" s="29" t="s">
        <v>643</v>
      </c>
      <c r="B1088" s="29">
        <v>1</v>
      </c>
      <c r="C1088" s="29" t="s">
        <v>1050</v>
      </c>
      <c r="D1088" s="29" t="s">
        <v>1087</v>
      </c>
      <c r="E1088" s="29">
        <v>1300</v>
      </c>
      <c r="G1088" s="29" t="s">
        <v>1035</v>
      </c>
      <c r="H1088" s="29">
        <v>1</v>
      </c>
      <c r="I1088" s="29">
        <v>9.9600000000000009</v>
      </c>
      <c r="J1088" s="29">
        <v>12.948000000000002</v>
      </c>
      <c r="K1088" s="29">
        <v>12.948000000000002</v>
      </c>
      <c r="L1088" s="29" t="s">
        <v>1032</v>
      </c>
      <c r="M1088" s="29">
        <v>1</v>
      </c>
      <c r="N1088" s="29">
        <v>1.3</v>
      </c>
      <c r="O1088" s="29">
        <v>1</v>
      </c>
      <c r="P1088" s="29">
        <v>12.948000000000002</v>
      </c>
      <c r="Q1088" s="29" t="s">
        <v>1033</v>
      </c>
    </row>
    <row r="1089" spans="1:17" x14ac:dyDescent="0.3">
      <c r="A1089" s="29" t="s">
        <v>643</v>
      </c>
      <c r="B1089" s="29">
        <v>1</v>
      </c>
      <c r="C1089" s="29" t="s">
        <v>1050</v>
      </c>
      <c r="D1089" s="29" t="s">
        <v>1087</v>
      </c>
      <c r="E1089" s="29">
        <v>1300</v>
      </c>
      <c r="G1089" s="29" t="s">
        <v>1035</v>
      </c>
      <c r="H1089" s="29">
        <v>1</v>
      </c>
      <c r="I1089" s="29">
        <v>9.9600000000000009</v>
      </c>
      <c r="J1089" s="29">
        <v>12.948000000000002</v>
      </c>
      <c r="K1089" s="29">
        <v>12.948000000000002</v>
      </c>
      <c r="L1089" s="29" t="s">
        <v>1032</v>
      </c>
      <c r="M1089" s="29">
        <v>1</v>
      </c>
      <c r="N1089" s="29">
        <v>1.3</v>
      </c>
      <c r="O1089" s="29">
        <v>1</v>
      </c>
      <c r="P1089" s="29">
        <v>12.948000000000002</v>
      </c>
      <c r="Q1089" s="29" t="s">
        <v>1033</v>
      </c>
    </row>
    <row r="1090" spans="1:17" x14ac:dyDescent="0.3">
      <c r="A1090" s="29" t="s">
        <v>644</v>
      </c>
      <c r="B1090" s="29">
        <v>1</v>
      </c>
      <c r="C1090" s="29" t="s">
        <v>1050</v>
      </c>
      <c r="D1090" s="29" t="s">
        <v>1087</v>
      </c>
      <c r="E1090" s="29">
        <v>1400</v>
      </c>
      <c r="G1090" s="29" t="s">
        <v>1035</v>
      </c>
      <c r="H1090" s="29">
        <v>1</v>
      </c>
      <c r="I1090" s="29">
        <v>9.9600000000000009</v>
      </c>
      <c r="J1090" s="29">
        <v>13.944000000000001</v>
      </c>
      <c r="K1090" s="29">
        <v>13.944000000000001</v>
      </c>
      <c r="L1090" s="29" t="s">
        <v>1032</v>
      </c>
      <c r="M1090" s="29">
        <v>1</v>
      </c>
      <c r="N1090" s="29">
        <v>1.4</v>
      </c>
      <c r="O1090" s="29">
        <v>1</v>
      </c>
      <c r="P1090" s="29">
        <v>13.944000000000001</v>
      </c>
      <c r="Q1090" s="29" t="s">
        <v>1033</v>
      </c>
    </row>
    <row r="1091" spans="1:17" x14ac:dyDescent="0.3">
      <c r="A1091" s="29" t="s">
        <v>645</v>
      </c>
      <c r="B1091" s="29">
        <v>1</v>
      </c>
      <c r="C1091" s="29" t="s">
        <v>1050</v>
      </c>
      <c r="D1091" s="29" t="s">
        <v>1087</v>
      </c>
      <c r="E1091" s="29">
        <v>600</v>
      </c>
      <c r="G1091" s="29" t="s">
        <v>1035</v>
      </c>
      <c r="H1091" s="29">
        <v>1</v>
      </c>
      <c r="I1091" s="29">
        <v>9.9600000000000009</v>
      </c>
      <c r="J1091" s="29">
        <v>5.976</v>
      </c>
      <c r="K1091" s="29">
        <v>5.976</v>
      </c>
      <c r="L1091" s="29" t="s">
        <v>1032</v>
      </c>
      <c r="M1091" s="29">
        <v>1</v>
      </c>
      <c r="N1091" s="29">
        <v>0.6</v>
      </c>
      <c r="O1091" s="29">
        <v>1</v>
      </c>
      <c r="P1091" s="29">
        <v>5.976</v>
      </c>
      <c r="Q1091" s="29" t="s">
        <v>1033</v>
      </c>
    </row>
    <row r="1092" spans="1:17" x14ac:dyDescent="0.3">
      <c r="A1092" s="29" t="s">
        <v>646</v>
      </c>
      <c r="B1092" s="29">
        <v>1</v>
      </c>
      <c r="C1092" s="29" t="s">
        <v>1050</v>
      </c>
      <c r="D1092" s="29" t="s">
        <v>1087</v>
      </c>
      <c r="E1092" s="29">
        <v>700</v>
      </c>
      <c r="G1092" s="29" t="s">
        <v>1035</v>
      </c>
      <c r="H1092" s="29">
        <v>1</v>
      </c>
      <c r="I1092" s="29">
        <v>9.9600000000000009</v>
      </c>
      <c r="J1092" s="29">
        <v>6.9720000000000004</v>
      </c>
      <c r="K1092" s="29">
        <v>6.9720000000000004</v>
      </c>
      <c r="L1092" s="29" t="s">
        <v>1032</v>
      </c>
      <c r="M1092" s="29">
        <v>1</v>
      </c>
      <c r="N1092" s="29">
        <v>0.7</v>
      </c>
      <c r="O1092" s="29">
        <v>1</v>
      </c>
      <c r="P1092" s="29">
        <v>6.9720000000000004</v>
      </c>
      <c r="Q1092" s="29" t="s">
        <v>1033</v>
      </c>
    </row>
    <row r="1093" spans="1:17" x14ac:dyDescent="0.3">
      <c r="A1093" s="29" t="s">
        <v>647</v>
      </c>
      <c r="B1093" s="29">
        <v>1</v>
      </c>
      <c r="C1093" s="29" t="s">
        <v>1050</v>
      </c>
      <c r="D1093" s="29" t="s">
        <v>1087</v>
      </c>
      <c r="E1093" s="29">
        <v>900</v>
      </c>
      <c r="G1093" s="29" t="s">
        <v>1035</v>
      </c>
      <c r="H1093" s="29">
        <v>1</v>
      </c>
      <c r="I1093" s="29">
        <v>9.9600000000000009</v>
      </c>
      <c r="J1093" s="29">
        <v>8.9640000000000004</v>
      </c>
      <c r="K1093" s="29">
        <v>8.9640000000000004</v>
      </c>
      <c r="L1093" s="29" t="s">
        <v>1032</v>
      </c>
      <c r="M1093" s="29">
        <v>1</v>
      </c>
      <c r="N1093" s="29">
        <v>0.9</v>
      </c>
      <c r="O1093" s="29">
        <v>1</v>
      </c>
      <c r="P1093" s="29">
        <v>8.9640000000000004</v>
      </c>
      <c r="Q1093" s="29" t="s">
        <v>1033</v>
      </c>
    </row>
    <row r="1094" spans="1:17" x14ac:dyDescent="0.3">
      <c r="A1094" s="29" t="s">
        <v>648</v>
      </c>
      <c r="B1094" s="29">
        <v>1</v>
      </c>
      <c r="C1094" s="29" t="s">
        <v>1050</v>
      </c>
      <c r="D1094" s="29" t="s">
        <v>1087</v>
      </c>
      <c r="E1094" s="29">
        <v>900</v>
      </c>
      <c r="G1094" s="29" t="s">
        <v>1035</v>
      </c>
      <c r="H1094" s="29">
        <v>1</v>
      </c>
      <c r="I1094" s="29">
        <v>9.9600000000000009</v>
      </c>
      <c r="J1094" s="29">
        <v>8.9640000000000004</v>
      </c>
      <c r="K1094" s="29">
        <v>8.9640000000000004</v>
      </c>
      <c r="L1094" s="29" t="s">
        <v>1032</v>
      </c>
      <c r="M1094" s="29">
        <v>1</v>
      </c>
      <c r="N1094" s="29">
        <v>0.9</v>
      </c>
      <c r="O1094" s="29">
        <v>1</v>
      </c>
      <c r="P1094" s="29">
        <v>8.9640000000000004</v>
      </c>
      <c r="Q1094" s="29" t="s">
        <v>1033</v>
      </c>
    </row>
    <row r="1095" spans="1:17" x14ac:dyDescent="0.3">
      <c r="A1095" s="29" t="s">
        <v>649</v>
      </c>
      <c r="B1095" s="29">
        <v>1</v>
      </c>
      <c r="C1095" s="29" t="s">
        <v>1050</v>
      </c>
      <c r="D1095" s="29" t="s">
        <v>1087</v>
      </c>
      <c r="E1095" s="29">
        <v>1300</v>
      </c>
      <c r="G1095" s="29" t="s">
        <v>1035</v>
      </c>
      <c r="H1095" s="29">
        <v>1</v>
      </c>
      <c r="I1095" s="29">
        <v>9.9600000000000009</v>
      </c>
      <c r="J1095" s="29">
        <v>12.948000000000002</v>
      </c>
      <c r="K1095" s="29">
        <v>12.948000000000002</v>
      </c>
      <c r="L1095" s="29" t="s">
        <v>1032</v>
      </c>
      <c r="M1095" s="29">
        <v>1</v>
      </c>
      <c r="N1095" s="29">
        <v>1.3</v>
      </c>
      <c r="O1095" s="29">
        <v>1</v>
      </c>
      <c r="P1095" s="29">
        <v>12.948000000000002</v>
      </c>
      <c r="Q1095" s="29" t="s">
        <v>1033</v>
      </c>
    </row>
    <row r="1096" spans="1:17" x14ac:dyDescent="0.3">
      <c r="A1096" s="29" t="s">
        <v>650</v>
      </c>
      <c r="B1096" s="29">
        <v>1</v>
      </c>
      <c r="C1096" s="29" t="s">
        <v>1050</v>
      </c>
      <c r="D1096" s="29" t="s">
        <v>1087</v>
      </c>
      <c r="E1096" s="29">
        <v>900</v>
      </c>
      <c r="G1096" s="29" t="s">
        <v>1035</v>
      </c>
      <c r="H1096" s="29">
        <v>1</v>
      </c>
      <c r="I1096" s="29">
        <v>9.9600000000000009</v>
      </c>
      <c r="J1096" s="29">
        <v>8.9640000000000004</v>
      </c>
      <c r="K1096" s="29">
        <v>8.9640000000000004</v>
      </c>
      <c r="L1096" s="29" t="s">
        <v>1032</v>
      </c>
      <c r="M1096" s="29">
        <v>1</v>
      </c>
      <c r="N1096" s="29">
        <v>0.9</v>
      </c>
      <c r="O1096" s="29">
        <v>1</v>
      </c>
      <c r="P1096" s="29">
        <v>8.9640000000000004</v>
      </c>
      <c r="Q1096" s="29" t="s">
        <v>1033</v>
      </c>
    </row>
    <row r="1097" spans="1:17" x14ac:dyDescent="0.3">
      <c r="A1097" s="29" t="s">
        <v>651</v>
      </c>
      <c r="B1097" s="29">
        <v>1</v>
      </c>
      <c r="C1097" s="29" t="s">
        <v>1050</v>
      </c>
      <c r="D1097" s="29" t="s">
        <v>1087</v>
      </c>
      <c r="E1097" s="29">
        <v>1000</v>
      </c>
      <c r="G1097" s="29" t="s">
        <v>1035</v>
      </c>
      <c r="H1097" s="29">
        <v>1</v>
      </c>
      <c r="I1097" s="29">
        <v>9.9600000000000009</v>
      </c>
      <c r="J1097" s="29">
        <v>9.9600000000000009</v>
      </c>
      <c r="K1097" s="29">
        <v>9.9600000000000009</v>
      </c>
      <c r="L1097" s="29" t="s">
        <v>1032</v>
      </c>
      <c r="M1097" s="29">
        <v>1</v>
      </c>
      <c r="N1097" s="29">
        <v>1</v>
      </c>
      <c r="O1097" s="29">
        <v>1</v>
      </c>
      <c r="P1097" s="29">
        <v>9.9600000000000009</v>
      </c>
      <c r="Q1097" s="29" t="s">
        <v>1033</v>
      </c>
    </row>
    <row r="1098" spans="1:17" x14ac:dyDescent="0.3">
      <c r="A1098" s="29" t="s">
        <v>652</v>
      </c>
      <c r="B1098" s="29">
        <v>1</v>
      </c>
      <c r="C1098" s="29" t="s">
        <v>1050</v>
      </c>
      <c r="D1098" s="29" t="s">
        <v>1087</v>
      </c>
      <c r="E1098" s="29">
        <v>1000</v>
      </c>
      <c r="G1098" s="29" t="s">
        <v>1035</v>
      </c>
      <c r="H1098" s="29">
        <v>1</v>
      </c>
      <c r="I1098" s="29">
        <v>9.9600000000000009</v>
      </c>
      <c r="J1098" s="29">
        <v>9.9600000000000009</v>
      </c>
      <c r="K1098" s="29">
        <v>9.9600000000000009</v>
      </c>
      <c r="L1098" s="29" t="s">
        <v>1032</v>
      </c>
      <c r="M1098" s="29">
        <v>1</v>
      </c>
      <c r="N1098" s="29">
        <v>1</v>
      </c>
      <c r="O1098" s="29">
        <v>1</v>
      </c>
      <c r="P1098" s="29">
        <v>9.9600000000000009</v>
      </c>
      <c r="Q1098" s="29" t="s">
        <v>1033</v>
      </c>
    </row>
    <row r="1099" spans="1:17" x14ac:dyDescent="0.3">
      <c r="A1099" s="29" t="s">
        <v>652</v>
      </c>
      <c r="B1099" s="29">
        <v>1</v>
      </c>
      <c r="C1099" s="29" t="s">
        <v>1050</v>
      </c>
      <c r="D1099" s="29" t="s">
        <v>1087</v>
      </c>
      <c r="E1099" s="29">
        <v>1000</v>
      </c>
      <c r="G1099" s="29" t="s">
        <v>1035</v>
      </c>
      <c r="H1099" s="29">
        <v>1</v>
      </c>
      <c r="I1099" s="29">
        <v>9.9600000000000009</v>
      </c>
      <c r="J1099" s="29">
        <v>9.9600000000000009</v>
      </c>
      <c r="K1099" s="29">
        <v>9.9600000000000009</v>
      </c>
      <c r="L1099" s="29" t="s">
        <v>1032</v>
      </c>
      <c r="M1099" s="29">
        <v>1</v>
      </c>
      <c r="N1099" s="29">
        <v>1</v>
      </c>
      <c r="O1099" s="29">
        <v>1</v>
      </c>
      <c r="P1099" s="29">
        <v>9.9600000000000009</v>
      </c>
      <c r="Q1099" s="29" t="s">
        <v>1033</v>
      </c>
    </row>
    <row r="1100" spans="1:17" x14ac:dyDescent="0.3">
      <c r="A1100" s="29" t="s">
        <v>653</v>
      </c>
      <c r="B1100" s="29">
        <v>1</v>
      </c>
      <c r="C1100" s="29" t="s">
        <v>1050</v>
      </c>
      <c r="D1100" s="29" t="s">
        <v>1087</v>
      </c>
      <c r="E1100" s="29">
        <v>1100</v>
      </c>
      <c r="G1100" s="29" t="s">
        <v>1035</v>
      </c>
      <c r="H1100" s="29">
        <v>1</v>
      </c>
      <c r="I1100" s="29">
        <v>9.9600000000000009</v>
      </c>
      <c r="J1100" s="29">
        <v>10.956000000000001</v>
      </c>
      <c r="K1100" s="29">
        <v>10.956000000000001</v>
      </c>
      <c r="L1100" s="29" t="s">
        <v>1032</v>
      </c>
      <c r="M1100" s="29">
        <v>1</v>
      </c>
      <c r="N1100" s="29">
        <v>1.1000000000000001</v>
      </c>
      <c r="O1100" s="29">
        <v>1</v>
      </c>
      <c r="P1100" s="29">
        <v>10.956000000000001</v>
      </c>
      <c r="Q1100" s="29" t="s">
        <v>1033</v>
      </c>
    </row>
    <row r="1101" spans="1:17" x14ac:dyDescent="0.3">
      <c r="A1101" s="29" t="s">
        <v>654</v>
      </c>
      <c r="B1101" s="29">
        <v>1</v>
      </c>
      <c r="C1101" s="29" t="s">
        <v>1050</v>
      </c>
      <c r="D1101" s="29" t="s">
        <v>1087</v>
      </c>
      <c r="E1101" s="29">
        <v>1085</v>
      </c>
      <c r="G1101" s="29" t="s">
        <v>1035</v>
      </c>
      <c r="H1101" s="29">
        <v>1</v>
      </c>
      <c r="I1101" s="29">
        <v>9.9600000000000009</v>
      </c>
      <c r="J1101" s="29">
        <v>10.806600000000001</v>
      </c>
      <c r="K1101" s="29">
        <v>10.806600000000001</v>
      </c>
      <c r="L1101" s="29" t="s">
        <v>1032</v>
      </c>
      <c r="M1101" s="29">
        <v>1</v>
      </c>
      <c r="N1101" s="29">
        <v>1.085</v>
      </c>
      <c r="O1101" s="29">
        <v>1</v>
      </c>
      <c r="P1101" s="29">
        <v>10.806600000000001</v>
      </c>
      <c r="Q1101" s="29" t="s">
        <v>1033</v>
      </c>
    </row>
    <row r="1102" spans="1:17" x14ac:dyDescent="0.3">
      <c r="A1102" s="29" t="s">
        <v>655</v>
      </c>
      <c r="B1102" s="29">
        <v>1</v>
      </c>
      <c r="C1102" s="29" t="s">
        <v>1050</v>
      </c>
      <c r="D1102" s="29" t="s">
        <v>1087</v>
      </c>
      <c r="E1102" s="29">
        <v>1185</v>
      </c>
      <c r="G1102" s="29" t="s">
        <v>1035</v>
      </c>
      <c r="H1102" s="29">
        <v>1</v>
      </c>
      <c r="I1102" s="29">
        <v>9.9600000000000009</v>
      </c>
      <c r="J1102" s="29">
        <v>11.802600000000002</v>
      </c>
      <c r="K1102" s="29">
        <v>11.802600000000002</v>
      </c>
      <c r="L1102" s="29" t="s">
        <v>1032</v>
      </c>
      <c r="M1102" s="29">
        <v>1</v>
      </c>
      <c r="N1102" s="29">
        <v>1.1850000000000001</v>
      </c>
      <c r="O1102" s="29">
        <v>1</v>
      </c>
      <c r="P1102" s="29">
        <v>11.802600000000002</v>
      </c>
      <c r="Q1102" s="29" t="s">
        <v>1033</v>
      </c>
    </row>
    <row r="1103" spans="1:17" x14ac:dyDescent="0.3">
      <c r="A1103" s="29" t="s">
        <v>656</v>
      </c>
      <c r="B1103" s="29">
        <v>1</v>
      </c>
      <c r="C1103" s="29" t="s">
        <v>1050</v>
      </c>
      <c r="D1103" s="29" t="s">
        <v>1087</v>
      </c>
      <c r="E1103" s="29">
        <v>1400</v>
      </c>
      <c r="G1103" s="29" t="s">
        <v>1035</v>
      </c>
      <c r="H1103" s="29">
        <v>1</v>
      </c>
      <c r="I1103" s="29">
        <v>9.9600000000000009</v>
      </c>
      <c r="J1103" s="29">
        <v>13.944000000000001</v>
      </c>
      <c r="K1103" s="29">
        <v>13.944000000000001</v>
      </c>
      <c r="L1103" s="29" t="s">
        <v>1032</v>
      </c>
      <c r="M1103" s="29">
        <v>1</v>
      </c>
      <c r="N1103" s="29">
        <v>1.4</v>
      </c>
      <c r="O1103" s="29">
        <v>1</v>
      </c>
      <c r="P1103" s="29">
        <v>13.944000000000001</v>
      </c>
      <c r="Q1103" s="29" t="s">
        <v>1033</v>
      </c>
    </row>
    <row r="1104" spans="1:17" x14ac:dyDescent="0.3">
      <c r="A1104" s="29" t="s">
        <v>657</v>
      </c>
      <c r="B1104" s="29">
        <v>1</v>
      </c>
      <c r="C1104" s="29" t="s">
        <v>1050</v>
      </c>
      <c r="D1104" s="29" t="s">
        <v>1087</v>
      </c>
      <c r="E1104" s="29">
        <v>1700</v>
      </c>
      <c r="G1104" s="29" t="s">
        <v>1035</v>
      </c>
      <c r="H1104" s="29">
        <v>1</v>
      </c>
      <c r="I1104" s="29">
        <v>9.9600000000000009</v>
      </c>
      <c r="J1104" s="29">
        <v>16.932000000000002</v>
      </c>
      <c r="K1104" s="29">
        <v>16.932000000000002</v>
      </c>
      <c r="L1104" s="29" t="s">
        <v>1032</v>
      </c>
      <c r="M1104" s="29">
        <v>1</v>
      </c>
      <c r="N1104" s="29">
        <v>1.7</v>
      </c>
      <c r="O1104" s="29">
        <v>1</v>
      </c>
      <c r="P1104" s="29">
        <v>16.932000000000002</v>
      </c>
      <c r="Q1104" s="29" t="s">
        <v>1033</v>
      </c>
    </row>
    <row r="1105" spans="1:17" x14ac:dyDescent="0.3">
      <c r="A1105" s="29" t="s">
        <v>658</v>
      </c>
      <c r="B1105" s="29">
        <v>1</v>
      </c>
      <c r="C1105" s="29" t="s">
        <v>1050</v>
      </c>
      <c r="D1105" s="29" t="s">
        <v>1087</v>
      </c>
      <c r="E1105" s="29">
        <v>1200</v>
      </c>
      <c r="G1105" s="29" t="s">
        <v>1035</v>
      </c>
      <c r="H1105" s="29">
        <v>1</v>
      </c>
      <c r="I1105" s="29">
        <v>9.9600000000000009</v>
      </c>
      <c r="J1105" s="29">
        <v>11.952</v>
      </c>
      <c r="K1105" s="29">
        <v>11.952</v>
      </c>
      <c r="L1105" s="29" t="s">
        <v>1032</v>
      </c>
      <c r="M1105" s="29">
        <v>1</v>
      </c>
      <c r="N1105" s="29">
        <v>1.2</v>
      </c>
      <c r="O1105" s="29">
        <v>1</v>
      </c>
      <c r="P1105" s="29">
        <v>11.952</v>
      </c>
      <c r="Q1105" s="29" t="s">
        <v>1033</v>
      </c>
    </row>
    <row r="1106" spans="1:17" x14ac:dyDescent="0.3">
      <c r="A1106" s="29" t="s">
        <v>658</v>
      </c>
      <c r="B1106" s="29">
        <v>1</v>
      </c>
      <c r="C1106" s="29" t="s">
        <v>1050</v>
      </c>
      <c r="D1106" s="29" t="s">
        <v>1087</v>
      </c>
      <c r="E1106" s="29">
        <v>1200</v>
      </c>
      <c r="G1106" s="29" t="s">
        <v>1035</v>
      </c>
      <c r="H1106" s="29">
        <v>1</v>
      </c>
      <c r="I1106" s="29">
        <v>9.9600000000000009</v>
      </c>
      <c r="J1106" s="29">
        <v>11.952</v>
      </c>
      <c r="K1106" s="29">
        <v>11.952</v>
      </c>
      <c r="L1106" s="29" t="s">
        <v>1032</v>
      </c>
      <c r="M1106" s="29">
        <v>1</v>
      </c>
      <c r="N1106" s="29">
        <v>1.2</v>
      </c>
      <c r="O1106" s="29">
        <v>1</v>
      </c>
      <c r="P1106" s="29">
        <v>11.952</v>
      </c>
      <c r="Q1106" s="29" t="s">
        <v>1033</v>
      </c>
    </row>
    <row r="1107" spans="1:17" x14ac:dyDescent="0.3">
      <c r="A1107" s="29" t="s">
        <v>659</v>
      </c>
      <c r="B1107" s="29">
        <v>1</v>
      </c>
      <c r="C1107" s="29" t="s">
        <v>1050</v>
      </c>
      <c r="D1107" s="29" t="s">
        <v>1087</v>
      </c>
      <c r="E1107" s="29">
        <v>1400</v>
      </c>
      <c r="G1107" s="29" t="s">
        <v>1035</v>
      </c>
      <c r="H1107" s="29">
        <v>1</v>
      </c>
      <c r="I1107" s="29">
        <v>9.9600000000000009</v>
      </c>
      <c r="J1107" s="29">
        <v>13.944000000000001</v>
      </c>
      <c r="K1107" s="29">
        <v>13.944000000000001</v>
      </c>
      <c r="L1107" s="29" t="s">
        <v>1032</v>
      </c>
      <c r="M1107" s="29">
        <v>1</v>
      </c>
      <c r="N1107" s="29">
        <v>1.4</v>
      </c>
      <c r="O1107" s="29">
        <v>1</v>
      </c>
      <c r="P1107" s="29">
        <v>13.944000000000001</v>
      </c>
      <c r="Q1107" s="29" t="s">
        <v>1033</v>
      </c>
    </row>
    <row r="1108" spans="1:17" x14ac:dyDescent="0.3">
      <c r="A1108" s="29" t="s">
        <v>660</v>
      </c>
      <c r="B1108" s="29">
        <v>1</v>
      </c>
      <c r="C1108" s="29" t="s">
        <v>1050</v>
      </c>
      <c r="D1108" s="29" t="s">
        <v>1087</v>
      </c>
      <c r="E1108" s="29">
        <v>1700</v>
      </c>
      <c r="G1108" s="29" t="s">
        <v>1035</v>
      </c>
      <c r="H1108" s="29">
        <v>1</v>
      </c>
      <c r="I1108" s="29">
        <v>9.9600000000000009</v>
      </c>
      <c r="J1108" s="29">
        <v>16.932000000000002</v>
      </c>
      <c r="K1108" s="29">
        <v>16.932000000000002</v>
      </c>
      <c r="L1108" s="29" t="s">
        <v>1032</v>
      </c>
      <c r="M1108" s="29">
        <v>1</v>
      </c>
      <c r="N1108" s="29">
        <v>1.7</v>
      </c>
      <c r="O1108" s="29">
        <v>1</v>
      </c>
      <c r="P1108" s="29">
        <v>16.932000000000002</v>
      </c>
      <c r="Q1108" s="29" t="s">
        <v>1033</v>
      </c>
    </row>
    <row r="1109" spans="1:17" x14ac:dyDescent="0.3">
      <c r="A1109" s="29" t="s">
        <v>661</v>
      </c>
      <c r="B1109" s="29">
        <v>1</v>
      </c>
      <c r="C1109" s="29" t="s">
        <v>1050</v>
      </c>
      <c r="D1109" s="29" t="s">
        <v>1087</v>
      </c>
      <c r="E1109" s="29">
        <v>2200</v>
      </c>
      <c r="G1109" s="29" t="s">
        <v>1035</v>
      </c>
      <c r="H1109" s="29">
        <v>1</v>
      </c>
      <c r="I1109" s="29">
        <v>9.9600000000000009</v>
      </c>
      <c r="J1109" s="29">
        <v>21.912000000000003</v>
      </c>
      <c r="K1109" s="29">
        <v>21.912000000000003</v>
      </c>
      <c r="L1109" s="29" t="s">
        <v>1032</v>
      </c>
      <c r="M1109" s="29">
        <v>1</v>
      </c>
      <c r="N1109" s="29">
        <v>2.2000000000000002</v>
      </c>
      <c r="O1109" s="29">
        <v>1</v>
      </c>
      <c r="P1109" s="29">
        <v>21.912000000000003</v>
      </c>
      <c r="Q1109" s="29" t="s">
        <v>1033</v>
      </c>
    </row>
    <row r="1110" spans="1:17" x14ac:dyDescent="0.3">
      <c r="A1110" s="29" t="s">
        <v>662</v>
      </c>
      <c r="B1110" s="29">
        <v>1</v>
      </c>
      <c r="C1110" s="29" t="s">
        <v>1050</v>
      </c>
      <c r="D1110" s="29" t="s">
        <v>1087</v>
      </c>
      <c r="E1110" s="29">
        <v>2400</v>
      </c>
      <c r="G1110" s="29" t="s">
        <v>1035</v>
      </c>
      <c r="H1110" s="29">
        <v>1</v>
      </c>
      <c r="I1110" s="29">
        <v>9.9600000000000009</v>
      </c>
      <c r="J1110" s="29">
        <v>23.904</v>
      </c>
      <c r="K1110" s="29">
        <v>23.904</v>
      </c>
      <c r="L1110" s="29" t="s">
        <v>1032</v>
      </c>
      <c r="M1110" s="29">
        <v>1</v>
      </c>
      <c r="N1110" s="29">
        <v>2.4</v>
      </c>
      <c r="O1110" s="29">
        <v>1</v>
      </c>
      <c r="P1110" s="29">
        <v>23.904</v>
      </c>
      <c r="Q1110" s="29" t="s">
        <v>1033</v>
      </c>
    </row>
    <row r="1111" spans="1:17" x14ac:dyDescent="0.3">
      <c r="A1111" s="29" t="s">
        <v>663</v>
      </c>
      <c r="B1111" s="29">
        <v>1</v>
      </c>
      <c r="C1111" s="29" t="s">
        <v>1050</v>
      </c>
      <c r="D1111" s="29" t="s">
        <v>1087</v>
      </c>
      <c r="E1111" s="29">
        <v>2800</v>
      </c>
      <c r="G1111" s="29" t="s">
        <v>1035</v>
      </c>
      <c r="H1111" s="29">
        <v>1</v>
      </c>
      <c r="I1111" s="29">
        <v>9.9600000000000009</v>
      </c>
      <c r="J1111" s="29">
        <v>27.888000000000002</v>
      </c>
      <c r="K1111" s="29">
        <v>27.888000000000002</v>
      </c>
      <c r="L1111" s="29" t="s">
        <v>1032</v>
      </c>
      <c r="M1111" s="29">
        <v>1</v>
      </c>
      <c r="N1111" s="29">
        <v>2.8</v>
      </c>
      <c r="O1111" s="29">
        <v>1</v>
      </c>
      <c r="P1111" s="29">
        <v>27.888000000000002</v>
      </c>
      <c r="Q1111" s="29" t="s">
        <v>1033</v>
      </c>
    </row>
    <row r="1112" spans="1:17" x14ac:dyDescent="0.3">
      <c r="A1112" s="29" t="s">
        <v>664</v>
      </c>
      <c r="B1112" s="29">
        <v>1</v>
      </c>
      <c r="C1112" s="29" t="s">
        <v>1050</v>
      </c>
      <c r="D1112" s="29" t="s">
        <v>1087</v>
      </c>
      <c r="E1112" s="29">
        <v>3300</v>
      </c>
      <c r="G1112" s="29" t="s">
        <v>1035</v>
      </c>
      <c r="H1112" s="29">
        <v>1</v>
      </c>
      <c r="I1112" s="29">
        <v>9.9600000000000009</v>
      </c>
      <c r="J1112" s="29">
        <v>32.868000000000002</v>
      </c>
      <c r="K1112" s="29">
        <v>32.868000000000002</v>
      </c>
      <c r="L1112" s="29" t="s">
        <v>1032</v>
      </c>
      <c r="M1112" s="29">
        <v>1</v>
      </c>
      <c r="N1112" s="29">
        <v>3.3</v>
      </c>
      <c r="O1112" s="29">
        <v>1</v>
      </c>
      <c r="P1112" s="29">
        <v>32.868000000000002</v>
      </c>
      <c r="Q1112" s="29" t="s">
        <v>1033</v>
      </c>
    </row>
    <row r="1113" spans="1:17" x14ac:dyDescent="0.3">
      <c r="A1113" s="29" t="s">
        <v>665</v>
      </c>
      <c r="B1113" s="29">
        <v>1</v>
      </c>
      <c r="C1113" s="29" t="s">
        <v>1063</v>
      </c>
      <c r="D1113" s="29" t="s">
        <v>1094</v>
      </c>
      <c r="E1113" s="29">
        <v>1400</v>
      </c>
      <c r="G1113" s="29" t="s">
        <v>1035</v>
      </c>
      <c r="H1113" s="29">
        <v>1</v>
      </c>
      <c r="I1113" s="29">
        <v>24</v>
      </c>
      <c r="J1113" s="29">
        <v>33.599999999999994</v>
      </c>
      <c r="K1113" s="29">
        <v>33.599999999999994</v>
      </c>
      <c r="L1113" s="29" t="s">
        <v>1032</v>
      </c>
      <c r="M1113" s="29">
        <v>1</v>
      </c>
      <c r="N1113" s="29">
        <v>1.4</v>
      </c>
      <c r="O1113" s="29">
        <v>1</v>
      </c>
      <c r="P1113" s="29">
        <v>33.599999999999994</v>
      </c>
      <c r="Q1113" s="29" t="s">
        <v>1033</v>
      </c>
    </row>
    <row r="1114" spans="1:17" x14ac:dyDescent="0.3">
      <c r="B1114" s="29">
        <v>2</v>
      </c>
      <c r="C1114" s="29" t="s">
        <v>1063</v>
      </c>
      <c r="D1114" s="29" t="s">
        <v>1094</v>
      </c>
      <c r="E1114" s="29">
        <v>400</v>
      </c>
      <c r="G1114" s="29" t="s">
        <v>1035</v>
      </c>
      <c r="H1114" s="29">
        <v>1</v>
      </c>
      <c r="I1114" s="29">
        <v>24</v>
      </c>
      <c r="J1114" s="29">
        <v>9.6000000000000014</v>
      </c>
      <c r="K1114" s="29">
        <v>9.6000000000000014</v>
      </c>
      <c r="L1114" s="29" t="s">
        <v>1032</v>
      </c>
      <c r="M1114" s="29">
        <v>1</v>
      </c>
      <c r="N1114" s="29">
        <v>0.4</v>
      </c>
      <c r="O1114" s="29">
        <v>1</v>
      </c>
      <c r="P1114" s="29">
        <v>9.6000000000000014</v>
      </c>
      <c r="Q1114" s="29" t="s">
        <v>1033</v>
      </c>
    </row>
    <row r="1115" spans="1:17" x14ac:dyDescent="0.3">
      <c r="A1115" s="29" t="s">
        <v>666</v>
      </c>
      <c r="B1115" s="29">
        <v>1</v>
      </c>
      <c r="C1115" s="29" t="s">
        <v>1063</v>
      </c>
      <c r="D1115" s="29" t="s">
        <v>1094</v>
      </c>
      <c r="E1115" s="29">
        <v>1000</v>
      </c>
      <c r="G1115" s="29" t="s">
        <v>1035</v>
      </c>
      <c r="H1115" s="29">
        <v>1</v>
      </c>
      <c r="I1115" s="29">
        <v>24</v>
      </c>
      <c r="J1115" s="29">
        <v>24</v>
      </c>
      <c r="K1115" s="29">
        <v>24</v>
      </c>
      <c r="L1115" s="29" t="s">
        <v>1032</v>
      </c>
      <c r="M1115" s="29">
        <v>1</v>
      </c>
      <c r="N1115" s="29">
        <v>1</v>
      </c>
      <c r="O1115" s="29">
        <v>1</v>
      </c>
      <c r="P1115" s="29">
        <v>24</v>
      </c>
      <c r="Q1115" s="29" t="s">
        <v>1033</v>
      </c>
    </row>
    <row r="1116" spans="1:17" x14ac:dyDescent="0.3">
      <c r="B1116" s="29">
        <v>2</v>
      </c>
      <c r="C1116" s="29" t="s">
        <v>1063</v>
      </c>
      <c r="D1116" s="29" t="s">
        <v>1094</v>
      </c>
      <c r="E1116" s="29">
        <v>500</v>
      </c>
      <c r="G1116" s="29" t="s">
        <v>1035</v>
      </c>
      <c r="H1116" s="29">
        <v>1</v>
      </c>
      <c r="I1116" s="29">
        <v>24</v>
      </c>
      <c r="J1116" s="29">
        <v>12</v>
      </c>
      <c r="K1116" s="29">
        <v>12</v>
      </c>
      <c r="L1116" s="29" t="s">
        <v>1032</v>
      </c>
      <c r="M1116" s="29">
        <v>1</v>
      </c>
      <c r="N1116" s="29">
        <v>0.5</v>
      </c>
      <c r="O1116" s="29">
        <v>1</v>
      </c>
      <c r="P1116" s="29">
        <v>12</v>
      </c>
      <c r="Q1116" s="29" t="s">
        <v>1033</v>
      </c>
    </row>
    <row r="1117" spans="1:17" x14ac:dyDescent="0.3">
      <c r="A1117" s="29" t="s">
        <v>667</v>
      </c>
      <c r="B1117" s="29">
        <v>1</v>
      </c>
      <c r="C1117" s="29" t="s">
        <v>1063</v>
      </c>
      <c r="D1117" s="29" t="s">
        <v>1094</v>
      </c>
      <c r="E1117" s="29">
        <v>1800</v>
      </c>
      <c r="G1117" s="29" t="s">
        <v>1035</v>
      </c>
      <c r="H1117" s="29">
        <v>1</v>
      </c>
      <c r="I1117" s="29">
        <v>24</v>
      </c>
      <c r="J1117" s="29">
        <v>43.2</v>
      </c>
      <c r="K1117" s="29">
        <v>43.2</v>
      </c>
      <c r="L1117" s="29" t="s">
        <v>1032</v>
      </c>
      <c r="M1117" s="29">
        <v>1</v>
      </c>
      <c r="N1117" s="29">
        <v>1.8</v>
      </c>
      <c r="O1117" s="29">
        <v>1</v>
      </c>
      <c r="P1117" s="29">
        <v>43.2</v>
      </c>
      <c r="Q1117" s="29" t="s">
        <v>1033</v>
      </c>
    </row>
    <row r="1118" spans="1:17" x14ac:dyDescent="0.3">
      <c r="B1118" s="29">
        <v>2</v>
      </c>
      <c r="C1118" s="29" t="s">
        <v>1063</v>
      </c>
      <c r="D1118" s="29" t="s">
        <v>1094</v>
      </c>
      <c r="E1118" s="29">
        <v>500</v>
      </c>
      <c r="G1118" s="29" t="s">
        <v>1035</v>
      </c>
      <c r="H1118" s="29">
        <v>1</v>
      </c>
      <c r="I1118" s="29">
        <v>24</v>
      </c>
      <c r="J1118" s="29">
        <v>12</v>
      </c>
      <c r="K1118" s="29">
        <v>12</v>
      </c>
      <c r="L1118" s="29" t="s">
        <v>1032</v>
      </c>
      <c r="M1118" s="29">
        <v>1</v>
      </c>
      <c r="N1118" s="29">
        <v>0.5</v>
      </c>
      <c r="O1118" s="29">
        <v>1</v>
      </c>
      <c r="P1118" s="29">
        <v>12</v>
      </c>
      <c r="Q1118" s="29" t="s">
        <v>1033</v>
      </c>
    </row>
    <row r="1119" spans="1:17" x14ac:dyDescent="0.3">
      <c r="A1119" s="29" t="s">
        <v>668</v>
      </c>
      <c r="B1119" s="29">
        <v>1</v>
      </c>
      <c r="C1119" s="29" t="s">
        <v>1063</v>
      </c>
      <c r="D1119" s="29" t="s">
        <v>1094</v>
      </c>
      <c r="E1119" s="29">
        <v>1400</v>
      </c>
      <c r="G1119" s="29" t="s">
        <v>1035</v>
      </c>
      <c r="H1119" s="29">
        <v>1</v>
      </c>
      <c r="I1119" s="29">
        <v>24</v>
      </c>
      <c r="J1119" s="29">
        <v>33.599999999999994</v>
      </c>
      <c r="K1119" s="29">
        <v>33.599999999999994</v>
      </c>
      <c r="L1119" s="29" t="s">
        <v>1032</v>
      </c>
      <c r="M1119" s="29">
        <v>1</v>
      </c>
      <c r="N1119" s="29">
        <v>1.4</v>
      </c>
      <c r="O1119" s="29">
        <v>1</v>
      </c>
      <c r="P1119" s="29">
        <v>33.599999999999994</v>
      </c>
      <c r="Q1119" s="29" t="s">
        <v>1033</v>
      </c>
    </row>
    <row r="1120" spans="1:17" x14ac:dyDescent="0.3">
      <c r="B1120" s="29">
        <v>2</v>
      </c>
      <c r="C1120" s="29" t="s">
        <v>1063</v>
      </c>
      <c r="D1120" s="29" t="s">
        <v>1094</v>
      </c>
      <c r="E1120" s="29">
        <v>700</v>
      </c>
      <c r="G1120" s="29" t="s">
        <v>1035</v>
      </c>
      <c r="H1120" s="29">
        <v>1</v>
      </c>
      <c r="I1120" s="29">
        <v>24</v>
      </c>
      <c r="J1120" s="29">
        <v>16.799999999999997</v>
      </c>
      <c r="K1120" s="29">
        <v>16.799999999999997</v>
      </c>
      <c r="L1120" s="29" t="s">
        <v>1032</v>
      </c>
      <c r="M1120" s="29">
        <v>1</v>
      </c>
      <c r="N1120" s="29">
        <v>0.7</v>
      </c>
      <c r="O1120" s="29">
        <v>1</v>
      </c>
      <c r="P1120" s="29">
        <v>16.799999999999997</v>
      </c>
      <c r="Q1120" s="29" t="s">
        <v>1033</v>
      </c>
    </row>
    <row r="1121" spans="1:17" x14ac:dyDescent="0.3">
      <c r="A1121" s="29" t="s">
        <v>669</v>
      </c>
      <c r="B1121" s="29">
        <v>1</v>
      </c>
      <c r="C1121" s="29" t="s">
        <v>1050</v>
      </c>
      <c r="D1121" s="29" t="s">
        <v>1086</v>
      </c>
      <c r="E1121" s="29">
        <v>1000</v>
      </c>
      <c r="G1121" s="29" t="s">
        <v>1035</v>
      </c>
      <c r="H1121" s="29">
        <v>1</v>
      </c>
      <c r="I1121" s="29">
        <v>4.43</v>
      </c>
      <c r="J1121" s="29">
        <v>4.43</v>
      </c>
      <c r="K1121" s="29">
        <v>4.43</v>
      </c>
      <c r="L1121" s="29" t="s">
        <v>1032</v>
      </c>
      <c r="M1121" s="29">
        <v>1</v>
      </c>
      <c r="N1121" s="29">
        <v>1</v>
      </c>
      <c r="O1121" s="29">
        <v>1</v>
      </c>
      <c r="P1121" s="29">
        <v>4.43</v>
      </c>
      <c r="Q1121" s="29" t="s">
        <v>1033</v>
      </c>
    </row>
    <row r="1122" spans="1:17" x14ac:dyDescent="0.3">
      <c r="B1122" s="29">
        <v>2</v>
      </c>
      <c r="C1122" s="29" t="s">
        <v>1050</v>
      </c>
      <c r="D1122" s="29" t="s">
        <v>1086</v>
      </c>
      <c r="E1122" s="29">
        <v>400</v>
      </c>
      <c r="G1122" s="29" t="s">
        <v>1035</v>
      </c>
      <c r="H1122" s="29">
        <v>1</v>
      </c>
      <c r="I1122" s="29">
        <v>4.43</v>
      </c>
      <c r="J1122" s="29">
        <v>1.772</v>
      </c>
      <c r="K1122" s="29">
        <v>1.772</v>
      </c>
      <c r="L1122" s="29" t="s">
        <v>1032</v>
      </c>
      <c r="M1122" s="29">
        <v>1</v>
      </c>
      <c r="N1122" s="29">
        <v>0.4</v>
      </c>
      <c r="O1122" s="29">
        <v>1</v>
      </c>
      <c r="P1122" s="29">
        <v>1.772</v>
      </c>
      <c r="Q1122" s="29" t="s">
        <v>1033</v>
      </c>
    </row>
    <row r="1123" spans="1:17" x14ac:dyDescent="0.3">
      <c r="A1123" s="29" t="s">
        <v>670</v>
      </c>
      <c r="B1123" s="29">
        <v>1</v>
      </c>
      <c r="C1123" s="29" t="s">
        <v>1050</v>
      </c>
      <c r="D1123" s="29" t="s">
        <v>1087</v>
      </c>
      <c r="E1123" s="29">
        <v>1000</v>
      </c>
      <c r="G1123" s="29" t="s">
        <v>1035</v>
      </c>
      <c r="H1123" s="29">
        <v>1</v>
      </c>
      <c r="I1123" s="29">
        <v>9.9600000000000009</v>
      </c>
      <c r="J1123" s="29">
        <v>9.9600000000000009</v>
      </c>
      <c r="K1123" s="29">
        <v>9.9600000000000009</v>
      </c>
      <c r="L1123" s="29" t="s">
        <v>1032</v>
      </c>
      <c r="M1123" s="29">
        <v>1</v>
      </c>
      <c r="N1123" s="29">
        <v>1</v>
      </c>
      <c r="O1123" s="29">
        <v>1</v>
      </c>
      <c r="P1123" s="29">
        <v>9.9600000000000009</v>
      </c>
      <c r="Q1123" s="29" t="s">
        <v>1033</v>
      </c>
    </row>
    <row r="1124" spans="1:17" x14ac:dyDescent="0.3">
      <c r="B1124" s="29">
        <v>2</v>
      </c>
      <c r="C1124" s="29" t="s">
        <v>1050</v>
      </c>
      <c r="D1124" s="29" t="s">
        <v>1087</v>
      </c>
      <c r="E1124" s="29">
        <v>400</v>
      </c>
      <c r="G1124" s="29" t="s">
        <v>1035</v>
      </c>
      <c r="H1124" s="29">
        <v>1</v>
      </c>
      <c r="I1124" s="29">
        <v>9.9600000000000009</v>
      </c>
      <c r="J1124" s="29">
        <v>3.9840000000000004</v>
      </c>
      <c r="K1124" s="29">
        <v>3.9840000000000004</v>
      </c>
      <c r="L1124" s="29" t="s">
        <v>1032</v>
      </c>
      <c r="M1124" s="29">
        <v>1</v>
      </c>
      <c r="N1124" s="29">
        <v>0.4</v>
      </c>
      <c r="O1124" s="29">
        <v>1</v>
      </c>
      <c r="P1124" s="29">
        <v>3.9840000000000004</v>
      </c>
      <c r="Q1124" s="29" t="s">
        <v>1033</v>
      </c>
    </row>
    <row r="1125" spans="1:17" x14ac:dyDescent="0.3">
      <c r="A1125" s="29" t="s">
        <v>671</v>
      </c>
      <c r="B1125" s="29">
        <v>1</v>
      </c>
      <c r="C1125" s="29" t="s">
        <v>1050</v>
      </c>
      <c r="D1125" s="29" t="s">
        <v>1087</v>
      </c>
      <c r="E1125" s="29">
        <v>600</v>
      </c>
      <c r="G1125" s="29" t="s">
        <v>1035</v>
      </c>
      <c r="H1125" s="29">
        <v>1</v>
      </c>
      <c r="I1125" s="29">
        <v>9.9600000000000009</v>
      </c>
      <c r="J1125" s="29">
        <v>5.976</v>
      </c>
      <c r="K1125" s="29">
        <v>5.976</v>
      </c>
      <c r="L1125" s="29" t="s">
        <v>1032</v>
      </c>
      <c r="M1125" s="29">
        <v>1</v>
      </c>
      <c r="N1125" s="29">
        <v>0.6</v>
      </c>
      <c r="O1125" s="29">
        <v>1</v>
      </c>
      <c r="P1125" s="29">
        <v>5.976</v>
      </c>
      <c r="Q1125" s="29" t="s">
        <v>1033</v>
      </c>
    </row>
    <row r="1126" spans="1:17" x14ac:dyDescent="0.3">
      <c r="B1126" s="29">
        <v>2</v>
      </c>
      <c r="C1126" s="29" t="s">
        <v>1050</v>
      </c>
      <c r="D1126" s="29" t="s">
        <v>1087</v>
      </c>
      <c r="E1126" s="29">
        <v>500</v>
      </c>
      <c r="G1126" s="29" t="s">
        <v>1035</v>
      </c>
      <c r="H1126" s="29">
        <v>1</v>
      </c>
      <c r="I1126" s="29">
        <v>9.9600000000000009</v>
      </c>
      <c r="J1126" s="29">
        <v>4.9800000000000004</v>
      </c>
      <c r="K1126" s="29">
        <v>4.9800000000000004</v>
      </c>
      <c r="L1126" s="29" t="s">
        <v>1032</v>
      </c>
      <c r="M1126" s="29">
        <v>1</v>
      </c>
      <c r="N1126" s="29">
        <v>0.5</v>
      </c>
      <c r="O1126" s="29">
        <v>1</v>
      </c>
      <c r="P1126" s="29">
        <v>4.9800000000000004</v>
      </c>
      <c r="Q1126" s="29" t="s">
        <v>1033</v>
      </c>
    </row>
    <row r="1127" spans="1:17" x14ac:dyDescent="0.3">
      <c r="A1127" s="29" t="s">
        <v>672</v>
      </c>
      <c r="B1127" s="29">
        <v>1</v>
      </c>
      <c r="C1127" s="29" t="s">
        <v>1050</v>
      </c>
      <c r="D1127" s="29" t="s">
        <v>1087</v>
      </c>
      <c r="E1127" s="29">
        <v>2200</v>
      </c>
      <c r="G1127" s="29" t="s">
        <v>1035</v>
      </c>
      <c r="H1127" s="29">
        <v>1</v>
      </c>
      <c r="I1127" s="29">
        <v>9.9600000000000009</v>
      </c>
      <c r="J1127" s="29">
        <v>21.912000000000003</v>
      </c>
      <c r="K1127" s="29">
        <v>21.912000000000003</v>
      </c>
      <c r="L1127" s="29" t="s">
        <v>1032</v>
      </c>
      <c r="M1127" s="29">
        <v>1</v>
      </c>
      <c r="N1127" s="29">
        <v>2.2000000000000002</v>
      </c>
      <c r="O1127" s="29">
        <v>1</v>
      </c>
      <c r="P1127" s="29">
        <v>21.912000000000003</v>
      </c>
      <c r="Q1127" s="29" t="s">
        <v>1033</v>
      </c>
    </row>
    <row r="1128" spans="1:17" x14ac:dyDescent="0.3">
      <c r="B1128" s="29">
        <v>2</v>
      </c>
      <c r="C1128" s="29" t="s">
        <v>1050</v>
      </c>
      <c r="D1128" s="29" t="s">
        <v>1087</v>
      </c>
      <c r="E1128" s="29">
        <v>500</v>
      </c>
      <c r="G1128" s="29" t="s">
        <v>1035</v>
      </c>
      <c r="H1128" s="29">
        <v>1</v>
      </c>
      <c r="I1128" s="29">
        <v>9.9600000000000009</v>
      </c>
      <c r="J1128" s="29">
        <v>4.9800000000000004</v>
      </c>
      <c r="K1128" s="29">
        <v>4.9800000000000004</v>
      </c>
      <c r="L1128" s="29" t="s">
        <v>1032</v>
      </c>
      <c r="M1128" s="29">
        <v>1</v>
      </c>
      <c r="N1128" s="29">
        <v>0.5</v>
      </c>
      <c r="O1128" s="29">
        <v>1</v>
      </c>
      <c r="P1128" s="29">
        <v>4.9800000000000004</v>
      </c>
      <c r="Q1128" s="29" t="s">
        <v>1033</v>
      </c>
    </row>
    <row r="1129" spans="1:17" x14ac:dyDescent="0.3">
      <c r="A1129" s="29" t="s">
        <v>673</v>
      </c>
      <c r="B1129" s="29">
        <v>1</v>
      </c>
      <c r="C1129" s="29" t="s">
        <v>1050</v>
      </c>
      <c r="D1129" s="29" t="s">
        <v>1087</v>
      </c>
      <c r="E1129" s="29">
        <v>800</v>
      </c>
      <c r="G1129" s="29" t="s">
        <v>1035</v>
      </c>
      <c r="H1129" s="29">
        <v>1</v>
      </c>
      <c r="I1129" s="29">
        <v>9.9600000000000009</v>
      </c>
      <c r="J1129" s="29">
        <v>7.9680000000000009</v>
      </c>
      <c r="K1129" s="29">
        <v>7.9680000000000009</v>
      </c>
      <c r="L1129" s="29" t="s">
        <v>1032</v>
      </c>
      <c r="M1129" s="29">
        <v>1</v>
      </c>
      <c r="N1129" s="29">
        <v>0.8</v>
      </c>
      <c r="O1129" s="29">
        <v>1</v>
      </c>
      <c r="P1129" s="29">
        <v>7.9680000000000009</v>
      </c>
      <c r="Q1129" s="29" t="s">
        <v>1033</v>
      </c>
    </row>
    <row r="1130" spans="1:17" x14ac:dyDescent="0.3">
      <c r="B1130" s="29">
        <v>2</v>
      </c>
      <c r="C1130" s="29" t="s">
        <v>1050</v>
      </c>
      <c r="D1130" s="29" t="s">
        <v>1087</v>
      </c>
      <c r="E1130" s="29">
        <v>600</v>
      </c>
      <c r="G1130" s="29" t="s">
        <v>1035</v>
      </c>
      <c r="H1130" s="29">
        <v>1</v>
      </c>
      <c r="I1130" s="29">
        <v>9.9600000000000009</v>
      </c>
      <c r="J1130" s="29">
        <v>5.976</v>
      </c>
      <c r="K1130" s="29">
        <v>5.976</v>
      </c>
      <c r="L1130" s="29" t="s">
        <v>1032</v>
      </c>
      <c r="M1130" s="29">
        <v>1</v>
      </c>
      <c r="N1130" s="29">
        <v>0.6</v>
      </c>
      <c r="O1130" s="29">
        <v>1</v>
      </c>
      <c r="P1130" s="29">
        <v>5.976</v>
      </c>
      <c r="Q1130" s="29" t="s">
        <v>1033</v>
      </c>
    </row>
    <row r="1131" spans="1:17" x14ac:dyDescent="0.3">
      <c r="A1131" s="29" t="s">
        <v>674</v>
      </c>
      <c r="B1131" s="29">
        <v>1</v>
      </c>
      <c r="C1131" s="29" t="s">
        <v>1050</v>
      </c>
      <c r="D1131" s="29" t="s">
        <v>1087</v>
      </c>
      <c r="E1131" s="29">
        <v>800</v>
      </c>
      <c r="G1131" s="29" t="s">
        <v>1035</v>
      </c>
      <c r="H1131" s="29">
        <v>1</v>
      </c>
      <c r="I1131" s="29">
        <v>9.9600000000000009</v>
      </c>
      <c r="J1131" s="29">
        <v>7.9680000000000009</v>
      </c>
      <c r="K1131" s="29">
        <v>7.9680000000000009</v>
      </c>
      <c r="L1131" s="29" t="s">
        <v>1032</v>
      </c>
      <c r="M1131" s="29">
        <v>1</v>
      </c>
      <c r="N1131" s="29">
        <v>0.8</v>
      </c>
      <c r="O1131" s="29">
        <v>1</v>
      </c>
      <c r="P1131" s="29">
        <v>7.9680000000000009</v>
      </c>
      <c r="Q1131" s="29" t="s">
        <v>1033</v>
      </c>
    </row>
    <row r="1132" spans="1:17" x14ac:dyDescent="0.3">
      <c r="B1132" s="29">
        <v>2</v>
      </c>
      <c r="C1132" s="29" t="s">
        <v>1050</v>
      </c>
      <c r="D1132" s="29" t="s">
        <v>1087</v>
      </c>
      <c r="E1132" s="29">
        <v>800</v>
      </c>
      <c r="G1132" s="29" t="s">
        <v>1035</v>
      </c>
      <c r="H1132" s="29">
        <v>1</v>
      </c>
      <c r="I1132" s="29">
        <v>9.9600000000000009</v>
      </c>
      <c r="J1132" s="29">
        <v>7.9680000000000009</v>
      </c>
      <c r="K1132" s="29">
        <v>7.9680000000000009</v>
      </c>
      <c r="L1132" s="29" t="s">
        <v>1032</v>
      </c>
      <c r="M1132" s="29">
        <v>1</v>
      </c>
      <c r="N1132" s="29">
        <v>0.8</v>
      </c>
      <c r="O1132" s="29">
        <v>1</v>
      </c>
      <c r="P1132" s="29">
        <v>7.9680000000000009</v>
      </c>
      <c r="Q1132" s="29" t="s">
        <v>1033</v>
      </c>
    </row>
    <row r="1133" spans="1:17" x14ac:dyDescent="0.3">
      <c r="A1133" s="29" t="s">
        <v>675</v>
      </c>
      <c r="B1133" s="29">
        <v>1</v>
      </c>
      <c r="C1133" s="29" t="s">
        <v>1050</v>
      </c>
      <c r="D1133" s="29" t="s">
        <v>1087</v>
      </c>
      <c r="E1133" s="29">
        <v>800</v>
      </c>
      <c r="G1133" s="29" t="s">
        <v>1035</v>
      </c>
      <c r="H1133" s="29">
        <v>1</v>
      </c>
      <c r="I1133" s="29">
        <v>9.9600000000000009</v>
      </c>
      <c r="J1133" s="29">
        <v>7.9680000000000009</v>
      </c>
      <c r="K1133" s="29">
        <v>7.9680000000000009</v>
      </c>
      <c r="L1133" s="29" t="s">
        <v>1032</v>
      </c>
      <c r="M1133" s="29">
        <v>1</v>
      </c>
      <c r="N1133" s="29">
        <v>0.8</v>
      </c>
      <c r="O1133" s="29">
        <v>1</v>
      </c>
      <c r="P1133" s="29">
        <v>7.9680000000000009</v>
      </c>
      <c r="Q1133" s="29" t="s">
        <v>1033</v>
      </c>
    </row>
    <row r="1134" spans="1:17" x14ac:dyDescent="0.3">
      <c r="B1134" s="29">
        <v>2</v>
      </c>
      <c r="C1134" s="29" t="s">
        <v>1050</v>
      </c>
      <c r="D1134" s="29" t="s">
        <v>1087</v>
      </c>
      <c r="E1134" s="29">
        <v>900</v>
      </c>
      <c r="G1134" s="29" t="s">
        <v>1035</v>
      </c>
      <c r="H1134" s="29">
        <v>1</v>
      </c>
      <c r="I1134" s="29">
        <v>9.9600000000000009</v>
      </c>
      <c r="J1134" s="29">
        <v>8.9640000000000004</v>
      </c>
      <c r="K1134" s="29">
        <v>8.9640000000000004</v>
      </c>
      <c r="L1134" s="29" t="s">
        <v>1032</v>
      </c>
      <c r="M1134" s="29">
        <v>1</v>
      </c>
      <c r="N1134" s="29">
        <v>0.9</v>
      </c>
      <c r="O1134" s="29">
        <v>1</v>
      </c>
      <c r="P1134" s="29">
        <v>8.9640000000000004</v>
      </c>
      <c r="Q1134" s="29" t="s">
        <v>1033</v>
      </c>
    </row>
    <row r="1135" spans="1:17" x14ac:dyDescent="0.3">
      <c r="A1135" s="29" t="s">
        <v>676</v>
      </c>
      <c r="B1135" s="29">
        <v>1</v>
      </c>
      <c r="C1135" s="29" t="s">
        <v>1063</v>
      </c>
      <c r="D1135" s="29" t="s">
        <v>1064</v>
      </c>
      <c r="E1135" s="29">
        <v>1900</v>
      </c>
      <c r="G1135" s="29" t="s">
        <v>1035</v>
      </c>
      <c r="H1135" s="29">
        <v>1</v>
      </c>
      <c r="I1135" s="29">
        <v>13.4</v>
      </c>
      <c r="J1135" s="29">
        <v>25.46</v>
      </c>
      <c r="K1135" s="29">
        <v>25.46</v>
      </c>
      <c r="L1135" s="29" t="s">
        <v>1032</v>
      </c>
      <c r="M1135" s="29">
        <v>1</v>
      </c>
      <c r="N1135" s="29">
        <v>1.9</v>
      </c>
      <c r="O1135" s="29">
        <v>1</v>
      </c>
      <c r="P1135" s="29">
        <v>25.46</v>
      </c>
      <c r="Q1135" s="29" t="s">
        <v>1033</v>
      </c>
    </row>
    <row r="1136" spans="1:17" x14ac:dyDescent="0.3">
      <c r="A1136" s="29" t="s">
        <v>677</v>
      </c>
      <c r="B1136" s="29">
        <v>1</v>
      </c>
      <c r="C1136" s="29" t="s">
        <v>1063</v>
      </c>
      <c r="D1136" s="29" t="s">
        <v>1064</v>
      </c>
      <c r="E1136" s="29">
        <v>2600</v>
      </c>
      <c r="G1136" s="29" t="s">
        <v>1035</v>
      </c>
      <c r="H1136" s="29">
        <v>1</v>
      </c>
      <c r="I1136" s="29">
        <v>13.4</v>
      </c>
      <c r="J1136" s="29">
        <v>34.840000000000003</v>
      </c>
      <c r="K1136" s="29">
        <v>34.840000000000003</v>
      </c>
      <c r="L1136" s="29" t="s">
        <v>1032</v>
      </c>
      <c r="M1136" s="29">
        <v>1</v>
      </c>
      <c r="N1136" s="29">
        <v>2.6</v>
      </c>
      <c r="O1136" s="29">
        <v>1</v>
      </c>
      <c r="P1136" s="29">
        <v>34.840000000000003</v>
      </c>
      <c r="Q1136" s="29" t="s">
        <v>1033</v>
      </c>
    </row>
    <row r="1137" spans="1:17" x14ac:dyDescent="0.3">
      <c r="A1137" s="29" t="s">
        <v>678</v>
      </c>
      <c r="B1137" s="29">
        <v>1</v>
      </c>
      <c r="C1137" s="29" t="s">
        <v>1063</v>
      </c>
      <c r="D1137" s="29" t="s">
        <v>1064</v>
      </c>
      <c r="E1137" s="29">
        <v>3000</v>
      </c>
      <c r="G1137" s="29" t="s">
        <v>1035</v>
      </c>
      <c r="H1137" s="29">
        <v>1</v>
      </c>
      <c r="I1137" s="29">
        <v>13.4</v>
      </c>
      <c r="J1137" s="29">
        <v>40.200000000000003</v>
      </c>
      <c r="K1137" s="29">
        <v>40.200000000000003</v>
      </c>
      <c r="L1137" s="29" t="s">
        <v>1032</v>
      </c>
      <c r="M1137" s="29">
        <v>1</v>
      </c>
      <c r="N1137" s="29">
        <v>3</v>
      </c>
      <c r="O1137" s="29">
        <v>1</v>
      </c>
      <c r="P1137" s="29">
        <v>40.200000000000003</v>
      </c>
      <c r="Q1137" s="29" t="s">
        <v>1033</v>
      </c>
    </row>
    <row r="1138" spans="1:17" x14ac:dyDescent="0.3">
      <c r="A1138" s="29" t="s">
        <v>679</v>
      </c>
      <c r="B1138" s="29">
        <v>1</v>
      </c>
      <c r="C1138" s="29" t="s">
        <v>1063</v>
      </c>
      <c r="D1138" s="29" t="s">
        <v>1064</v>
      </c>
      <c r="E1138" s="29">
        <v>1700</v>
      </c>
      <c r="G1138" s="29" t="s">
        <v>1035</v>
      </c>
      <c r="H1138" s="29">
        <v>1</v>
      </c>
      <c r="I1138" s="29">
        <v>13.4</v>
      </c>
      <c r="J1138" s="29">
        <v>22.78</v>
      </c>
      <c r="K1138" s="29">
        <v>22.78</v>
      </c>
      <c r="L1138" s="29" t="s">
        <v>1032</v>
      </c>
      <c r="M1138" s="29">
        <v>1</v>
      </c>
      <c r="N1138" s="29">
        <v>1.7</v>
      </c>
      <c r="O1138" s="29">
        <v>1</v>
      </c>
      <c r="P1138" s="29">
        <v>22.78</v>
      </c>
      <c r="Q1138" s="29" t="s">
        <v>1033</v>
      </c>
    </row>
    <row r="1139" spans="1:17" x14ac:dyDescent="0.3">
      <c r="A1139" s="29" t="s">
        <v>680</v>
      </c>
      <c r="B1139" s="29">
        <v>1</v>
      </c>
      <c r="C1139" s="29" t="s">
        <v>1063</v>
      </c>
      <c r="D1139" s="29" t="s">
        <v>1064</v>
      </c>
      <c r="E1139" s="29">
        <v>2100</v>
      </c>
      <c r="G1139" s="29" t="s">
        <v>1035</v>
      </c>
      <c r="H1139" s="29">
        <v>1</v>
      </c>
      <c r="I1139" s="29">
        <v>13.4</v>
      </c>
      <c r="J1139" s="29">
        <v>28.14</v>
      </c>
      <c r="K1139" s="29">
        <v>28.14</v>
      </c>
      <c r="L1139" s="29" t="s">
        <v>1032</v>
      </c>
      <c r="M1139" s="29">
        <v>1</v>
      </c>
      <c r="N1139" s="29">
        <v>2.1</v>
      </c>
      <c r="O1139" s="29">
        <v>1</v>
      </c>
      <c r="P1139" s="29">
        <v>28.14</v>
      </c>
      <c r="Q1139" s="29" t="s">
        <v>1033</v>
      </c>
    </row>
    <row r="1140" spans="1:17" x14ac:dyDescent="0.3">
      <c r="A1140" s="29" t="s">
        <v>681</v>
      </c>
      <c r="B1140" s="29">
        <v>1</v>
      </c>
      <c r="C1140" s="29" t="s">
        <v>1063</v>
      </c>
      <c r="D1140" s="29" t="s">
        <v>1064</v>
      </c>
      <c r="E1140" s="29">
        <v>3900</v>
      </c>
      <c r="G1140" s="29" t="s">
        <v>1035</v>
      </c>
      <c r="H1140" s="29">
        <v>1</v>
      </c>
      <c r="I1140" s="29">
        <v>13.4</v>
      </c>
      <c r="J1140" s="29">
        <v>52.26</v>
      </c>
      <c r="K1140" s="29">
        <v>52.26</v>
      </c>
      <c r="L1140" s="29" t="s">
        <v>1032</v>
      </c>
      <c r="M1140" s="29">
        <v>1</v>
      </c>
      <c r="N1140" s="29">
        <v>3.9</v>
      </c>
      <c r="O1140" s="29">
        <v>1</v>
      </c>
      <c r="P1140" s="29">
        <v>52.26</v>
      </c>
      <c r="Q1140" s="29" t="s">
        <v>1033</v>
      </c>
    </row>
    <row r="1141" spans="1:17" x14ac:dyDescent="0.3">
      <c r="A1141" s="29" t="s">
        <v>682</v>
      </c>
      <c r="B1141" s="29">
        <v>1</v>
      </c>
      <c r="C1141" s="29" t="s">
        <v>1063</v>
      </c>
      <c r="D1141" s="29" t="s">
        <v>1064</v>
      </c>
      <c r="E1141" s="29">
        <v>4100</v>
      </c>
      <c r="G1141" s="29" t="s">
        <v>1035</v>
      </c>
      <c r="H1141" s="29">
        <v>1</v>
      </c>
      <c r="I1141" s="29">
        <v>13.4</v>
      </c>
      <c r="J1141" s="29">
        <v>54.94</v>
      </c>
      <c r="K1141" s="29">
        <v>54.94</v>
      </c>
      <c r="L1141" s="29" t="s">
        <v>1032</v>
      </c>
      <c r="M1141" s="29">
        <v>1</v>
      </c>
      <c r="N1141" s="29">
        <v>4.0999999999999996</v>
      </c>
      <c r="O1141" s="29">
        <v>1</v>
      </c>
      <c r="P1141" s="29">
        <v>54.94</v>
      </c>
      <c r="Q1141" s="29" t="s">
        <v>1033</v>
      </c>
    </row>
    <row r="1142" spans="1:17" x14ac:dyDescent="0.3">
      <c r="A1142" s="29" t="s">
        <v>683</v>
      </c>
      <c r="B1142" s="29">
        <v>1</v>
      </c>
      <c r="C1142" s="29" t="s">
        <v>1063</v>
      </c>
      <c r="D1142" s="29" t="s">
        <v>1064</v>
      </c>
      <c r="E1142" s="29">
        <v>2400</v>
      </c>
      <c r="G1142" s="29" t="s">
        <v>1035</v>
      </c>
      <c r="H1142" s="29">
        <v>1</v>
      </c>
      <c r="I1142" s="29">
        <v>13.4</v>
      </c>
      <c r="J1142" s="29">
        <v>32.159999999999997</v>
      </c>
      <c r="K1142" s="29">
        <v>32.159999999999997</v>
      </c>
      <c r="L1142" s="29" t="s">
        <v>1032</v>
      </c>
      <c r="M1142" s="29">
        <v>1</v>
      </c>
      <c r="N1142" s="29">
        <v>2.4</v>
      </c>
      <c r="O1142" s="29">
        <v>1</v>
      </c>
      <c r="P1142" s="29">
        <v>32.159999999999997</v>
      </c>
      <c r="Q1142" s="29" t="s">
        <v>1033</v>
      </c>
    </row>
    <row r="1143" spans="1:17" x14ac:dyDescent="0.3">
      <c r="A1143" s="29" t="s">
        <v>684</v>
      </c>
      <c r="B1143" s="29">
        <v>1</v>
      </c>
      <c r="C1143" s="29" t="s">
        <v>1063</v>
      </c>
      <c r="D1143" s="29" t="s">
        <v>1064</v>
      </c>
      <c r="E1143" s="29">
        <v>2800</v>
      </c>
      <c r="G1143" s="29" t="s">
        <v>1035</v>
      </c>
      <c r="H1143" s="29">
        <v>1</v>
      </c>
      <c r="I1143" s="29">
        <v>13.4</v>
      </c>
      <c r="J1143" s="29">
        <v>37.519999999999996</v>
      </c>
      <c r="K1143" s="29">
        <v>37.519999999999996</v>
      </c>
      <c r="L1143" s="29" t="s">
        <v>1032</v>
      </c>
      <c r="M1143" s="29">
        <v>1</v>
      </c>
      <c r="N1143" s="29">
        <v>2.8</v>
      </c>
      <c r="O1143" s="29">
        <v>1</v>
      </c>
      <c r="P1143" s="29">
        <v>37.519999999999996</v>
      </c>
      <c r="Q1143" s="29" t="s">
        <v>1033</v>
      </c>
    </row>
    <row r="1144" spans="1:17" x14ac:dyDescent="0.3">
      <c r="A1144" s="29" t="s">
        <v>685</v>
      </c>
      <c r="B1144" s="29">
        <v>1</v>
      </c>
      <c r="C1144" s="29" t="s">
        <v>1063</v>
      </c>
      <c r="D1144" s="29" t="s">
        <v>1094</v>
      </c>
      <c r="E1144" s="29">
        <v>4000</v>
      </c>
      <c r="G1144" s="29" t="s">
        <v>1035</v>
      </c>
      <c r="H1144" s="29">
        <v>1</v>
      </c>
      <c r="I1144" s="29">
        <v>24</v>
      </c>
      <c r="J1144" s="29">
        <v>96</v>
      </c>
      <c r="K1144" s="29">
        <v>96</v>
      </c>
      <c r="L1144" s="29" t="s">
        <v>1032</v>
      </c>
      <c r="M1144" s="29">
        <v>1</v>
      </c>
      <c r="N1144" s="29">
        <v>4</v>
      </c>
      <c r="O1144" s="29">
        <v>1</v>
      </c>
      <c r="P1144" s="29">
        <v>96</v>
      </c>
      <c r="Q1144" s="29" t="s">
        <v>1033</v>
      </c>
    </row>
    <row r="1145" spans="1:17" x14ac:dyDescent="0.3">
      <c r="A1145" s="29" t="s">
        <v>686</v>
      </c>
      <c r="B1145" s="29">
        <v>1</v>
      </c>
      <c r="C1145" s="29" t="s">
        <v>1063</v>
      </c>
      <c r="D1145" s="29" t="s">
        <v>1094</v>
      </c>
      <c r="E1145" s="29">
        <v>1700</v>
      </c>
      <c r="G1145" s="29" t="s">
        <v>1035</v>
      </c>
      <c r="H1145" s="29">
        <v>1</v>
      </c>
      <c r="I1145" s="29">
        <v>24</v>
      </c>
      <c r="J1145" s="29">
        <v>40.799999999999997</v>
      </c>
      <c r="K1145" s="29">
        <v>40.799999999999997</v>
      </c>
      <c r="L1145" s="29" t="s">
        <v>1032</v>
      </c>
      <c r="M1145" s="29">
        <v>1</v>
      </c>
      <c r="N1145" s="29">
        <v>1.7</v>
      </c>
      <c r="O1145" s="29">
        <v>1</v>
      </c>
      <c r="P1145" s="29">
        <v>40.799999999999997</v>
      </c>
      <c r="Q1145" s="29" t="s">
        <v>1033</v>
      </c>
    </row>
    <row r="1146" spans="1:17" x14ac:dyDescent="0.3">
      <c r="A1146" s="29" t="s">
        <v>687</v>
      </c>
      <c r="B1146" s="29">
        <v>1</v>
      </c>
      <c r="C1146" s="29" t="s">
        <v>1063</v>
      </c>
      <c r="D1146" s="29" t="s">
        <v>1094</v>
      </c>
      <c r="E1146" s="29">
        <v>3900</v>
      </c>
      <c r="G1146" s="29" t="s">
        <v>1035</v>
      </c>
      <c r="H1146" s="29">
        <v>1</v>
      </c>
      <c r="I1146" s="29">
        <v>24</v>
      </c>
      <c r="J1146" s="29">
        <v>93.6</v>
      </c>
      <c r="K1146" s="29">
        <v>93.6</v>
      </c>
      <c r="L1146" s="29" t="s">
        <v>1032</v>
      </c>
      <c r="M1146" s="29">
        <v>1</v>
      </c>
      <c r="N1146" s="29">
        <v>3.9</v>
      </c>
      <c r="O1146" s="29">
        <v>1</v>
      </c>
      <c r="P1146" s="29">
        <v>93.6</v>
      </c>
      <c r="Q1146" s="29" t="s">
        <v>1033</v>
      </c>
    </row>
    <row r="1147" spans="1:17" x14ac:dyDescent="0.3">
      <c r="A1147" s="29" t="s">
        <v>688</v>
      </c>
      <c r="B1147" s="29">
        <v>1</v>
      </c>
      <c r="C1147" s="29" t="s">
        <v>1050</v>
      </c>
      <c r="D1147" s="29" t="s">
        <v>1086</v>
      </c>
      <c r="E1147" s="29">
        <v>1400</v>
      </c>
      <c r="G1147" s="29" t="s">
        <v>1035</v>
      </c>
      <c r="H1147" s="29">
        <v>1</v>
      </c>
      <c r="I1147" s="29">
        <v>4.43</v>
      </c>
      <c r="J1147" s="29">
        <v>6.2019999999999991</v>
      </c>
      <c r="K1147" s="29">
        <v>6.2019999999999991</v>
      </c>
      <c r="L1147" s="29" t="s">
        <v>1032</v>
      </c>
      <c r="M1147" s="29">
        <v>1</v>
      </c>
      <c r="N1147" s="29">
        <v>1.4</v>
      </c>
      <c r="O1147" s="29">
        <v>1</v>
      </c>
      <c r="P1147" s="29">
        <v>6.2019999999999991</v>
      </c>
      <c r="Q1147" s="29" t="s">
        <v>1033</v>
      </c>
    </row>
    <row r="1148" spans="1:17" x14ac:dyDescent="0.3">
      <c r="A1148" s="29" t="s">
        <v>689</v>
      </c>
      <c r="B1148" s="29">
        <v>1</v>
      </c>
      <c r="C1148" s="29" t="s">
        <v>1050</v>
      </c>
      <c r="D1148" s="29" t="s">
        <v>1086</v>
      </c>
      <c r="E1148" s="29">
        <v>1700</v>
      </c>
      <c r="G1148" s="29" t="s">
        <v>1035</v>
      </c>
      <c r="H1148" s="29">
        <v>1</v>
      </c>
      <c r="I1148" s="29">
        <v>4.43</v>
      </c>
      <c r="J1148" s="29">
        <v>7.5309999999999997</v>
      </c>
      <c r="K1148" s="29">
        <v>7.5309999999999997</v>
      </c>
      <c r="L1148" s="29" t="s">
        <v>1032</v>
      </c>
      <c r="M1148" s="29">
        <v>1</v>
      </c>
      <c r="N1148" s="29">
        <v>1.7</v>
      </c>
      <c r="O1148" s="29">
        <v>1</v>
      </c>
      <c r="P1148" s="29">
        <v>7.5309999999999997</v>
      </c>
      <c r="Q1148" s="29" t="s">
        <v>1033</v>
      </c>
    </row>
    <row r="1149" spans="1:17" x14ac:dyDescent="0.3">
      <c r="A1149" s="29" t="s">
        <v>690</v>
      </c>
      <c r="B1149" s="29">
        <v>1</v>
      </c>
      <c r="C1149" s="29" t="s">
        <v>1050</v>
      </c>
      <c r="D1149" s="29" t="s">
        <v>1086</v>
      </c>
      <c r="E1149" s="29">
        <v>1600</v>
      </c>
      <c r="G1149" s="29" t="s">
        <v>1035</v>
      </c>
      <c r="H1149" s="29">
        <v>1</v>
      </c>
      <c r="I1149" s="29">
        <v>4.43</v>
      </c>
      <c r="J1149" s="29">
        <v>7.0880000000000001</v>
      </c>
      <c r="K1149" s="29">
        <v>7.0880000000000001</v>
      </c>
      <c r="L1149" s="29" t="s">
        <v>1032</v>
      </c>
      <c r="M1149" s="29">
        <v>1</v>
      </c>
      <c r="N1149" s="29">
        <v>1.6</v>
      </c>
      <c r="O1149" s="29">
        <v>1</v>
      </c>
      <c r="P1149" s="29">
        <v>7.0880000000000001</v>
      </c>
      <c r="Q1149" s="29" t="s">
        <v>1033</v>
      </c>
    </row>
    <row r="1150" spans="1:17" x14ac:dyDescent="0.3">
      <c r="A1150" s="29" t="s">
        <v>691</v>
      </c>
      <c r="B1150" s="29">
        <v>1</v>
      </c>
      <c r="C1150" s="29" t="s">
        <v>1050</v>
      </c>
      <c r="D1150" s="29" t="s">
        <v>1086</v>
      </c>
      <c r="E1150" s="29">
        <v>1400</v>
      </c>
      <c r="G1150" s="29" t="s">
        <v>1035</v>
      </c>
      <c r="H1150" s="29">
        <v>1</v>
      </c>
      <c r="I1150" s="29">
        <v>4.43</v>
      </c>
      <c r="J1150" s="29">
        <v>6.2019999999999991</v>
      </c>
      <c r="K1150" s="29">
        <v>6.2019999999999991</v>
      </c>
      <c r="L1150" s="29" t="s">
        <v>1032</v>
      </c>
      <c r="M1150" s="29">
        <v>1</v>
      </c>
      <c r="N1150" s="29">
        <v>1.4</v>
      </c>
      <c r="O1150" s="29">
        <v>1</v>
      </c>
      <c r="P1150" s="29">
        <v>6.2019999999999991</v>
      </c>
      <c r="Q1150" s="29" t="s">
        <v>1033</v>
      </c>
    </row>
    <row r="1151" spans="1:17" x14ac:dyDescent="0.3">
      <c r="A1151" s="29" t="s">
        <v>692</v>
      </c>
      <c r="B1151" s="29">
        <v>1</v>
      </c>
      <c r="C1151" s="29" t="s">
        <v>1050</v>
      </c>
      <c r="D1151" s="29" t="s">
        <v>1087</v>
      </c>
      <c r="E1151" s="29">
        <v>1400</v>
      </c>
      <c r="G1151" s="29" t="s">
        <v>1035</v>
      </c>
      <c r="H1151" s="29">
        <v>1</v>
      </c>
      <c r="I1151" s="29">
        <v>9.9600000000000009</v>
      </c>
      <c r="J1151" s="29">
        <v>13.944000000000001</v>
      </c>
      <c r="K1151" s="29">
        <v>13.944000000000001</v>
      </c>
      <c r="L1151" s="29" t="s">
        <v>1032</v>
      </c>
      <c r="M1151" s="29">
        <v>1</v>
      </c>
      <c r="N1151" s="29">
        <v>1.4</v>
      </c>
      <c r="O1151" s="29">
        <v>1</v>
      </c>
      <c r="P1151" s="29">
        <v>13.944000000000001</v>
      </c>
      <c r="Q1151" s="29" t="s">
        <v>1033</v>
      </c>
    </row>
    <row r="1152" spans="1:17" x14ac:dyDescent="0.3">
      <c r="A1152" s="29" t="s">
        <v>693</v>
      </c>
      <c r="B1152" s="29">
        <v>1</v>
      </c>
      <c r="C1152" s="29" t="s">
        <v>1050</v>
      </c>
      <c r="D1152" s="29" t="s">
        <v>1087</v>
      </c>
      <c r="E1152" s="29">
        <v>1500</v>
      </c>
      <c r="G1152" s="29" t="s">
        <v>1035</v>
      </c>
      <c r="H1152" s="29">
        <v>1</v>
      </c>
      <c r="I1152" s="29">
        <v>9.9600000000000009</v>
      </c>
      <c r="J1152" s="29">
        <v>14.940000000000001</v>
      </c>
      <c r="K1152" s="29">
        <v>14.940000000000001</v>
      </c>
      <c r="L1152" s="29" t="s">
        <v>1032</v>
      </c>
      <c r="M1152" s="29">
        <v>1</v>
      </c>
      <c r="N1152" s="29">
        <v>1.5</v>
      </c>
      <c r="O1152" s="29">
        <v>1</v>
      </c>
      <c r="P1152" s="29">
        <v>14.940000000000001</v>
      </c>
      <c r="Q1152" s="29" t="s">
        <v>1033</v>
      </c>
    </row>
    <row r="1153" spans="1:17" x14ac:dyDescent="0.3">
      <c r="A1153" s="29" t="s">
        <v>693</v>
      </c>
      <c r="B1153" s="29">
        <v>1</v>
      </c>
      <c r="C1153" s="29" t="s">
        <v>1050</v>
      </c>
      <c r="D1153" s="29" t="s">
        <v>1087</v>
      </c>
      <c r="E1153" s="29">
        <v>1500</v>
      </c>
      <c r="G1153" s="29" t="s">
        <v>1035</v>
      </c>
      <c r="H1153" s="29">
        <v>1</v>
      </c>
      <c r="I1153" s="29">
        <v>9.9600000000000009</v>
      </c>
      <c r="J1153" s="29">
        <v>14.940000000000001</v>
      </c>
      <c r="K1153" s="29">
        <v>14.940000000000001</v>
      </c>
      <c r="L1153" s="29" t="s">
        <v>1032</v>
      </c>
      <c r="M1153" s="29">
        <v>1</v>
      </c>
      <c r="N1153" s="29">
        <v>1.5</v>
      </c>
      <c r="O1153" s="29">
        <v>1</v>
      </c>
      <c r="P1153" s="29">
        <v>14.940000000000001</v>
      </c>
      <c r="Q1153" s="29" t="s">
        <v>1033</v>
      </c>
    </row>
    <row r="1154" spans="1:17" x14ac:dyDescent="0.3">
      <c r="A1154" s="29" t="s">
        <v>694</v>
      </c>
      <c r="B1154" s="29">
        <v>1</v>
      </c>
      <c r="C1154" s="29" t="s">
        <v>1050</v>
      </c>
      <c r="D1154" s="29" t="s">
        <v>1087</v>
      </c>
      <c r="E1154" s="29">
        <v>1700</v>
      </c>
      <c r="G1154" s="29" t="s">
        <v>1035</v>
      </c>
      <c r="H1154" s="29">
        <v>1</v>
      </c>
      <c r="I1154" s="29">
        <v>9.9600000000000009</v>
      </c>
      <c r="J1154" s="29">
        <v>16.932000000000002</v>
      </c>
      <c r="K1154" s="29">
        <v>16.932000000000002</v>
      </c>
      <c r="L1154" s="29" t="s">
        <v>1032</v>
      </c>
      <c r="M1154" s="29">
        <v>1</v>
      </c>
      <c r="N1154" s="29">
        <v>1.7</v>
      </c>
      <c r="O1154" s="29">
        <v>1</v>
      </c>
      <c r="P1154" s="29">
        <v>16.932000000000002</v>
      </c>
      <c r="Q1154" s="29" t="s">
        <v>1033</v>
      </c>
    </row>
    <row r="1155" spans="1:17" x14ac:dyDescent="0.3">
      <c r="A1155" s="29" t="s">
        <v>695</v>
      </c>
      <c r="B1155" s="29">
        <v>1</v>
      </c>
      <c r="C1155" s="29" t="s">
        <v>1050</v>
      </c>
      <c r="D1155" s="29" t="s">
        <v>1087</v>
      </c>
      <c r="E1155" s="29">
        <v>1900</v>
      </c>
      <c r="G1155" s="29" t="s">
        <v>1035</v>
      </c>
      <c r="H1155" s="29">
        <v>1</v>
      </c>
      <c r="I1155" s="29">
        <v>9.9600000000000009</v>
      </c>
      <c r="J1155" s="29">
        <v>18.923999999999999</v>
      </c>
      <c r="K1155" s="29">
        <v>18.923999999999999</v>
      </c>
      <c r="L1155" s="29" t="s">
        <v>1032</v>
      </c>
      <c r="M1155" s="29">
        <v>1</v>
      </c>
      <c r="N1155" s="29">
        <v>1.9</v>
      </c>
      <c r="O1155" s="29">
        <v>1</v>
      </c>
      <c r="P1155" s="29">
        <v>18.923999999999999</v>
      </c>
      <c r="Q1155" s="29" t="s">
        <v>1033</v>
      </c>
    </row>
    <row r="1156" spans="1:17" x14ac:dyDescent="0.3">
      <c r="A1156" s="29" t="s">
        <v>696</v>
      </c>
      <c r="B1156" s="29">
        <v>1</v>
      </c>
      <c r="C1156" s="29" t="s">
        <v>1050</v>
      </c>
      <c r="D1156" s="29" t="s">
        <v>1087</v>
      </c>
      <c r="E1156" s="29">
        <v>2700</v>
      </c>
      <c r="G1156" s="29" t="s">
        <v>1035</v>
      </c>
      <c r="H1156" s="29">
        <v>1</v>
      </c>
      <c r="I1156" s="29">
        <v>9.9600000000000009</v>
      </c>
      <c r="J1156" s="29">
        <v>26.892000000000003</v>
      </c>
      <c r="K1156" s="29">
        <v>26.892000000000003</v>
      </c>
      <c r="L1156" s="29" t="s">
        <v>1032</v>
      </c>
      <c r="M1156" s="29">
        <v>1</v>
      </c>
      <c r="N1156" s="29">
        <v>2.7</v>
      </c>
      <c r="O1156" s="29">
        <v>1</v>
      </c>
      <c r="P1156" s="29">
        <v>26.892000000000003</v>
      </c>
      <c r="Q1156" s="29" t="s">
        <v>1033</v>
      </c>
    </row>
    <row r="1157" spans="1:17" x14ac:dyDescent="0.3">
      <c r="A1157" s="29" t="s">
        <v>697</v>
      </c>
      <c r="B1157" s="29">
        <v>1</v>
      </c>
      <c r="C1157" s="29" t="s">
        <v>1050</v>
      </c>
      <c r="D1157" s="29" t="s">
        <v>1087</v>
      </c>
      <c r="E1157" s="29">
        <v>1800</v>
      </c>
      <c r="G1157" s="29" t="s">
        <v>1035</v>
      </c>
      <c r="H1157" s="29">
        <v>1</v>
      </c>
      <c r="I1157" s="29">
        <v>9.9600000000000009</v>
      </c>
      <c r="J1157" s="29">
        <v>17.928000000000001</v>
      </c>
      <c r="K1157" s="29">
        <v>17.928000000000001</v>
      </c>
      <c r="L1157" s="29" t="s">
        <v>1032</v>
      </c>
      <c r="M1157" s="29">
        <v>1</v>
      </c>
      <c r="N1157" s="29">
        <v>1.8</v>
      </c>
      <c r="O1157" s="29">
        <v>1</v>
      </c>
      <c r="P1157" s="29">
        <v>17.928000000000001</v>
      </c>
      <c r="Q1157" s="29" t="s">
        <v>1033</v>
      </c>
    </row>
    <row r="1158" spans="1:17" x14ac:dyDescent="0.3">
      <c r="A1158" s="29" t="s">
        <v>698</v>
      </c>
      <c r="B1158" s="29">
        <v>1</v>
      </c>
      <c r="C1158" s="29" t="s">
        <v>1050</v>
      </c>
      <c r="D1158" s="29" t="s">
        <v>1087</v>
      </c>
      <c r="E1158" s="29">
        <v>1700</v>
      </c>
      <c r="G1158" s="29" t="s">
        <v>1035</v>
      </c>
      <c r="H1158" s="29">
        <v>1</v>
      </c>
      <c r="I1158" s="29">
        <v>9.9600000000000009</v>
      </c>
      <c r="J1158" s="29">
        <v>16.932000000000002</v>
      </c>
      <c r="K1158" s="29">
        <v>16.932000000000002</v>
      </c>
      <c r="L1158" s="29" t="s">
        <v>1032</v>
      </c>
      <c r="M1158" s="29">
        <v>1</v>
      </c>
      <c r="N1158" s="29">
        <v>1.7</v>
      </c>
      <c r="O1158" s="29">
        <v>1</v>
      </c>
      <c r="P1158" s="29">
        <v>16.932000000000002</v>
      </c>
      <c r="Q1158" s="29" t="s">
        <v>1033</v>
      </c>
    </row>
    <row r="1159" spans="1:17" x14ac:dyDescent="0.3">
      <c r="A1159" s="29" t="s">
        <v>699</v>
      </c>
      <c r="B1159" s="29">
        <v>1</v>
      </c>
      <c r="C1159" s="29" t="s">
        <v>1050</v>
      </c>
      <c r="D1159" s="29" t="s">
        <v>1087</v>
      </c>
      <c r="E1159" s="29">
        <v>2300</v>
      </c>
      <c r="G1159" s="29" t="s">
        <v>1035</v>
      </c>
      <c r="H1159" s="29">
        <v>1</v>
      </c>
      <c r="I1159" s="29">
        <v>9.9600000000000009</v>
      </c>
      <c r="J1159" s="29">
        <v>22.908000000000001</v>
      </c>
      <c r="K1159" s="29">
        <v>22.908000000000001</v>
      </c>
      <c r="L1159" s="29" t="s">
        <v>1032</v>
      </c>
      <c r="M1159" s="29">
        <v>1</v>
      </c>
      <c r="N1159" s="29">
        <v>2.2999999999999998</v>
      </c>
      <c r="O1159" s="29">
        <v>1</v>
      </c>
      <c r="P1159" s="29">
        <v>22.908000000000001</v>
      </c>
      <c r="Q1159" s="29" t="s">
        <v>1033</v>
      </c>
    </row>
    <row r="1160" spans="1:17" x14ac:dyDescent="0.3">
      <c r="A1160" s="29" t="s">
        <v>699</v>
      </c>
      <c r="B1160" s="29">
        <v>1</v>
      </c>
      <c r="C1160" s="29" t="s">
        <v>1050</v>
      </c>
      <c r="D1160" s="29" t="s">
        <v>1087</v>
      </c>
      <c r="E1160" s="29">
        <v>2300</v>
      </c>
      <c r="G1160" s="29" t="s">
        <v>1035</v>
      </c>
      <c r="H1160" s="29">
        <v>1</v>
      </c>
      <c r="I1160" s="29">
        <v>9.9600000000000009</v>
      </c>
      <c r="J1160" s="29">
        <v>22.908000000000001</v>
      </c>
      <c r="K1160" s="29">
        <v>22.908000000000001</v>
      </c>
      <c r="L1160" s="29" t="s">
        <v>1032</v>
      </c>
      <c r="M1160" s="29">
        <v>1</v>
      </c>
      <c r="N1160" s="29">
        <v>2.2999999999999998</v>
      </c>
      <c r="O1160" s="29">
        <v>1</v>
      </c>
      <c r="P1160" s="29">
        <v>22.908000000000001</v>
      </c>
      <c r="Q1160" s="29" t="s">
        <v>1033</v>
      </c>
    </row>
    <row r="1161" spans="1:17" x14ac:dyDescent="0.3">
      <c r="A1161" s="29" t="s">
        <v>699</v>
      </c>
      <c r="B1161" s="29">
        <v>1</v>
      </c>
      <c r="C1161" s="29" t="s">
        <v>1050</v>
      </c>
      <c r="D1161" s="29" t="s">
        <v>1087</v>
      </c>
      <c r="E1161" s="29">
        <v>2300</v>
      </c>
      <c r="G1161" s="29" t="s">
        <v>1035</v>
      </c>
      <c r="H1161" s="29">
        <v>1</v>
      </c>
      <c r="I1161" s="29">
        <v>9.9600000000000009</v>
      </c>
      <c r="J1161" s="29">
        <v>22.908000000000001</v>
      </c>
      <c r="K1161" s="29">
        <v>22.908000000000001</v>
      </c>
      <c r="L1161" s="29" t="s">
        <v>1032</v>
      </c>
      <c r="M1161" s="29">
        <v>1</v>
      </c>
      <c r="N1161" s="29">
        <v>2.2999999999999998</v>
      </c>
      <c r="O1161" s="29">
        <v>1</v>
      </c>
      <c r="P1161" s="29">
        <v>22.908000000000001</v>
      </c>
      <c r="Q1161" s="29" t="s">
        <v>1033</v>
      </c>
    </row>
    <row r="1162" spans="1:17" x14ac:dyDescent="0.3">
      <c r="A1162" s="29" t="s">
        <v>700</v>
      </c>
      <c r="B1162" s="29">
        <v>1</v>
      </c>
      <c r="C1162" s="29" t="s">
        <v>1050</v>
      </c>
      <c r="D1162" s="29" t="s">
        <v>1087</v>
      </c>
      <c r="E1162" s="29">
        <v>2000</v>
      </c>
      <c r="G1162" s="29" t="s">
        <v>1035</v>
      </c>
      <c r="H1162" s="29">
        <v>1</v>
      </c>
      <c r="I1162" s="29">
        <v>9.9600000000000009</v>
      </c>
      <c r="J1162" s="29">
        <v>19.920000000000002</v>
      </c>
      <c r="K1162" s="29">
        <v>19.920000000000002</v>
      </c>
      <c r="L1162" s="29" t="s">
        <v>1032</v>
      </c>
      <c r="M1162" s="29">
        <v>1</v>
      </c>
      <c r="N1162" s="29">
        <v>2</v>
      </c>
      <c r="O1162" s="29">
        <v>1</v>
      </c>
      <c r="P1162" s="29">
        <v>19.920000000000002</v>
      </c>
      <c r="Q1162" s="29" t="s">
        <v>1033</v>
      </c>
    </row>
    <row r="1163" spans="1:17" x14ac:dyDescent="0.3">
      <c r="A1163" s="29" t="s">
        <v>701</v>
      </c>
      <c r="B1163" s="29">
        <v>1</v>
      </c>
      <c r="C1163" s="29" t="s">
        <v>1050</v>
      </c>
      <c r="D1163" s="29" t="s">
        <v>1087</v>
      </c>
      <c r="E1163" s="29">
        <v>1700</v>
      </c>
      <c r="G1163" s="29" t="s">
        <v>1035</v>
      </c>
      <c r="H1163" s="29">
        <v>1</v>
      </c>
      <c r="I1163" s="29">
        <v>9.9600000000000009</v>
      </c>
      <c r="J1163" s="29">
        <v>16.932000000000002</v>
      </c>
      <c r="K1163" s="29">
        <v>16.932000000000002</v>
      </c>
      <c r="L1163" s="29" t="s">
        <v>1032</v>
      </c>
      <c r="M1163" s="29">
        <v>1</v>
      </c>
      <c r="N1163" s="29">
        <v>1.7</v>
      </c>
      <c r="O1163" s="29">
        <v>1</v>
      </c>
      <c r="P1163" s="29">
        <v>16.932000000000002</v>
      </c>
      <c r="Q1163" s="29" t="s">
        <v>1033</v>
      </c>
    </row>
    <row r="1164" spans="1:17" x14ac:dyDescent="0.3">
      <c r="A1164" s="29" t="s">
        <v>702</v>
      </c>
      <c r="B1164" s="29">
        <v>1</v>
      </c>
      <c r="C1164" s="29" t="s">
        <v>1050</v>
      </c>
      <c r="D1164" s="29" t="s">
        <v>1087</v>
      </c>
      <c r="E1164" s="29">
        <v>1900</v>
      </c>
      <c r="G1164" s="29" t="s">
        <v>1035</v>
      </c>
      <c r="H1164" s="29">
        <v>1</v>
      </c>
      <c r="I1164" s="29">
        <v>9.9600000000000009</v>
      </c>
      <c r="J1164" s="29">
        <v>18.923999999999999</v>
      </c>
      <c r="K1164" s="29">
        <v>18.923999999999999</v>
      </c>
      <c r="L1164" s="29" t="s">
        <v>1032</v>
      </c>
      <c r="M1164" s="29">
        <v>1</v>
      </c>
      <c r="N1164" s="29">
        <v>1.9</v>
      </c>
      <c r="O1164" s="29">
        <v>1</v>
      </c>
      <c r="P1164" s="29">
        <v>18.923999999999999</v>
      </c>
      <c r="Q1164" s="29" t="s">
        <v>1033</v>
      </c>
    </row>
    <row r="1165" spans="1:17" x14ac:dyDescent="0.3">
      <c r="A1165" s="29" t="s">
        <v>703</v>
      </c>
      <c r="B1165" s="29">
        <v>1</v>
      </c>
      <c r="C1165" s="29" t="s">
        <v>1050</v>
      </c>
      <c r="D1165" s="29" t="s">
        <v>1087</v>
      </c>
      <c r="E1165" s="29">
        <v>4500</v>
      </c>
      <c r="G1165" s="29" t="s">
        <v>1035</v>
      </c>
      <c r="H1165" s="29">
        <v>1</v>
      </c>
      <c r="I1165" s="29">
        <v>9.9600000000000009</v>
      </c>
      <c r="J1165" s="29">
        <v>44.820000000000007</v>
      </c>
      <c r="K1165" s="29">
        <v>44.820000000000007</v>
      </c>
      <c r="L1165" s="29" t="s">
        <v>1032</v>
      </c>
      <c r="M1165" s="29">
        <v>1</v>
      </c>
      <c r="N1165" s="29">
        <v>4.5</v>
      </c>
      <c r="O1165" s="29">
        <v>1</v>
      </c>
      <c r="P1165" s="29">
        <v>44.820000000000007</v>
      </c>
      <c r="Q1165" s="29" t="s">
        <v>1033</v>
      </c>
    </row>
    <row r="1166" spans="1:17" x14ac:dyDescent="0.3">
      <c r="A1166" s="29" t="s">
        <v>704</v>
      </c>
      <c r="B1166" s="29">
        <v>1</v>
      </c>
      <c r="C1166" s="29" t="s">
        <v>1050</v>
      </c>
      <c r="D1166" s="29" t="s">
        <v>1087</v>
      </c>
      <c r="E1166" s="29">
        <v>2000</v>
      </c>
      <c r="G1166" s="29" t="s">
        <v>1035</v>
      </c>
      <c r="H1166" s="29">
        <v>1</v>
      </c>
      <c r="I1166" s="29">
        <v>9.9600000000000009</v>
      </c>
      <c r="J1166" s="29">
        <v>19.920000000000002</v>
      </c>
      <c r="K1166" s="29">
        <v>19.920000000000002</v>
      </c>
      <c r="L1166" s="29" t="s">
        <v>1032</v>
      </c>
      <c r="M1166" s="29">
        <v>1</v>
      </c>
      <c r="N1166" s="29">
        <v>2</v>
      </c>
      <c r="O1166" s="29">
        <v>1</v>
      </c>
      <c r="P1166" s="29">
        <v>19.920000000000002</v>
      </c>
      <c r="Q1166" s="29" t="s">
        <v>1033</v>
      </c>
    </row>
    <row r="1167" spans="1:17" x14ac:dyDescent="0.3">
      <c r="A1167" s="29" t="s">
        <v>705</v>
      </c>
      <c r="B1167" s="29">
        <v>1</v>
      </c>
      <c r="C1167" s="29" t="s">
        <v>1050</v>
      </c>
      <c r="D1167" s="29" t="s">
        <v>1087</v>
      </c>
      <c r="E1167" s="29">
        <v>4700</v>
      </c>
      <c r="G1167" s="29" t="s">
        <v>1035</v>
      </c>
      <c r="H1167" s="29">
        <v>1</v>
      </c>
      <c r="I1167" s="29">
        <v>9.9600000000000009</v>
      </c>
      <c r="J1167" s="29">
        <v>46.812000000000005</v>
      </c>
      <c r="K1167" s="29">
        <v>46.812000000000005</v>
      </c>
      <c r="L1167" s="29" t="s">
        <v>1032</v>
      </c>
      <c r="M1167" s="29">
        <v>1</v>
      </c>
      <c r="N1167" s="29">
        <v>4.7</v>
      </c>
      <c r="O1167" s="29">
        <v>1</v>
      </c>
      <c r="P1167" s="29">
        <v>46.812000000000005</v>
      </c>
      <c r="Q1167" s="29" t="s">
        <v>1033</v>
      </c>
    </row>
    <row r="1168" spans="1:17" x14ac:dyDescent="0.3">
      <c r="A1168" s="29" t="s">
        <v>706</v>
      </c>
      <c r="B1168" s="29">
        <v>1</v>
      </c>
      <c r="C1168" s="29" t="s">
        <v>1050</v>
      </c>
      <c r="D1168" s="29" t="s">
        <v>1087</v>
      </c>
      <c r="E1168" s="29">
        <v>2400</v>
      </c>
      <c r="G1168" s="29" t="s">
        <v>1035</v>
      </c>
      <c r="H1168" s="29">
        <v>1</v>
      </c>
      <c r="I1168" s="29">
        <v>9.9600000000000009</v>
      </c>
      <c r="J1168" s="29">
        <v>23.904</v>
      </c>
      <c r="K1168" s="29">
        <v>23.904</v>
      </c>
      <c r="L1168" s="29" t="s">
        <v>1032</v>
      </c>
      <c r="M1168" s="29">
        <v>1</v>
      </c>
      <c r="N1168" s="29">
        <v>2.4</v>
      </c>
      <c r="O1168" s="29">
        <v>1</v>
      </c>
      <c r="P1168" s="29">
        <v>23.904</v>
      </c>
      <c r="Q1168" s="29" t="s">
        <v>1033</v>
      </c>
    </row>
    <row r="1169" spans="1:17" x14ac:dyDescent="0.3">
      <c r="A1169" s="29" t="s">
        <v>707</v>
      </c>
      <c r="B1169" s="29">
        <v>1</v>
      </c>
      <c r="C1169" s="29" t="s">
        <v>1050</v>
      </c>
      <c r="D1169" s="29" t="s">
        <v>1087</v>
      </c>
      <c r="E1169" s="29">
        <v>2600</v>
      </c>
      <c r="G1169" s="29" t="s">
        <v>1035</v>
      </c>
      <c r="H1169" s="29">
        <v>1</v>
      </c>
      <c r="I1169" s="29">
        <v>9.9600000000000009</v>
      </c>
      <c r="J1169" s="29">
        <v>25.896000000000004</v>
      </c>
      <c r="K1169" s="29">
        <v>25.896000000000004</v>
      </c>
      <c r="L1169" s="29" t="s">
        <v>1032</v>
      </c>
      <c r="M1169" s="29">
        <v>1</v>
      </c>
      <c r="N1169" s="29">
        <v>2.6</v>
      </c>
      <c r="O1169" s="29">
        <v>1</v>
      </c>
      <c r="P1169" s="29">
        <v>25.896000000000004</v>
      </c>
      <c r="Q1169" s="29" t="s">
        <v>1033</v>
      </c>
    </row>
    <row r="1170" spans="1:17" x14ac:dyDescent="0.3">
      <c r="A1170" s="29" t="s">
        <v>708</v>
      </c>
      <c r="B1170" s="29">
        <v>1</v>
      </c>
      <c r="C1170" s="29" t="s">
        <v>1063</v>
      </c>
      <c r="D1170" s="29" t="s">
        <v>1064</v>
      </c>
      <c r="E1170" s="29">
        <v>500</v>
      </c>
      <c r="G1170" s="29" t="s">
        <v>1035</v>
      </c>
      <c r="H1170" s="29">
        <v>1</v>
      </c>
      <c r="I1170" s="29">
        <v>13.4</v>
      </c>
      <c r="J1170" s="29">
        <v>6.7</v>
      </c>
      <c r="K1170" s="29">
        <v>6.7</v>
      </c>
      <c r="L1170" s="29" t="s">
        <v>1032</v>
      </c>
      <c r="M1170" s="29">
        <v>1</v>
      </c>
      <c r="N1170" s="29">
        <v>0.5</v>
      </c>
      <c r="O1170" s="29">
        <v>1</v>
      </c>
      <c r="P1170" s="29">
        <v>6.7</v>
      </c>
      <c r="Q1170" s="29" t="s">
        <v>1033</v>
      </c>
    </row>
    <row r="1171" spans="1:17" x14ac:dyDescent="0.3">
      <c r="B1171" s="29">
        <v>2</v>
      </c>
      <c r="C1171" s="29" t="s">
        <v>1063</v>
      </c>
      <c r="D1171" s="29" t="s">
        <v>1064</v>
      </c>
      <c r="E1171" s="29">
        <v>600</v>
      </c>
      <c r="G1171" s="29" t="s">
        <v>1035</v>
      </c>
      <c r="H1171" s="29">
        <v>1</v>
      </c>
      <c r="I1171" s="29">
        <v>13.4</v>
      </c>
      <c r="J1171" s="29">
        <v>8.0399999999999991</v>
      </c>
      <c r="K1171" s="29">
        <v>8.0399999999999991</v>
      </c>
      <c r="L1171" s="29" t="s">
        <v>1032</v>
      </c>
      <c r="M1171" s="29">
        <v>1</v>
      </c>
      <c r="N1171" s="29">
        <v>0.6</v>
      </c>
      <c r="O1171" s="29">
        <v>1</v>
      </c>
      <c r="P1171" s="29">
        <v>8.0399999999999991</v>
      </c>
      <c r="Q1171" s="29" t="s">
        <v>1033</v>
      </c>
    </row>
    <row r="1172" spans="1:17" x14ac:dyDescent="0.3">
      <c r="A1172" s="29" t="s">
        <v>709</v>
      </c>
      <c r="B1172" s="29">
        <v>1</v>
      </c>
      <c r="C1172" s="29" t="s">
        <v>1063</v>
      </c>
      <c r="D1172" s="29" t="s">
        <v>1094</v>
      </c>
      <c r="E1172" s="29">
        <v>400</v>
      </c>
      <c r="G1172" s="29" t="s">
        <v>1035</v>
      </c>
      <c r="H1172" s="29">
        <v>1</v>
      </c>
      <c r="I1172" s="29">
        <v>24</v>
      </c>
      <c r="J1172" s="29">
        <v>9.6000000000000014</v>
      </c>
      <c r="K1172" s="29">
        <v>9.6000000000000014</v>
      </c>
      <c r="L1172" s="29" t="s">
        <v>1032</v>
      </c>
      <c r="M1172" s="29">
        <v>1</v>
      </c>
      <c r="N1172" s="29">
        <v>0.4</v>
      </c>
      <c r="O1172" s="29">
        <v>1</v>
      </c>
      <c r="P1172" s="29">
        <v>9.6000000000000014</v>
      </c>
      <c r="Q1172" s="29" t="s">
        <v>1033</v>
      </c>
    </row>
    <row r="1173" spans="1:17" x14ac:dyDescent="0.3">
      <c r="B1173" s="29">
        <v>2</v>
      </c>
      <c r="C1173" s="29" t="s">
        <v>1063</v>
      </c>
      <c r="D1173" s="29" t="s">
        <v>1094</v>
      </c>
      <c r="E1173" s="29">
        <v>1000</v>
      </c>
      <c r="G1173" s="29" t="s">
        <v>1035</v>
      </c>
      <c r="H1173" s="29">
        <v>1</v>
      </c>
      <c r="I1173" s="29">
        <v>24</v>
      </c>
      <c r="J1173" s="29">
        <v>24</v>
      </c>
      <c r="K1173" s="29">
        <v>24</v>
      </c>
      <c r="L1173" s="29" t="s">
        <v>1032</v>
      </c>
      <c r="M1173" s="29">
        <v>1</v>
      </c>
      <c r="N1173" s="29">
        <v>1</v>
      </c>
      <c r="O1173" s="29">
        <v>1</v>
      </c>
      <c r="P1173" s="29">
        <v>24</v>
      </c>
      <c r="Q1173" s="29" t="s">
        <v>1033</v>
      </c>
    </row>
    <row r="1174" spans="1:17" x14ac:dyDescent="0.3">
      <c r="A1174" s="29" t="s">
        <v>710</v>
      </c>
      <c r="B1174" s="29">
        <v>1</v>
      </c>
      <c r="C1174" s="29" t="s">
        <v>1063</v>
      </c>
      <c r="D1174" s="29" t="s">
        <v>1094</v>
      </c>
      <c r="E1174" s="29">
        <v>500</v>
      </c>
      <c r="G1174" s="29" t="s">
        <v>1035</v>
      </c>
      <c r="H1174" s="29">
        <v>1</v>
      </c>
      <c r="I1174" s="29">
        <v>24</v>
      </c>
      <c r="J1174" s="29">
        <v>12</v>
      </c>
      <c r="K1174" s="29">
        <v>12</v>
      </c>
      <c r="L1174" s="29" t="s">
        <v>1032</v>
      </c>
      <c r="M1174" s="29">
        <v>1</v>
      </c>
      <c r="N1174" s="29">
        <v>0.5</v>
      </c>
      <c r="O1174" s="29">
        <v>1</v>
      </c>
      <c r="P1174" s="29">
        <v>12</v>
      </c>
      <c r="Q1174" s="29" t="s">
        <v>1033</v>
      </c>
    </row>
    <row r="1175" spans="1:17" x14ac:dyDescent="0.3">
      <c r="B1175" s="29">
        <v>2</v>
      </c>
      <c r="C1175" s="29" t="s">
        <v>1063</v>
      </c>
      <c r="D1175" s="29" t="s">
        <v>1094</v>
      </c>
      <c r="E1175" s="29">
        <v>1000</v>
      </c>
      <c r="G1175" s="29" t="s">
        <v>1035</v>
      </c>
      <c r="H1175" s="29">
        <v>1</v>
      </c>
      <c r="I1175" s="29">
        <v>24</v>
      </c>
      <c r="J1175" s="29">
        <v>24</v>
      </c>
      <c r="K1175" s="29">
        <v>24</v>
      </c>
      <c r="L1175" s="29" t="s">
        <v>1032</v>
      </c>
      <c r="M1175" s="29">
        <v>1</v>
      </c>
      <c r="N1175" s="29">
        <v>1</v>
      </c>
      <c r="O1175" s="29">
        <v>1</v>
      </c>
      <c r="P1175" s="29">
        <v>24</v>
      </c>
      <c r="Q1175" s="29" t="s">
        <v>1033</v>
      </c>
    </row>
    <row r="1176" spans="1:17" x14ac:dyDescent="0.3">
      <c r="A1176" s="29" t="s">
        <v>711</v>
      </c>
      <c r="B1176" s="29">
        <v>1</v>
      </c>
      <c r="C1176" s="29" t="s">
        <v>1063</v>
      </c>
      <c r="D1176" s="29" t="s">
        <v>1094</v>
      </c>
      <c r="E1176" s="29">
        <v>800</v>
      </c>
      <c r="G1176" s="29" t="s">
        <v>1035</v>
      </c>
      <c r="H1176" s="29">
        <v>1</v>
      </c>
      <c r="I1176" s="29">
        <v>24</v>
      </c>
      <c r="J1176" s="29">
        <v>19.200000000000003</v>
      </c>
      <c r="K1176" s="29">
        <v>19.200000000000003</v>
      </c>
      <c r="L1176" s="29" t="s">
        <v>1032</v>
      </c>
      <c r="M1176" s="29">
        <v>1</v>
      </c>
      <c r="N1176" s="29">
        <v>0.8</v>
      </c>
      <c r="O1176" s="29">
        <v>1</v>
      </c>
      <c r="P1176" s="29">
        <v>19.200000000000003</v>
      </c>
      <c r="Q1176" s="29" t="s">
        <v>1033</v>
      </c>
    </row>
    <row r="1177" spans="1:17" x14ac:dyDescent="0.3">
      <c r="B1177" s="29">
        <v>2</v>
      </c>
      <c r="C1177" s="29" t="s">
        <v>1063</v>
      </c>
      <c r="D1177" s="29" t="s">
        <v>1094</v>
      </c>
      <c r="E1177" s="29">
        <v>800</v>
      </c>
      <c r="G1177" s="29" t="s">
        <v>1035</v>
      </c>
      <c r="H1177" s="29">
        <v>1</v>
      </c>
      <c r="I1177" s="29">
        <v>24</v>
      </c>
      <c r="J1177" s="29">
        <v>19.200000000000003</v>
      </c>
      <c r="K1177" s="29">
        <v>19.200000000000003</v>
      </c>
      <c r="L1177" s="29" t="s">
        <v>1032</v>
      </c>
      <c r="M1177" s="29">
        <v>1</v>
      </c>
      <c r="N1177" s="29">
        <v>0.8</v>
      </c>
      <c r="O1177" s="29">
        <v>1</v>
      </c>
      <c r="P1177" s="29">
        <v>19.200000000000003</v>
      </c>
      <c r="Q1177" s="29" t="s">
        <v>1033</v>
      </c>
    </row>
    <row r="1178" spans="1:17" x14ac:dyDescent="0.3">
      <c r="A1178" s="29" t="s">
        <v>712</v>
      </c>
      <c r="B1178" s="29">
        <v>1</v>
      </c>
      <c r="C1178" s="29" t="s">
        <v>1063</v>
      </c>
      <c r="D1178" s="29" t="s">
        <v>1095</v>
      </c>
      <c r="E1178" s="29">
        <v>400</v>
      </c>
      <c r="G1178" s="29" t="s">
        <v>1035</v>
      </c>
      <c r="H1178" s="29">
        <v>1</v>
      </c>
      <c r="I1178" s="29">
        <v>9.36</v>
      </c>
      <c r="J1178" s="29">
        <v>3.7439999999999998</v>
      </c>
      <c r="K1178" s="29">
        <v>3.7439999999999998</v>
      </c>
      <c r="L1178" s="29" t="s">
        <v>1032</v>
      </c>
      <c r="M1178" s="29">
        <v>1</v>
      </c>
      <c r="N1178" s="29">
        <v>0.4</v>
      </c>
      <c r="O1178" s="29">
        <v>1</v>
      </c>
      <c r="P1178" s="29">
        <v>3.7439999999999998</v>
      </c>
      <c r="Q1178" s="29" t="s">
        <v>1033</v>
      </c>
    </row>
    <row r="1179" spans="1:17" x14ac:dyDescent="0.3">
      <c r="A1179" s="29" t="s">
        <v>712</v>
      </c>
      <c r="B1179" s="29">
        <v>1</v>
      </c>
      <c r="C1179" s="29" t="s">
        <v>1063</v>
      </c>
      <c r="D1179" s="29" t="s">
        <v>1095</v>
      </c>
      <c r="E1179" s="29">
        <v>400</v>
      </c>
      <c r="G1179" s="29" t="s">
        <v>1035</v>
      </c>
      <c r="H1179" s="29">
        <v>1</v>
      </c>
      <c r="I1179" s="29">
        <v>9.36</v>
      </c>
      <c r="J1179" s="29">
        <v>3.7439999999999998</v>
      </c>
      <c r="K1179" s="29">
        <v>3.7439999999999998</v>
      </c>
      <c r="L1179" s="29" t="s">
        <v>1032</v>
      </c>
      <c r="M1179" s="29">
        <v>1</v>
      </c>
      <c r="N1179" s="29">
        <v>0.4</v>
      </c>
      <c r="O1179" s="29">
        <v>1</v>
      </c>
      <c r="P1179" s="29">
        <v>3.7439999999999998</v>
      </c>
      <c r="Q1179" s="29" t="s">
        <v>1033</v>
      </c>
    </row>
    <row r="1180" spans="1:17" x14ac:dyDescent="0.3">
      <c r="A1180" s="29" t="s">
        <v>713</v>
      </c>
      <c r="B1180" s="29">
        <v>1</v>
      </c>
      <c r="C1180" s="29" t="s">
        <v>1063</v>
      </c>
      <c r="D1180" s="29" t="s">
        <v>1095</v>
      </c>
      <c r="E1180" s="29">
        <v>500</v>
      </c>
      <c r="G1180" s="29" t="s">
        <v>1035</v>
      </c>
      <c r="H1180" s="29">
        <v>1</v>
      </c>
      <c r="I1180" s="29">
        <v>9.36</v>
      </c>
      <c r="J1180" s="29">
        <v>4.68</v>
      </c>
      <c r="K1180" s="29">
        <v>4.68</v>
      </c>
      <c r="L1180" s="29" t="s">
        <v>1032</v>
      </c>
      <c r="M1180" s="29">
        <v>1</v>
      </c>
      <c r="N1180" s="29">
        <v>0.5</v>
      </c>
      <c r="O1180" s="29">
        <v>1</v>
      </c>
      <c r="P1180" s="29">
        <v>4.68</v>
      </c>
      <c r="Q1180" s="29" t="s">
        <v>1033</v>
      </c>
    </row>
    <row r="1181" spans="1:17" x14ac:dyDescent="0.3">
      <c r="A1181" s="29" t="s">
        <v>713</v>
      </c>
      <c r="B1181" s="29">
        <v>1</v>
      </c>
      <c r="C1181" s="29" t="s">
        <v>1063</v>
      </c>
      <c r="D1181" s="29" t="s">
        <v>1095</v>
      </c>
      <c r="E1181" s="29">
        <v>500</v>
      </c>
      <c r="G1181" s="29" t="s">
        <v>1035</v>
      </c>
      <c r="H1181" s="29">
        <v>1</v>
      </c>
      <c r="I1181" s="29">
        <v>9.36</v>
      </c>
      <c r="J1181" s="29">
        <v>4.68</v>
      </c>
      <c r="K1181" s="29">
        <v>4.68</v>
      </c>
      <c r="L1181" s="29" t="s">
        <v>1032</v>
      </c>
      <c r="M1181" s="29">
        <v>1</v>
      </c>
      <c r="N1181" s="29">
        <v>0.5</v>
      </c>
      <c r="O1181" s="29">
        <v>1</v>
      </c>
      <c r="P1181" s="29">
        <v>4.68</v>
      </c>
      <c r="Q1181" s="29" t="s">
        <v>1033</v>
      </c>
    </row>
    <row r="1182" spans="1:17" x14ac:dyDescent="0.3">
      <c r="A1182" s="29" t="s">
        <v>713</v>
      </c>
      <c r="B1182" s="29">
        <v>1</v>
      </c>
      <c r="C1182" s="29" t="s">
        <v>1063</v>
      </c>
      <c r="D1182" s="29" t="s">
        <v>1095</v>
      </c>
      <c r="E1182" s="29">
        <v>500</v>
      </c>
      <c r="G1182" s="29" t="s">
        <v>1035</v>
      </c>
      <c r="H1182" s="29">
        <v>1</v>
      </c>
      <c r="I1182" s="29">
        <v>9.36</v>
      </c>
      <c r="J1182" s="29">
        <v>4.68</v>
      </c>
      <c r="K1182" s="29">
        <v>4.68</v>
      </c>
      <c r="L1182" s="29" t="s">
        <v>1032</v>
      </c>
      <c r="M1182" s="29">
        <v>1</v>
      </c>
      <c r="N1182" s="29">
        <v>0.5</v>
      </c>
      <c r="O1182" s="29">
        <v>1</v>
      </c>
      <c r="P1182" s="29">
        <v>4.68</v>
      </c>
      <c r="Q1182" s="29" t="s">
        <v>1033</v>
      </c>
    </row>
    <row r="1183" spans="1:17" x14ac:dyDescent="0.3">
      <c r="A1183" s="29" t="s">
        <v>713</v>
      </c>
      <c r="B1183" s="29">
        <v>1</v>
      </c>
      <c r="C1183" s="29" t="s">
        <v>1063</v>
      </c>
      <c r="D1183" s="29" t="s">
        <v>1095</v>
      </c>
      <c r="E1183" s="29">
        <v>500</v>
      </c>
      <c r="G1183" s="29" t="s">
        <v>1035</v>
      </c>
      <c r="H1183" s="29">
        <v>1</v>
      </c>
      <c r="I1183" s="29">
        <v>9.36</v>
      </c>
      <c r="J1183" s="29">
        <v>4.68</v>
      </c>
      <c r="K1183" s="29">
        <v>4.68</v>
      </c>
      <c r="L1183" s="29" t="s">
        <v>1032</v>
      </c>
      <c r="M1183" s="29">
        <v>1</v>
      </c>
      <c r="N1183" s="29">
        <v>0.5</v>
      </c>
      <c r="O1183" s="29">
        <v>1</v>
      </c>
      <c r="P1183" s="29">
        <v>4.68</v>
      </c>
      <c r="Q1183" s="29" t="s">
        <v>1033</v>
      </c>
    </row>
    <row r="1184" spans="1:17" x14ac:dyDescent="0.3">
      <c r="A1184" s="29" t="s">
        <v>713</v>
      </c>
      <c r="B1184" s="29">
        <v>1</v>
      </c>
      <c r="C1184" s="29" t="s">
        <v>1063</v>
      </c>
      <c r="D1184" s="29" t="s">
        <v>1095</v>
      </c>
      <c r="E1184" s="29">
        <v>500</v>
      </c>
      <c r="G1184" s="29" t="s">
        <v>1035</v>
      </c>
      <c r="H1184" s="29">
        <v>1</v>
      </c>
      <c r="I1184" s="29">
        <v>9.36</v>
      </c>
      <c r="J1184" s="29">
        <v>4.68</v>
      </c>
      <c r="K1184" s="29">
        <v>4.68</v>
      </c>
      <c r="L1184" s="29" t="s">
        <v>1032</v>
      </c>
      <c r="M1184" s="29">
        <v>1</v>
      </c>
      <c r="N1184" s="29">
        <v>0.5</v>
      </c>
      <c r="O1184" s="29">
        <v>1</v>
      </c>
      <c r="P1184" s="29">
        <v>4.68</v>
      </c>
      <c r="Q1184" s="29" t="s">
        <v>1033</v>
      </c>
    </row>
    <row r="1185" spans="1:17" x14ac:dyDescent="0.3">
      <c r="A1185" s="29" t="s">
        <v>713</v>
      </c>
      <c r="B1185" s="29">
        <v>1</v>
      </c>
      <c r="C1185" s="29" t="s">
        <v>1063</v>
      </c>
      <c r="D1185" s="29" t="s">
        <v>1095</v>
      </c>
      <c r="E1185" s="29">
        <v>500</v>
      </c>
      <c r="G1185" s="29" t="s">
        <v>1035</v>
      </c>
      <c r="H1185" s="29">
        <v>1</v>
      </c>
      <c r="I1185" s="29">
        <v>9.36</v>
      </c>
      <c r="J1185" s="29">
        <v>4.68</v>
      </c>
      <c r="K1185" s="29">
        <v>4.68</v>
      </c>
      <c r="L1185" s="29" t="s">
        <v>1032</v>
      </c>
      <c r="M1185" s="29">
        <v>1</v>
      </c>
      <c r="N1185" s="29">
        <v>0.5</v>
      </c>
      <c r="O1185" s="29">
        <v>1</v>
      </c>
      <c r="P1185" s="29">
        <v>4.68</v>
      </c>
      <c r="Q1185" s="29" t="s">
        <v>1033</v>
      </c>
    </row>
    <row r="1186" spans="1:17" x14ac:dyDescent="0.3">
      <c r="A1186" s="29" t="s">
        <v>713</v>
      </c>
      <c r="B1186" s="29">
        <v>1</v>
      </c>
      <c r="C1186" s="29" t="s">
        <v>1063</v>
      </c>
      <c r="D1186" s="29" t="s">
        <v>1095</v>
      </c>
      <c r="E1186" s="29">
        <v>500</v>
      </c>
      <c r="G1186" s="29" t="s">
        <v>1035</v>
      </c>
      <c r="H1186" s="29">
        <v>1</v>
      </c>
      <c r="I1186" s="29">
        <v>9.36</v>
      </c>
      <c r="J1186" s="29">
        <v>4.68</v>
      </c>
      <c r="K1186" s="29">
        <v>4.68</v>
      </c>
      <c r="L1186" s="29" t="s">
        <v>1032</v>
      </c>
      <c r="M1186" s="29">
        <v>1</v>
      </c>
      <c r="N1186" s="29">
        <v>0.5</v>
      </c>
      <c r="O1186" s="29">
        <v>1</v>
      </c>
      <c r="P1186" s="29">
        <v>4.68</v>
      </c>
      <c r="Q1186" s="29" t="s">
        <v>1033</v>
      </c>
    </row>
    <row r="1187" spans="1:17" x14ac:dyDescent="0.3">
      <c r="A1187" s="29" t="s">
        <v>714</v>
      </c>
      <c r="B1187" s="29">
        <v>1</v>
      </c>
      <c r="C1187" s="29" t="s">
        <v>1063</v>
      </c>
      <c r="D1187" s="29" t="s">
        <v>1095</v>
      </c>
      <c r="E1187" s="29">
        <v>600</v>
      </c>
      <c r="G1187" s="29" t="s">
        <v>1035</v>
      </c>
      <c r="H1187" s="29">
        <v>1</v>
      </c>
      <c r="I1187" s="29">
        <v>9.36</v>
      </c>
      <c r="J1187" s="29">
        <v>5.6159999999999997</v>
      </c>
      <c r="K1187" s="29">
        <v>5.6159999999999997</v>
      </c>
      <c r="L1187" s="29" t="s">
        <v>1032</v>
      </c>
      <c r="M1187" s="29">
        <v>1</v>
      </c>
      <c r="N1187" s="29">
        <v>0.6</v>
      </c>
      <c r="O1187" s="29">
        <v>1</v>
      </c>
      <c r="P1187" s="29">
        <v>5.6159999999999997</v>
      </c>
      <c r="Q1187" s="29" t="s">
        <v>1033</v>
      </c>
    </row>
    <row r="1188" spans="1:17" x14ac:dyDescent="0.3">
      <c r="A1188" s="29" t="s">
        <v>714</v>
      </c>
      <c r="B1188" s="29">
        <v>1</v>
      </c>
      <c r="C1188" s="29" t="s">
        <v>1063</v>
      </c>
      <c r="D1188" s="29" t="s">
        <v>1095</v>
      </c>
      <c r="E1188" s="29">
        <v>600</v>
      </c>
      <c r="G1188" s="29" t="s">
        <v>1035</v>
      </c>
      <c r="H1188" s="29">
        <v>1</v>
      </c>
      <c r="I1188" s="29">
        <v>9.36</v>
      </c>
      <c r="J1188" s="29">
        <v>5.6159999999999997</v>
      </c>
      <c r="K1188" s="29">
        <v>5.6159999999999997</v>
      </c>
      <c r="L1188" s="29" t="s">
        <v>1032</v>
      </c>
      <c r="M1188" s="29">
        <v>1</v>
      </c>
      <c r="N1188" s="29">
        <v>0.6</v>
      </c>
      <c r="O1188" s="29">
        <v>1</v>
      </c>
      <c r="P1188" s="29">
        <v>5.6159999999999997</v>
      </c>
      <c r="Q1188" s="29" t="s">
        <v>1033</v>
      </c>
    </row>
    <row r="1189" spans="1:17" x14ac:dyDescent="0.3">
      <c r="A1189" s="29" t="s">
        <v>715</v>
      </c>
      <c r="B1189" s="29">
        <v>1</v>
      </c>
      <c r="C1189" s="29" t="s">
        <v>1063</v>
      </c>
      <c r="D1189" s="29" t="s">
        <v>1095</v>
      </c>
      <c r="E1189" s="29">
        <v>700</v>
      </c>
      <c r="G1189" s="29" t="s">
        <v>1035</v>
      </c>
      <c r="H1189" s="29">
        <v>1</v>
      </c>
      <c r="I1189" s="29">
        <v>9.36</v>
      </c>
      <c r="J1189" s="29">
        <v>6.5519999999999996</v>
      </c>
      <c r="K1189" s="29">
        <v>6.5519999999999996</v>
      </c>
      <c r="L1189" s="29" t="s">
        <v>1032</v>
      </c>
      <c r="M1189" s="29">
        <v>1</v>
      </c>
      <c r="N1189" s="29">
        <v>0.7</v>
      </c>
      <c r="O1189" s="29">
        <v>1</v>
      </c>
      <c r="P1189" s="29">
        <v>6.5519999999999996</v>
      </c>
      <c r="Q1189" s="29" t="s">
        <v>1033</v>
      </c>
    </row>
    <row r="1190" spans="1:17" x14ac:dyDescent="0.3">
      <c r="A1190" s="29" t="s">
        <v>715</v>
      </c>
      <c r="B1190" s="29">
        <v>1</v>
      </c>
      <c r="C1190" s="29" t="s">
        <v>1063</v>
      </c>
      <c r="D1190" s="29" t="s">
        <v>1095</v>
      </c>
      <c r="E1190" s="29">
        <v>700</v>
      </c>
      <c r="G1190" s="29" t="s">
        <v>1035</v>
      </c>
      <c r="H1190" s="29">
        <v>1</v>
      </c>
      <c r="I1190" s="29">
        <v>9.36</v>
      </c>
      <c r="J1190" s="29">
        <v>6.5519999999999996</v>
      </c>
      <c r="K1190" s="29">
        <v>6.5519999999999996</v>
      </c>
      <c r="L1190" s="29" t="s">
        <v>1032</v>
      </c>
      <c r="M1190" s="29">
        <v>1</v>
      </c>
      <c r="N1190" s="29">
        <v>0.7</v>
      </c>
      <c r="O1190" s="29">
        <v>1</v>
      </c>
      <c r="P1190" s="29">
        <v>6.5519999999999996</v>
      </c>
      <c r="Q1190" s="29" t="s">
        <v>1033</v>
      </c>
    </row>
    <row r="1191" spans="1:17" x14ac:dyDescent="0.3">
      <c r="A1191" s="29" t="s">
        <v>716</v>
      </c>
      <c r="B1191" s="29">
        <v>1</v>
      </c>
      <c r="C1191" s="29" t="s">
        <v>1063</v>
      </c>
      <c r="D1191" s="29" t="s">
        <v>1095</v>
      </c>
      <c r="E1191" s="29">
        <v>800</v>
      </c>
      <c r="G1191" s="29" t="s">
        <v>1035</v>
      </c>
      <c r="H1191" s="29">
        <v>1</v>
      </c>
      <c r="I1191" s="29">
        <v>9.36</v>
      </c>
      <c r="J1191" s="29">
        <v>7.4879999999999995</v>
      </c>
      <c r="K1191" s="29">
        <v>7.4879999999999995</v>
      </c>
      <c r="L1191" s="29" t="s">
        <v>1032</v>
      </c>
      <c r="M1191" s="29">
        <v>1</v>
      </c>
      <c r="N1191" s="29">
        <v>0.8</v>
      </c>
      <c r="O1191" s="29">
        <v>1</v>
      </c>
      <c r="P1191" s="29">
        <v>7.4879999999999995</v>
      </c>
      <c r="Q1191" s="29" t="s">
        <v>1033</v>
      </c>
    </row>
    <row r="1192" spans="1:17" x14ac:dyDescent="0.3">
      <c r="A1192" s="29" t="s">
        <v>717</v>
      </c>
      <c r="B1192" s="29">
        <v>1</v>
      </c>
      <c r="C1192" s="29" t="s">
        <v>1063</v>
      </c>
      <c r="D1192" s="29" t="s">
        <v>1095</v>
      </c>
      <c r="E1192" s="29">
        <v>900</v>
      </c>
      <c r="G1192" s="29" t="s">
        <v>1035</v>
      </c>
      <c r="H1192" s="29">
        <v>1</v>
      </c>
      <c r="I1192" s="29">
        <v>9.36</v>
      </c>
      <c r="J1192" s="29">
        <v>8.4239999999999995</v>
      </c>
      <c r="K1192" s="29">
        <v>8.4239999999999995</v>
      </c>
      <c r="L1192" s="29" t="s">
        <v>1032</v>
      </c>
      <c r="M1192" s="29">
        <v>1</v>
      </c>
      <c r="N1192" s="29">
        <v>0.9</v>
      </c>
      <c r="O1192" s="29">
        <v>1</v>
      </c>
      <c r="P1192" s="29">
        <v>8.4239999999999995</v>
      </c>
      <c r="Q1192" s="29" t="s">
        <v>1033</v>
      </c>
    </row>
    <row r="1193" spans="1:17" x14ac:dyDescent="0.3">
      <c r="A1193" s="29" t="s">
        <v>717</v>
      </c>
      <c r="B1193" s="29">
        <v>1</v>
      </c>
      <c r="C1193" s="29" t="s">
        <v>1063</v>
      </c>
      <c r="D1193" s="29" t="s">
        <v>1095</v>
      </c>
      <c r="E1193" s="29">
        <v>900</v>
      </c>
      <c r="G1193" s="29" t="s">
        <v>1035</v>
      </c>
      <c r="H1193" s="29">
        <v>1</v>
      </c>
      <c r="I1193" s="29">
        <v>9.36</v>
      </c>
      <c r="J1193" s="29">
        <v>8.4239999999999995</v>
      </c>
      <c r="K1193" s="29">
        <v>8.4239999999999995</v>
      </c>
      <c r="L1193" s="29" t="s">
        <v>1032</v>
      </c>
      <c r="M1193" s="29">
        <v>1</v>
      </c>
      <c r="N1193" s="29">
        <v>0.9</v>
      </c>
      <c r="O1193" s="29">
        <v>1</v>
      </c>
      <c r="P1193" s="29">
        <v>8.4239999999999995</v>
      </c>
      <c r="Q1193" s="29" t="s">
        <v>1033</v>
      </c>
    </row>
    <row r="1194" spans="1:17" x14ac:dyDescent="0.3">
      <c r="A1194" s="29" t="s">
        <v>717</v>
      </c>
      <c r="B1194" s="29">
        <v>1</v>
      </c>
      <c r="C1194" s="29" t="s">
        <v>1063</v>
      </c>
      <c r="D1194" s="29" t="s">
        <v>1095</v>
      </c>
      <c r="E1194" s="29">
        <v>900</v>
      </c>
      <c r="G1194" s="29" t="s">
        <v>1035</v>
      </c>
      <c r="H1194" s="29">
        <v>1</v>
      </c>
      <c r="I1194" s="29">
        <v>9.36</v>
      </c>
      <c r="J1194" s="29">
        <v>8.4239999999999995</v>
      </c>
      <c r="K1194" s="29">
        <v>8.4239999999999995</v>
      </c>
      <c r="L1194" s="29" t="s">
        <v>1032</v>
      </c>
      <c r="M1194" s="29">
        <v>1</v>
      </c>
      <c r="N1194" s="29">
        <v>0.9</v>
      </c>
      <c r="O1194" s="29">
        <v>1</v>
      </c>
      <c r="P1194" s="29">
        <v>8.4239999999999995</v>
      </c>
      <c r="Q1194" s="29" t="s">
        <v>1033</v>
      </c>
    </row>
    <row r="1195" spans="1:17" x14ac:dyDescent="0.3">
      <c r="A1195" s="29" t="s">
        <v>717</v>
      </c>
      <c r="B1195" s="29">
        <v>1</v>
      </c>
      <c r="C1195" s="29" t="s">
        <v>1063</v>
      </c>
      <c r="D1195" s="29" t="s">
        <v>1095</v>
      </c>
      <c r="E1195" s="29">
        <v>900</v>
      </c>
      <c r="G1195" s="29" t="s">
        <v>1035</v>
      </c>
      <c r="H1195" s="29">
        <v>1</v>
      </c>
      <c r="I1195" s="29">
        <v>9.36</v>
      </c>
      <c r="J1195" s="29">
        <v>8.4239999999999995</v>
      </c>
      <c r="K1195" s="29">
        <v>8.4239999999999995</v>
      </c>
      <c r="L1195" s="29" t="s">
        <v>1032</v>
      </c>
      <c r="M1195" s="29">
        <v>1</v>
      </c>
      <c r="N1195" s="29">
        <v>0.9</v>
      </c>
      <c r="O1195" s="29">
        <v>1</v>
      </c>
      <c r="P1195" s="29">
        <v>8.4239999999999995</v>
      </c>
      <c r="Q1195" s="29" t="s">
        <v>1033</v>
      </c>
    </row>
    <row r="1196" spans="1:17" x14ac:dyDescent="0.3">
      <c r="A1196" s="29" t="s">
        <v>718</v>
      </c>
      <c r="B1196" s="29">
        <v>1</v>
      </c>
      <c r="C1196" s="29" t="s">
        <v>1063</v>
      </c>
      <c r="D1196" s="29" t="s">
        <v>1095</v>
      </c>
      <c r="E1196" s="29">
        <v>1000</v>
      </c>
      <c r="G1196" s="29" t="s">
        <v>1035</v>
      </c>
      <c r="H1196" s="29">
        <v>1</v>
      </c>
      <c r="I1196" s="29">
        <v>9.36</v>
      </c>
      <c r="J1196" s="29">
        <v>9.36</v>
      </c>
      <c r="K1196" s="29">
        <v>9.36</v>
      </c>
      <c r="L1196" s="29" t="s">
        <v>1032</v>
      </c>
      <c r="M1196" s="29">
        <v>1</v>
      </c>
      <c r="N1196" s="29">
        <v>1</v>
      </c>
      <c r="O1196" s="29">
        <v>1</v>
      </c>
      <c r="P1196" s="29">
        <v>9.36</v>
      </c>
      <c r="Q1196" s="29" t="s">
        <v>1033</v>
      </c>
    </row>
    <row r="1197" spans="1:17" x14ac:dyDescent="0.3">
      <c r="A1197" s="29" t="s">
        <v>719</v>
      </c>
      <c r="B1197" s="29">
        <v>1</v>
      </c>
      <c r="C1197" s="29" t="s">
        <v>1063</v>
      </c>
      <c r="D1197" s="29" t="s">
        <v>1095</v>
      </c>
      <c r="E1197" s="29">
        <v>1100</v>
      </c>
      <c r="G1197" s="29" t="s">
        <v>1035</v>
      </c>
      <c r="H1197" s="29">
        <v>1</v>
      </c>
      <c r="I1197" s="29">
        <v>9.36</v>
      </c>
      <c r="J1197" s="29">
        <v>10.295999999999999</v>
      </c>
      <c r="K1197" s="29">
        <v>10.295999999999999</v>
      </c>
      <c r="L1197" s="29" t="s">
        <v>1032</v>
      </c>
      <c r="M1197" s="29">
        <v>1</v>
      </c>
      <c r="N1197" s="29">
        <v>1.1000000000000001</v>
      </c>
      <c r="O1197" s="29">
        <v>1</v>
      </c>
      <c r="P1197" s="29">
        <v>10.295999999999999</v>
      </c>
      <c r="Q1197" s="29" t="s">
        <v>1033</v>
      </c>
    </row>
    <row r="1198" spans="1:17" x14ac:dyDescent="0.3">
      <c r="A1198" s="29" t="s">
        <v>719</v>
      </c>
      <c r="B1198" s="29">
        <v>1</v>
      </c>
      <c r="C1198" s="29" t="s">
        <v>1063</v>
      </c>
      <c r="D1198" s="29" t="s">
        <v>1095</v>
      </c>
      <c r="E1198" s="29">
        <v>1100</v>
      </c>
      <c r="G1198" s="29" t="s">
        <v>1035</v>
      </c>
      <c r="H1198" s="29">
        <v>1</v>
      </c>
      <c r="I1198" s="29">
        <v>9.36</v>
      </c>
      <c r="J1198" s="29">
        <v>10.295999999999999</v>
      </c>
      <c r="K1198" s="29">
        <v>10.295999999999999</v>
      </c>
      <c r="L1198" s="29" t="s">
        <v>1032</v>
      </c>
      <c r="M1198" s="29">
        <v>1</v>
      </c>
      <c r="N1198" s="29">
        <v>1.1000000000000001</v>
      </c>
      <c r="O1198" s="29">
        <v>1</v>
      </c>
      <c r="P1198" s="29">
        <v>10.295999999999999</v>
      </c>
      <c r="Q1198" s="29" t="s">
        <v>1033</v>
      </c>
    </row>
    <row r="1199" spans="1:17" x14ac:dyDescent="0.3">
      <c r="A1199" s="29" t="s">
        <v>719</v>
      </c>
      <c r="B1199" s="29">
        <v>1</v>
      </c>
      <c r="C1199" s="29" t="s">
        <v>1063</v>
      </c>
      <c r="D1199" s="29" t="s">
        <v>1095</v>
      </c>
      <c r="E1199" s="29">
        <v>1100</v>
      </c>
      <c r="G1199" s="29" t="s">
        <v>1035</v>
      </c>
      <c r="H1199" s="29">
        <v>1</v>
      </c>
      <c r="I1199" s="29">
        <v>9.36</v>
      </c>
      <c r="J1199" s="29">
        <v>10.295999999999999</v>
      </c>
      <c r="K1199" s="29">
        <v>10.295999999999999</v>
      </c>
      <c r="L1199" s="29" t="s">
        <v>1032</v>
      </c>
      <c r="M1199" s="29">
        <v>1</v>
      </c>
      <c r="N1199" s="29">
        <v>1.1000000000000001</v>
      </c>
      <c r="O1199" s="29">
        <v>1</v>
      </c>
      <c r="P1199" s="29">
        <v>10.295999999999999</v>
      </c>
      <c r="Q1199" s="29" t="s">
        <v>1033</v>
      </c>
    </row>
    <row r="1200" spans="1:17" x14ac:dyDescent="0.3">
      <c r="A1200" s="29" t="s">
        <v>720</v>
      </c>
      <c r="B1200" s="29">
        <v>1</v>
      </c>
      <c r="C1200" s="29" t="s">
        <v>1063</v>
      </c>
      <c r="D1200" s="29" t="s">
        <v>1095</v>
      </c>
      <c r="E1200" s="29">
        <v>1200</v>
      </c>
      <c r="G1200" s="29" t="s">
        <v>1035</v>
      </c>
      <c r="H1200" s="29">
        <v>1</v>
      </c>
      <c r="I1200" s="29">
        <v>9.36</v>
      </c>
      <c r="J1200" s="29">
        <v>11.231999999999999</v>
      </c>
      <c r="K1200" s="29">
        <v>11.231999999999999</v>
      </c>
      <c r="L1200" s="29" t="s">
        <v>1032</v>
      </c>
      <c r="M1200" s="29">
        <v>1</v>
      </c>
      <c r="N1200" s="29">
        <v>1.2</v>
      </c>
      <c r="O1200" s="29">
        <v>1</v>
      </c>
      <c r="P1200" s="29">
        <v>11.231999999999999</v>
      </c>
      <c r="Q1200" s="29" t="s">
        <v>1033</v>
      </c>
    </row>
    <row r="1201" spans="1:17" x14ac:dyDescent="0.3">
      <c r="A1201" s="29" t="s">
        <v>720</v>
      </c>
      <c r="B1201" s="29">
        <v>1</v>
      </c>
      <c r="C1201" s="29" t="s">
        <v>1063</v>
      </c>
      <c r="D1201" s="29" t="s">
        <v>1095</v>
      </c>
      <c r="E1201" s="29">
        <v>1200</v>
      </c>
      <c r="G1201" s="29" t="s">
        <v>1035</v>
      </c>
      <c r="H1201" s="29">
        <v>1</v>
      </c>
      <c r="I1201" s="29">
        <v>9.36</v>
      </c>
      <c r="J1201" s="29">
        <v>11.231999999999999</v>
      </c>
      <c r="K1201" s="29">
        <v>11.231999999999999</v>
      </c>
      <c r="L1201" s="29" t="s">
        <v>1032</v>
      </c>
      <c r="M1201" s="29">
        <v>1</v>
      </c>
      <c r="N1201" s="29">
        <v>1.2</v>
      </c>
      <c r="O1201" s="29">
        <v>1</v>
      </c>
      <c r="P1201" s="29">
        <v>11.231999999999999</v>
      </c>
      <c r="Q1201" s="29" t="s">
        <v>1033</v>
      </c>
    </row>
    <row r="1202" spans="1:17" x14ac:dyDescent="0.3">
      <c r="A1202" s="29" t="s">
        <v>721</v>
      </c>
      <c r="B1202" s="29">
        <v>1</v>
      </c>
      <c r="C1202" s="29" t="s">
        <v>1063</v>
      </c>
      <c r="D1202" s="29" t="s">
        <v>1095</v>
      </c>
      <c r="E1202" s="29">
        <v>1300</v>
      </c>
      <c r="G1202" s="29" t="s">
        <v>1035</v>
      </c>
      <c r="H1202" s="29">
        <v>1</v>
      </c>
      <c r="I1202" s="29">
        <v>9.36</v>
      </c>
      <c r="J1202" s="29">
        <v>12.167999999999999</v>
      </c>
      <c r="K1202" s="29">
        <v>12.167999999999999</v>
      </c>
      <c r="L1202" s="29" t="s">
        <v>1032</v>
      </c>
      <c r="M1202" s="29">
        <v>1</v>
      </c>
      <c r="N1202" s="29">
        <v>1.3</v>
      </c>
      <c r="O1202" s="29">
        <v>1</v>
      </c>
      <c r="P1202" s="29">
        <v>12.167999999999999</v>
      </c>
      <c r="Q1202" s="29" t="s">
        <v>1033</v>
      </c>
    </row>
    <row r="1203" spans="1:17" x14ac:dyDescent="0.3">
      <c r="A1203" s="29" t="s">
        <v>722</v>
      </c>
      <c r="B1203" s="29">
        <v>1</v>
      </c>
      <c r="C1203" s="29" t="s">
        <v>1063</v>
      </c>
      <c r="D1203" s="29" t="s">
        <v>1064</v>
      </c>
      <c r="E1203" s="29">
        <v>200</v>
      </c>
      <c r="G1203" s="29" t="s">
        <v>1035</v>
      </c>
      <c r="H1203" s="29">
        <v>1</v>
      </c>
      <c r="I1203" s="29">
        <v>13.4</v>
      </c>
      <c r="J1203" s="29">
        <v>2.68</v>
      </c>
      <c r="K1203" s="29">
        <v>2.68</v>
      </c>
      <c r="L1203" s="29" t="s">
        <v>1032</v>
      </c>
      <c r="M1203" s="29">
        <v>1</v>
      </c>
      <c r="N1203" s="29">
        <v>0.2</v>
      </c>
      <c r="O1203" s="29">
        <v>1</v>
      </c>
      <c r="P1203" s="29">
        <v>2.68</v>
      </c>
      <c r="Q1203" s="29" t="s">
        <v>1033</v>
      </c>
    </row>
    <row r="1204" spans="1:17" x14ac:dyDescent="0.3">
      <c r="A1204" s="29" t="s">
        <v>723</v>
      </c>
      <c r="B1204" s="29">
        <v>1</v>
      </c>
      <c r="C1204" s="29" t="s">
        <v>1063</v>
      </c>
      <c r="D1204" s="29" t="s">
        <v>1064</v>
      </c>
      <c r="E1204" s="29">
        <v>500</v>
      </c>
      <c r="G1204" s="29" t="s">
        <v>1035</v>
      </c>
      <c r="H1204" s="29">
        <v>1</v>
      </c>
      <c r="I1204" s="29">
        <v>13.4</v>
      </c>
      <c r="J1204" s="29">
        <v>6.7</v>
      </c>
      <c r="K1204" s="29">
        <v>6.7</v>
      </c>
      <c r="L1204" s="29" t="s">
        <v>1032</v>
      </c>
      <c r="M1204" s="29">
        <v>1</v>
      </c>
      <c r="N1204" s="29">
        <v>0.5</v>
      </c>
      <c r="O1204" s="29">
        <v>1</v>
      </c>
      <c r="P1204" s="29">
        <v>6.7</v>
      </c>
      <c r="Q1204" s="29" t="s">
        <v>1033</v>
      </c>
    </row>
    <row r="1205" spans="1:17" x14ac:dyDescent="0.3">
      <c r="A1205" s="29" t="s">
        <v>723</v>
      </c>
      <c r="B1205" s="29">
        <v>1</v>
      </c>
      <c r="C1205" s="29" t="s">
        <v>1063</v>
      </c>
      <c r="D1205" s="29" t="s">
        <v>1064</v>
      </c>
      <c r="E1205" s="29">
        <v>500</v>
      </c>
      <c r="G1205" s="29" t="s">
        <v>1035</v>
      </c>
      <c r="H1205" s="29">
        <v>1</v>
      </c>
      <c r="I1205" s="29">
        <v>13.4</v>
      </c>
      <c r="J1205" s="29">
        <v>6.7</v>
      </c>
      <c r="K1205" s="29">
        <v>6.7</v>
      </c>
      <c r="L1205" s="29" t="s">
        <v>1032</v>
      </c>
      <c r="M1205" s="29">
        <v>1</v>
      </c>
      <c r="N1205" s="29">
        <v>0.5</v>
      </c>
      <c r="O1205" s="29">
        <v>1</v>
      </c>
      <c r="P1205" s="29">
        <v>6.7</v>
      </c>
      <c r="Q1205" s="29" t="s">
        <v>1033</v>
      </c>
    </row>
    <row r="1206" spans="1:17" x14ac:dyDescent="0.3">
      <c r="A1206" s="29" t="s">
        <v>723</v>
      </c>
      <c r="B1206" s="29">
        <v>1</v>
      </c>
      <c r="C1206" s="29" t="s">
        <v>1063</v>
      </c>
      <c r="D1206" s="29" t="s">
        <v>1064</v>
      </c>
      <c r="E1206" s="29">
        <v>500</v>
      </c>
      <c r="G1206" s="29" t="s">
        <v>1035</v>
      </c>
      <c r="H1206" s="29">
        <v>1</v>
      </c>
      <c r="I1206" s="29">
        <v>13.4</v>
      </c>
      <c r="J1206" s="29">
        <v>6.7</v>
      </c>
      <c r="K1206" s="29">
        <v>6.7</v>
      </c>
      <c r="L1206" s="29" t="s">
        <v>1032</v>
      </c>
      <c r="M1206" s="29">
        <v>1</v>
      </c>
      <c r="N1206" s="29">
        <v>0.5</v>
      </c>
      <c r="O1206" s="29">
        <v>1</v>
      </c>
      <c r="P1206" s="29">
        <v>6.7</v>
      </c>
      <c r="Q1206" s="29" t="s">
        <v>1033</v>
      </c>
    </row>
    <row r="1207" spans="1:17" x14ac:dyDescent="0.3">
      <c r="A1207" s="29" t="s">
        <v>724</v>
      </c>
      <c r="B1207" s="29">
        <v>1</v>
      </c>
      <c r="C1207" s="29" t="s">
        <v>1063</v>
      </c>
      <c r="D1207" s="29" t="s">
        <v>1064</v>
      </c>
      <c r="E1207" s="29">
        <v>600</v>
      </c>
      <c r="G1207" s="29" t="s">
        <v>1035</v>
      </c>
      <c r="H1207" s="29">
        <v>1</v>
      </c>
      <c r="I1207" s="29">
        <v>13.4</v>
      </c>
      <c r="J1207" s="29">
        <v>8.0399999999999991</v>
      </c>
      <c r="K1207" s="29">
        <v>8.0399999999999991</v>
      </c>
      <c r="L1207" s="29" t="s">
        <v>1032</v>
      </c>
      <c r="M1207" s="29">
        <v>1</v>
      </c>
      <c r="N1207" s="29">
        <v>0.6</v>
      </c>
      <c r="O1207" s="29">
        <v>1</v>
      </c>
      <c r="P1207" s="29">
        <v>8.0399999999999991</v>
      </c>
      <c r="Q1207" s="29" t="s">
        <v>1033</v>
      </c>
    </row>
    <row r="1208" spans="1:17" x14ac:dyDescent="0.3">
      <c r="A1208" s="29" t="s">
        <v>724</v>
      </c>
      <c r="B1208" s="29">
        <v>1</v>
      </c>
      <c r="C1208" s="29" t="s">
        <v>1063</v>
      </c>
      <c r="D1208" s="29" t="s">
        <v>1064</v>
      </c>
      <c r="E1208" s="29">
        <v>600</v>
      </c>
      <c r="G1208" s="29" t="s">
        <v>1035</v>
      </c>
      <c r="H1208" s="29">
        <v>1</v>
      </c>
      <c r="I1208" s="29">
        <v>13.4</v>
      </c>
      <c r="J1208" s="29">
        <v>8.0399999999999991</v>
      </c>
      <c r="K1208" s="29">
        <v>8.0399999999999991</v>
      </c>
      <c r="L1208" s="29" t="s">
        <v>1032</v>
      </c>
      <c r="M1208" s="29">
        <v>1</v>
      </c>
      <c r="N1208" s="29">
        <v>0.6</v>
      </c>
      <c r="O1208" s="29">
        <v>1</v>
      </c>
      <c r="P1208" s="29">
        <v>8.0399999999999991</v>
      </c>
      <c r="Q1208" s="29" t="s">
        <v>1033</v>
      </c>
    </row>
    <row r="1209" spans="1:17" x14ac:dyDescent="0.3">
      <c r="A1209" s="29" t="s">
        <v>724</v>
      </c>
      <c r="B1209" s="29">
        <v>1</v>
      </c>
      <c r="C1209" s="29" t="s">
        <v>1063</v>
      </c>
      <c r="D1209" s="29" t="s">
        <v>1064</v>
      </c>
      <c r="E1209" s="29">
        <v>600</v>
      </c>
      <c r="G1209" s="29" t="s">
        <v>1035</v>
      </c>
      <c r="H1209" s="29">
        <v>1</v>
      </c>
      <c r="I1209" s="29">
        <v>13.4</v>
      </c>
      <c r="J1209" s="29">
        <v>8.0399999999999991</v>
      </c>
      <c r="K1209" s="29">
        <v>8.0399999999999991</v>
      </c>
      <c r="L1209" s="29" t="s">
        <v>1032</v>
      </c>
      <c r="M1209" s="29">
        <v>1</v>
      </c>
      <c r="N1209" s="29">
        <v>0.6</v>
      </c>
      <c r="O1209" s="29">
        <v>1</v>
      </c>
      <c r="P1209" s="29">
        <v>8.0399999999999991</v>
      </c>
      <c r="Q1209" s="29" t="s">
        <v>1033</v>
      </c>
    </row>
    <row r="1210" spans="1:17" x14ac:dyDescent="0.3">
      <c r="A1210" s="29" t="s">
        <v>725</v>
      </c>
      <c r="B1210" s="29">
        <v>1</v>
      </c>
      <c r="C1210" s="29" t="s">
        <v>1063</v>
      </c>
      <c r="D1210" s="29" t="s">
        <v>1064</v>
      </c>
      <c r="E1210" s="29">
        <v>700</v>
      </c>
      <c r="G1210" s="29" t="s">
        <v>1035</v>
      </c>
      <c r="H1210" s="29">
        <v>1</v>
      </c>
      <c r="I1210" s="29">
        <v>13.4</v>
      </c>
      <c r="J1210" s="29">
        <v>9.379999999999999</v>
      </c>
      <c r="K1210" s="29">
        <v>9.379999999999999</v>
      </c>
      <c r="L1210" s="29" t="s">
        <v>1032</v>
      </c>
      <c r="M1210" s="29">
        <v>1</v>
      </c>
      <c r="N1210" s="29">
        <v>0.7</v>
      </c>
      <c r="O1210" s="29">
        <v>1</v>
      </c>
      <c r="P1210" s="29">
        <v>9.379999999999999</v>
      </c>
      <c r="Q1210" s="29" t="s">
        <v>1033</v>
      </c>
    </row>
    <row r="1211" spans="1:17" x14ac:dyDescent="0.3">
      <c r="A1211" s="29" t="s">
        <v>726</v>
      </c>
      <c r="B1211" s="29">
        <v>1</v>
      </c>
      <c r="C1211" s="29" t="s">
        <v>1063</v>
      </c>
      <c r="D1211" s="29" t="s">
        <v>1064</v>
      </c>
      <c r="E1211" s="29">
        <v>800</v>
      </c>
      <c r="G1211" s="29" t="s">
        <v>1035</v>
      </c>
      <c r="H1211" s="29">
        <v>1</v>
      </c>
      <c r="I1211" s="29">
        <v>13.4</v>
      </c>
      <c r="J1211" s="29">
        <v>10.72</v>
      </c>
      <c r="K1211" s="29">
        <v>10.72</v>
      </c>
      <c r="L1211" s="29" t="s">
        <v>1032</v>
      </c>
      <c r="M1211" s="29">
        <v>1</v>
      </c>
      <c r="N1211" s="29">
        <v>0.8</v>
      </c>
      <c r="O1211" s="29">
        <v>1</v>
      </c>
      <c r="P1211" s="29">
        <v>10.72</v>
      </c>
      <c r="Q1211" s="29" t="s">
        <v>1033</v>
      </c>
    </row>
    <row r="1212" spans="1:17" x14ac:dyDescent="0.3">
      <c r="A1212" s="29" t="s">
        <v>727</v>
      </c>
      <c r="B1212" s="29">
        <v>1</v>
      </c>
      <c r="C1212" s="29" t="s">
        <v>1063</v>
      </c>
      <c r="D1212" s="29" t="s">
        <v>1064</v>
      </c>
      <c r="E1212" s="29">
        <v>900</v>
      </c>
      <c r="G1212" s="29" t="s">
        <v>1035</v>
      </c>
      <c r="H1212" s="29">
        <v>1</v>
      </c>
      <c r="I1212" s="29">
        <v>13.4</v>
      </c>
      <c r="J1212" s="29">
        <v>12.06</v>
      </c>
      <c r="K1212" s="29">
        <v>12.06</v>
      </c>
      <c r="L1212" s="29" t="s">
        <v>1032</v>
      </c>
      <c r="M1212" s="29">
        <v>1</v>
      </c>
      <c r="N1212" s="29">
        <v>0.9</v>
      </c>
      <c r="O1212" s="29">
        <v>1</v>
      </c>
      <c r="P1212" s="29">
        <v>12.06</v>
      </c>
      <c r="Q1212" s="29" t="s">
        <v>1033</v>
      </c>
    </row>
    <row r="1213" spans="1:17" x14ac:dyDescent="0.3">
      <c r="A1213" s="29" t="s">
        <v>727</v>
      </c>
      <c r="B1213" s="29">
        <v>1</v>
      </c>
      <c r="C1213" s="29" t="s">
        <v>1063</v>
      </c>
      <c r="D1213" s="29" t="s">
        <v>1064</v>
      </c>
      <c r="E1213" s="29">
        <v>900</v>
      </c>
      <c r="G1213" s="29" t="s">
        <v>1035</v>
      </c>
      <c r="H1213" s="29">
        <v>1</v>
      </c>
      <c r="I1213" s="29">
        <v>13.4</v>
      </c>
      <c r="J1213" s="29">
        <v>12.06</v>
      </c>
      <c r="K1213" s="29">
        <v>12.06</v>
      </c>
      <c r="L1213" s="29" t="s">
        <v>1032</v>
      </c>
      <c r="M1213" s="29">
        <v>1</v>
      </c>
      <c r="N1213" s="29">
        <v>0.9</v>
      </c>
      <c r="O1213" s="29">
        <v>1</v>
      </c>
      <c r="P1213" s="29">
        <v>12.06</v>
      </c>
      <c r="Q1213" s="29" t="s">
        <v>1033</v>
      </c>
    </row>
    <row r="1214" spans="1:17" x14ac:dyDescent="0.3">
      <c r="A1214" s="29" t="s">
        <v>728</v>
      </c>
      <c r="B1214" s="29">
        <v>1</v>
      </c>
      <c r="C1214" s="29" t="s">
        <v>1063</v>
      </c>
      <c r="D1214" s="29" t="s">
        <v>1094</v>
      </c>
      <c r="E1214" s="29">
        <v>300</v>
      </c>
      <c r="G1214" s="29" t="s">
        <v>1035</v>
      </c>
      <c r="H1214" s="29">
        <v>1</v>
      </c>
      <c r="I1214" s="29">
        <v>24</v>
      </c>
      <c r="J1214" s="29">
        <v>7.1999999999999993</v>
      </c>
      <c r="K1214" s="29">
        <v>7.1999999999999993</v>
      </c>
      <c r="L1214" s="29" t="s">
        <v>1032</v>
      </c>
      <c r="M1214" s="29">
        <v>1</v>
      </c>
      <c r="N1214" s="29">
        <v>0.3</v>
      </c>
      <c r="O1214" s="29">
        <v>1</v>
      </c>
      <c r="P1214" s="29">
        <v>7.1999999999999993</v>
      </c>
      <c r="Q1214" s="29" t="s">
        <v>1033</v>
      </c>
    </row>
    <row r="1215" spans="1:17" x14ac:dyDescent="0.3">
      <c r="A1215" s="29" t="s">
        <v>729</v>
      </c>
      <c r="B1215" s="29">
        <v>1</v>
      </c>
      <c r="C1215" s="29" t="s">
        <v>1063</v>
      </c>
      <c r="D1215" s="29" t="s">
        <v>1094</v>
      </c>
      <c r="E1215" s="29">
        <v>400</v>
      </c>
      <c r="G1215" s="29" t="s">
        <v>1035</v>
      </c>
      <c r="H1215" s="29">
        <v>1</v>
      </c>
      <c r="I1215" s="29">
        <v>24</v>
      </c>
      <c r="J1215" s="29">
        <v>9.6000000000000014</v>
      </c>
      <c r="K1215" s="29">
        <v>9.6000000000000014</v>
      </c>
      <c r="L1215" s="29" t="s">
        <v>1032</v>
      </c>
      <c r="M1215" s="29">
        <v>1</v>
      </c>
      <c r="N1215" s="29">
        <v>0.4</v>
      </c>
      <c r="O1215" s="29">
        <v>1</v>
      </c>
      <c r="P1215" s="29">
        <v>9.6000000000000014</v>
      </c>
      <c r="Q1215" s="29" t="s">
        <v>1033</v>
      </c>
    </row>
    <row r="1216" spans="1:17" x14ac:dyDescent="0.3">
      <c r="A1216" s="29" t="s">
        <v>729</v>
      </c>
      <c r="B1216" s="29">
        <v>1</v>
      </c>
      <c r="C1216" s="29" t="s">
        <v>1063</v>
      </c>
      <c r="D1216" s="29" t="s">
        <v>1094</v>
      </c>
      <c r="E1216" s="29">
        <v>400</v>
      </c>
      <c r="G1216" s="29" t="s">
        <v>1035</v>
      </c>
      <c r="H1216" s="29">
        <v>1</v>
      </c>
      <c r="I1216" s="29">
        <v>24</v>
      </c>
      <c r="J1216" s="29">
        <v>9.6000000000000014</v>
      </c>
      <c r="K1216" s="29">
        <v>9.6000000000000014</v>
      </c>
      <c r="L1216" s="29" t="s">
        <v>1032</v>
      </c>
      <c r="M1216" s="29">
        <v>1</v>
      </c>
      <c r="N1216" s="29">
        <v>0.4</v>
      </c>
      <c r="O1216" s="29">
        <v>1</v>
      </c>
      <c r="P1216" s="29">
        <v>9.6000000000000014</v>
      </c>
      <c r="Q1216" s="29" t="s">
        <v>1033</v>
      </c>
    </row>
    <row r="1217" spans="1:17" x14ac:dyDescent="0.3">
      <c r="A1217" s="29" t="s">
        <v>730</v>
      </c>
      <c r="B1217" s="29">
        <v>1</v>
      </c>
      <c r="C1217" s="29" t="s">
        <v>1063</v>
      </c>
      <c r="D1217" s="29" t="s">
        <v>1094</v>
      </c>
      <c r="E1217" s="29">
        <v>500</v>
      </c>
      <c r="G1217" s="29" t="s">
        <v>1035</v>
      </c>
      <c r="H1217" s="29">
        <v>1</v>
      </c>
      <c r="I1217" s="29">
        <v>24</v>
      </c>
      <c r="J1217" s="29">
        <v>12</v>
      </c>
      <c r="K1217" s="29">
        <v>12</v>
      </c>
      <c r="L1217" s="29" t="s">
        <v>1032</v>
      </c>
      <c r="M1217" s="29">
        <v>1</v>
      </c>
      <c r="N1217" s="29">
        <v>0.5</v>
      </c>
      <c r="O1217" s="29">
        <v>1</v>
      </c>
      <c r="P1217" s="29">
        <v>12</v>
      </c>
      <c r="Q1217" s="29" t="s">
        <v>1033</v>
      </c>
    </row>
    <row r="1218" spans="1:17" x14ac:dyDescent="0.3">
      <c r="A1218" s="29" t="s">
        <v>731</v>
      </c>
      <c r="B1218" s="29">
        <v>1</v>
      </c>
      <c r="C1218" s="29" t="s">
        <v>1063</v>
      </c>
      <c r="D1218" s="29" t="s">
        <v>1094</v>
      </c>
      <c r="E1218" s="29">
        <v>600</v>
      </c>
      <c r="G1218" s="29" t="s">
        <v>1035</v>
      </c>
      <c r="H1218" s="29">
        <v>1</v>
      </c>
      <c r="I1218" s="29">
        <v>24</v>
      </c>
      <c r="J1218" s="29">
        <v>14.399999999999999</v>
      </c>
      <c r="K1218" s="29">
        <v>14.399999999999999</v>
      </c>
      <c r="L1218" s="29" t="s">
        <v>1032</v>
      </c>
      <c r="M1218" s="29">
        <v>1</v>
      </c>
      <c r="N1218" s="29">
        <v>0.6</v>
      </c>
      <c r="O1218" s="29">
        <v>1</v>
      </c>
      <c r="P1218" s="29">
        <v>14.399999999999999</v>
      </c>
      <c r="Q1218" s="29" t="s">
        <v>1033</v>
      </c>
    </row>
    <row r="1219" spans="1:17" x14ac:dyDescent="0.3">
      <c r="A1219" s="29" t="s">
        <v>731</v>
      </c>
      <c r="B1219" s="29">
        <v>1</v>
      </c>
      <c r="C1219" s="29" t="s">
        <v>1063</v>
      </c>
      <c r="D1219" s="29" t="s">
        <v>1094</v>
      </c>
      <c r="E1219" s="29">
        <v>600</v>
      </c>
      <c r="G1219" s="29" t="s">
        <v>1035</v>
      </c>
      <c r="H1219" s="29">
        <v>1</v>
      </c>
      <c r="I1219" s="29">
        <v>24</v>
      </c>
      <c r="J1219" s="29">
        <v>14.399999999999999</v>
      </c>
      <c r="K1219" s="29">
        <v>14.399999999999999</v>
      </c>
      <c r="L1219" s="29" t="s">
        <v>1032</v>
      </c>
      <c r="M1219" s="29">
        <v>1</v>
      </c>
      <c r="N1219" s="29">
        <v>0.6</v>
      </c>
      <c r="O1219" s="29">
        <v>1</v>
      </c>
      <c r="P1219" s="29">
        <v>14.399999999999999</v>
      </c>
      <c r="Q1219" s="29" t="s">
        <v>1033</v>
      </c>
    </row>
    <row r="1220" spans="1:17" x14ac:dyDescent="0.3">
      <c r="A1220" s="29" t="s">
        <v>732</v>
      </c>
      <c r="B1220" s="29">
        <v>1</v>
      </c>
      <c r="C1220" s="29" t="s">
        <v>1063</v>
      </c>
      <c r="D1220" s="29" t="s">
        <v>1094</v>
      </c>
      <c r="E1220" s="29">
        <v>700</v>
      </c>
      <c r="G1220" s="29" t="s">
        <v>1035</v>
      </c>
      <c r="H1220" s="29">
        <v>1</v>
      </c>
      <c r="I1220" s="29">
        <v>24</v>
      </c>
      <c r="J1220" s="29">
        <v>16.799999999999997</v>
      </c>
      <c r="K1220" s="29">
        <v>16.799999999999997</v>
      </c>
      <c r="L1220" s="29" t="s">
        <v>1032</v>
      </c>
      <c r="M1220" s="29">
        <v>1</v>
      </c>
      <c r="N1220" s="29">
        <v>0.7</v>
      </c>
      <c r="O1220" s="29">
        <v>1</v>
      </c>
      <c r="P1220" s="29">
        <v>16.799999999999997</v>
      </c>
      <c r="Q1220" s="29" t="s">
        <v>1033</v>
      </c>
    </row>
    <row r="1221" spans="1:17" x14ac:dyDescent="0.3">
      <c r="A1221" s="29" t="s">
        <v>732</v>
      </c>
      <c r="B1221" s="29">
        <v>1</v>
      </c>
      <c r="C1221" s="29" t="s">
        <v>1063</v>
      </c>
      <c r="D1221" s="29" t="s">
        <v>1094</v>
      </c>
      <c r="E1221" s="29">
        <v>700</v>
      </c>
      <c r="G1221" s="29" t="s">
        <v>1035</v>
      </c>
      <c r="H1221" s="29">
        <v>1</v>
      </c>
      <c r="I1221" s="29">
        <v>24</v>
      </c>
      <c r="J1221" s="29">
        <v>16.799999999999997</v>
      </c>
      <c r="K1221" s="29">
        <v>16.799999999999997</v>
      </c>
      <c r="L1221" s="29" t="s">
        <v>1032</v>
      </c>
      <c r="M1221" s="29">
        <v>1</v>
      </c>
      <c r="N1221" s="29">
        <v>0.7</v>
      </c>
      <c r="O1221" s="29">
        <v>1</v>
      </c>
      <c r="P1221" s="29">
        <v>16.799999999999997</v>
      </c>
      <c r="Q1221" s="29" t="s">
        <v>1033</v>
      </c>
    </row>
    <row r="1222" spans="1:17" x14ac:dyDescent="0.3">
      <c r="A1222" s="29" t="s">
        <v>732</v>
      </c>
      <c r="B1222" s="29">
        <v>1</v>
      </c>
      <c r="C1222" s="29" t="s">
        <v>1063</v>
      </c>
      <c r="D1222" s="29" t="s">
        <v>1094</v>
      </c>
      <c r="E1222" s="29">
        <v>700</v>
      </c>
      <c r="G1222" s="29" t="s">
        <v>1035</v>
      </c>
      <c r="H1222" s="29">
        <v>1</v>
      </c>
      <c r="I1222" s="29">
        <v>24</v>
      </c>
      <c r="J1222" s="29">
        <v>16.799999999999997</v>
      </c>
      <c r="K1222" s="29">
        <v>16.799999999999997</v>
      </c>
      <c r="L1222" s="29" t="s">
        <v>1032</v>
      </c>
      <c r="M1222" s="29">
        <v>1</v>
      </c>
      <c r="N1222" s="29">
        <v>0.7</v>
      </c>
      <c r="O1222" s="29">
        <v>1</v>
      </c>
      <c r="P1222" s="29">
        <v>16.799999999999997</v>
      </c>
      <c r="Q1222" s="29" t="s">
        <v>1033</v>
      </c>
    </row>
    <row r="1223" spans="1:17" x14ac:dyDescent="0.3">
      <c r="A1223" s="29" t="s">
        <v>733</v>
      </c>
      <c r="B1223" s="29">
        <v>1</v>
      </c>
      <c r="C1223" s="29" t="s">
        <v>1063</v>
      </c>
      <c r="D1223" s="29" t="s">
        <v>1094</v>
      </c>
      <c r="E1223" s="29">
        <v>800</v>
      </c>
      <c r="G1223" s="29" t="s">
        <v>1035</v>
      </c>
      <c r="H1223" s="29">
        <v>1</v>
      </c>
      <c r="I1223" s="29">
        <v>24</v>
      </c>
      <c r="J1223" s="29">
        <v>19.200000000000003</v>
      </c>
      <c r="K1223" s="29">
        <v>19.200000000000003</v>
      </c>
      <c r="L1223" s="29" t="s">
        <v>1032</v>
      </c>
      <c r="M1223" s="29">
        <v>1</v>
      </c>
      <c r="N1223" s="29">
        <v>0.8</v>
      </c>
      <c r="O1223" s="29">
        <v>1</v>
      </c>
      <c r="P1223" s="29">
        <v>19.200000000000003</v>
      </c>
      <c r="Q1223" s="29" t="s">
        <v>1033</v>
      </c>
    </row>
    <row r="1224" spans="1:17" x14ac:dyDescent="0.3">
      <c r="A1224" s="29" t="s">
        <v>734</v>
      </c>
      <c r="B1224" s="29">
        <v>1</v>
      </c>
      <c r="C1224" s="29" t="s">
        <v>1063</v>
      </c>
      <c r="D1224" s="29" t="s">
        <v>1094</v>
      </c>
      <c r="E1224" s="29">
        <v>1000</v>
      </c>
      <c r="G1224" s="29" t="s">
        <v>1035</v>
      </c>
      <c r="H1224" s="29">
        <v>1</v>
      </c>
      <c r="I1224" s="29">
        <v>24</v>
      </c>
      <c r="J1224" s="29">
        <v>24</v>
      </c>
      <c r="K1224" s="29">
        <v>24</v>
      </c>
      <c r="L1224" s="29" t="s">
        <v>1032</v>
      </c>
      <c r="M1224" s="29">
        <v>1</v>
      </c>
      <c r="N1224" s="29">
        <v>1</v>
      </c>
      <c r="O1224" s="29">
        <v>1</v>
      </c>
      <c r="P1224" s="29">
        <v>24</v>
      </c>
      <c r="Q1224" s="29" t="s">
        <v>1033</v>
      </c>
    </row>
    <row r="1225" spans="1:17" x14ac:dyDescent="0.3">
      <c r="A1225" s="29" t="s">
        <v>734</v>
      </c>
      <c r="B1225" s="29">
        <v>1</v>
      </c>
      <c r="C1225" s="29" t="s">
        <v>1063</v>
      </c>
      <c r="D1225" s="29" t="s">
        <v>1094</v>
      </c>
      <c r="E1225" s="29">
        <v>1000</v>
      </c>
      <c r="G1225" s="29" t="s">
        <v>1035</v>
      </c>
      <c r="H1225" s="29">
        <v>1</v>
      </c>
      <c r="I1225" s="29">
        <v>24</v>
      </c>
      <c r="J1225" s="29">
        <v>24</v>
      </c>
      <c r="K1225" s="29">
        <v>24</v>
      </c>
      <c r="L1225" s="29" t="s">
        <v>1032</v>
      </c>
      <c r="M1225" s="29">
        <v>1</v>
      </c>
      <c r="N1225" s="29">
        <v>1</v>
      </c>
      <c r="O1225" s="29">
        <v>1</v>
      </c>
      <c r="P1225" s="29">
        <v>24</v>
      </c>
      <c r="Q1225" s="29" t="s">
        <v>1033</v>
      </c>
    </row>
    <row r="1226" spans="1:17" x14ac:dyDescent="0.3">
      <c r="A1226" s="29" t="s">
        <v>735</v>
      </c>
      <c r="B1226" s="29">
        <v>1</v>
      </c>
      <c r="C1226" s="29" t="s">
        <v>1063</v>
      </c>
      <c r="D1226" s="29" t="s">
        <v>1094</v>
      </c>
      <c r="E1226" s="29">
        <v>1700</v>
      </c>
      <c r="G1226" s="29" t="s">
        <v>1035</v>
      </c>
      <c r="H1226" s="29">
        <v>1</v>
      </c>
      <c r="I1226" s="29">
        <v>24</v>
      </c>
      <c r="J1226" s="29">
        <v>40.799999999999997</v>
      </c>
      <c r="K1226" s="29">
        <v>40.799999999999997</v>
      </c>
      <c r="L1226" s="29" t="s">
        <v>1032</v>
      </c>
      <c r="M1226" s="29">
        <v>1</v>
      </c>
      <c r="N1226" s="29">
        <v>1.7</v>
      </c>
      <c r="O1226" s="29">
        <v>1</v>
      </c>
      <c r="P1226" s="29">
        <v>40.799999999999997</v>
      </c>
      <c r="Q1226" s="29" t="s">
        <v>1033</v>
      </c>
    </row>
    <row r="1227" spans="1:17" x14ac:dyDescent="0.3">
      <c r="A1227" s="29" t="s">
        <v>736</v>
      </c>
      <c r="B1227" s="29">
        <v>1</v>
      </c>
      <c r="C1227" s="29" t="s">
        <v>1050</v>
      </c>
      <c r="D1227" s="29" t="s">
        <v>1086</v>
      </c>
      <c r="E1227" s="29">
        <v>200</v>
      </c>
      <c r="G1227" s="29" t="s">
        <v>1035</v>
      </c>
      <c r="H1227" s="29">
        <v>1</v>
      </c>
      <c r="I1227" s="29">
        <v>4.43</v>
      </c>
      <c r="J1227" s="29">
        <v>0.88600000000000001</v>
      </c>
      <c r="K1227" s="29">
        <v>0.88600000000000001</v>
      </c>
      <c r="L1227" s="29" t="s">
        <v>1032</v>
      </c>
      <c r="M1227" s="29">
        <v>1</v>
      </c>
      <c r="N1227" s="29">
        <v>0.2</v>
      </c>
      <c r="O1227" s="29">
        <v>1</v>
      </c>
      <c r="P1227" s="29">
        <v>0.88600000000000001</v>
      </c>
      <c r="Q1227" s="29" t="s">
        <v>1033</v>
      </c>
    </row>
    <row r="1228" spans="1:17" x14ac:dyDescent="0.3">
      <c r="A1228" s="29" t="s">
        <v>736</v>
      </c>
      <c r="B1228" s="29">
        <v>1</v>
      </c>
      <c r="C1228" s="29" t="s">
        <v>1050</v>
      </c>
      <c r="D1228" s="29" t="s">
        <v>1086</v>
      </c>
      <c r="E1228" s="29">
        <v>200</v>
      </c>
      <c r="G1228" s="29" t="s">
        <v>1035</v>
      </c>
      <c r="H1228" s="29">
        <v>1</v>
      </c>
      <c r="I1228" s="29">
        <v>4.43</v>
      </c>
      <c r="J1228" s="29">
        <v>0.88600000000000001</v>
      </c>
      <c r="K1228" s="29">
        <v>0.88600000000000001</v>
      </c>
      <c r="L1228" s="29" t="s">
        <v>1032</v>
      </c>
      <c r="M1228" s="29">
        <v>1</v>
      </c>
      <c r="N1228" s="29">
        <v>0.2</v>
      </c>
      <c r="O1228" s="29">
        <v>1</v>
      </c>
      <c r="P1228" s="29">
        <v>0.88600000000000001</v>
      </c>
      <c r="Q1228" s="29" t="s">
        <v>1033</v>
      </c>
    </row>
    <row r="1229" spans="1:17" x14ac:dyDescent="0.3">
      <c r="A1229" s="29" t="s">
        <v>737</v>
      </c>
      <c r="B1229" s="29">
        <v>1</v>
      </c>
      <c r="C1229" s="29" t="s">
        <v>1050</v>
      </c>
      <c r="D1229" s="29" t="s">
        <v>1086</v>
      </c>
      <c r="E1229" s="29">
        <v>300</v>
      </c>
      <c r="G1229" s="29" t="s">
        <v>1035</v>
      </c>
      <c r="H1229" s="29">
        <v>1</v>
      </c>
      <c r="I1229" s="29">
        <v>4.43</v>
      </c>
      <c r="J1229" s="29">
        <v>1.329</v>
      </c>
      <c r="K1229" s="29">
        <v>1.329</v>
      </c>
      <c r="L1229" s="29" t="s">
        <v>1032</v>
      </c>
      <c r="M1229" s="29">
        <v>1</v>
      </c>
      <c r="N1229" s="29">
        <v>0.3</v>
      </c>
      <c r="O1229" s="29">
        <v>1</v>
      </c>
      <c r="P1229" s="29">
        <v>1.329</v>
      </c>
      <c r="Q1229" s="29" t="s">
        <v>1033</v>
      </c>
    </row>
    <row r="1230" spans="1:17" x14ac:dyDescent="0.3">
      <c r="A1230" s="29" t="s">
        <v>737</v>
      </c>
      <c r="B1230" s="29">
        <v>1</v>
      </c>
      <c r="C1230" s="29" t="s">
        <v>1050</v>
      </c>
      <c r="D1230" s="29" t="s">
        <v>1086</v>
      </c>
      <c r="E1230" s="29">
        <v>300</v>
      </c>
      <c r="G1230" s="29" t="s">
        <v>1035</v>
      </c>
      <c r="H1230" s="29">
        <v>1</v>
      </c>
      <c r="I1230" s="29">
        <v>4.43</v>
      </c>
      <c r="J1230" s="29">
        <v>1.329</v>
      </c>
      <c r="K1230" s="29">
        <v>1.329</v>
      </c>
      <c r="L1230" s="29" t="s">
        <v>1032</v>
      </c>
      <c r="M1230" s="29">
        <v>1</v>
      </c>
      <c r="N1230" s="29">
        <v>0.3</v>
      </c>
      <c r="O1230" s="29">
        <v>1</v>
      </c>
      <c r="P1230" s="29">
        <v>1.329</v>
      </c>
      <c r="Q1230" s="29" t="s">
        <v>1033</v>
      </c>
    </row>
    <row r="1231" spans="1:17" x14ac:dyDescent="0.3">
      <c r="A1231" s="29" t="s">
        <v>737</v>
      </c>
      <c r="B1231" s="29">
        <v>1</v>
      </c>
      <c r="C1231" s="29" t="s">
        <v>1050</v>
      </c>
      <c r="D1231" s="29" t="s">
        <v>1086</v>
      </c>
      <c r="E1231" s="29">
        <v>300</v>
      </c>
      <c r="G1231" s="29" t="s">
        <v>1035</v>
      </c>
      <c r="H1231" s="29">
        <v>1</v>
      </c>
      <c r="I1231" s="29">
        <v>4.43</v>
      </c>
      <c r="J1231" s="29">
        <v>1.329</v>
      </c>
      <c r="K1231" s="29">
        <v>1.329</v>
      </c>
      <c r="L1231" s="29" t="s">
        <v>1032</v>
      </c>
      <c r="M1231" s="29">
        <v>1</v>
      </c>
      <c r="N1231" s="29">
        <v>0.3</v>
      </c>
      <c r="O1231" s="29">
        <v>1</v>
      </c>
      <c r="P1231" s="29">
        <v>1.329</v>
      </c>
      <c r="Q1231" s="29" t="s">
        <v>1033</v>
      </c>
    </row>
    <row r="1232" spans="1:17" x14ac:dyDescent="0.3">
      <c r="A1232" s="29" t="s">
        <v>737</v>
      </c>
      <c r="B1232" s="29">
        <v>1</v>
      </c>
      <c r="C1232" s="29" t="s">
        <v>1050</v>
      </c>
      <c r="D1232" s="29" t="s">
        <v>1086</v>
      </c>
      <c r="E1232" s="29">
        <v>300</v>
      </c>
      <c r="G1232" s="29" t="s">
        <v>1035</v>
      </c>
      <c r="H1232" s="29">
        <v>1</v>
      </c>
      <c r="I1232" s="29">
        <v>4.43</v>
      </c>
      <c r="J1232" s="29">
        <v>1.329</v>
      </c>
      <c r="K1232" s="29">
        <v>1.329</v>
      </c>
      <c r="L1232" s="29" t="s">
        <v>1032</v>
      </c>
      <c r="M1232" s="29">
        <v>1</v>
      </c>
      <c r="N1232" s="29">
        <v>0.3</v>
      </c>
      <c r="O1232" s="29">
        <v>1</v>
      </c>
      <c r="P1232" s="29">
        <v>1.329</v>
      </c>
      <c r="Q1232" s="29" t="s">
        <v>1033</v>
      </c>
    </row>
    <row r="1233" spans="1:17" x14ac:dyDescent="0.3">
      <c r="A1233" s="29" t="s">
        <v>738</v>
      </c>
      <c r="B1233" s="29">
        <v>1</v>
      </c>
      <c r="C1233" s="29" t="s">
        <v>1050</v>
      </c>
      <c r="D1233" s="29" t="s">
        <v>1086</v>
      </c>
      <c r="E1233" s="29">
        <v>400</v>
      </c>
      <c r="G1233" s="29" t="s">
        <v>1035</v>
      </c>
      <c r="H1233" s="29">
        <v>1</v>
      </c>
      <c r="I1233" s="29">
        <v>4.43</v>
      </c>
      <c r="J1233" s="29">
        <v>1.772</v>
      </c>
      <c r="K1233" s="29">
        <v>1.772</v>
      </c>
      <c r="L1233" s="29" t="s">
        <v>1032</v>
      </c>
      <c r="M1233" s="29">
        <v>1</v>
      </c>
      <c r="N1233" s="29">
        <v>0.4</v>
      </c>
      <c r="O1233" s="29">
        <v>1</v>
      </c>
      <c r="P1233" s="29">
        <v>1.772</v>
      </c>
      <c r="Q1233" s="29" t="s">
        <v>1033</v>
      </c>
    </row>
    <row r="1234" spans="1:17" x14ac:dyDescent="0.3">
      <c r="A1234" s="29" t="s">
        <v>738</v>
      </c>
      <c r="B1234" s="29">
        <v>1</v>
      </c>
      <c r="C1234" s="29" t="s">
        <v>1050</v>
      </c>
      <c r="D1234" s="29" t="s">
        <v>1086</v>
      </c>
      <c r="E1234" s="29">
        <v>400</v>
      </c>
      <c r="G1234" s="29" t="s">
        <v>1035</v>
      </c>
      <c r="H1234" s="29">
        <v>1</v>
      </c>
      <c r="I1234" s="29">
        <v>4.43</v>
      </c>
      <c r="J1234" s="29">
        <v>1.772</v>
      </c>
      <c r="K1234" s="29">
        <v>1.772</v>
      </c>
      <c r="L1234" s="29" t="s">
        <v>1032</v>
      </c>
      <c r="M1234" s="29">
        <v>1</v>
      </c>
      <c r="N1234" s="29">
        <v>0.4</v>
      </c>
      <c r="O1234" s="29">
        <v>1</v>
      </c>
      <c r="P1234" s="29">
        <v>1.772</v>
      </c>
      <c r="Q1234" s="29" t="s">
        <v>1033</v>
      </c>
    </row>
    <row r="1235" spans="1:17" x14ac:dyDescent="0.3">
      <c r="A1235" s="29" t="s">
        <v>738</v>
      </c>
      <c r="B1235" s="29">
        <v>1</v>
      </c>
      <c r="C1235" s="29" t="s">
        <v>1050</v>
      </c>
      <c r="D1235" s="29" t="s">
        <v>1086</v>
      </c>
      <c r="E1235" s="29">
        <v>400</v>
      </c>
      <c r="G1235" s="29" t="s">
        <v>1035</v>
      </c>
      <c r="H1235" s="29">
        <v>1</v>
      </c>
      <c r="I1235" s="29">
        <v>4.43</v>
      </c>
      <c r="J1235" s="29">
        <v>1.772</v>
      </c>
      <c r="K1235" s="29">
        <v>1.772</v>
      </c>
      <c r="L1235" s="29" t="s">
        <v>1032</v>
      </c>
      <c r="M1235" s="29">
        <v>1</v>
      </c>
      <c r="N1235" s="29">
        <v>0.4</v>
      </c>
      <c r="O1235" s="29">
        <v>1</v>
      </c>
      <c r="P1235" s="29">
        <v>1.772</v>
      </c>
      <c r="Q1235" s="29" t="s">
        <v>1033</v>
      </c>
    </row>
    <row r="1236" spans="1:17" x14ac:dyDescent="0.3">
      <c r="A1236" s="29" t="s">
        <v>738</v>
      </c>
      <c r="B1236" s="29">
        <v>1</v>
      </c>
      <c r="C1236" s="29" t="s">
        <v>1050</v>
      </c>
      <c r="D1236" s="29" t="s">
        <v>1086</v>
      </c>
      <c r="E1236" s="29">
        <v>400</v>
      </c>
      <c r="G1236" s="29" t="s">
        <v>1035</v>
      </c>
      <c r="H1236" s="29">
        <v>1</v>
      </c>
      <c r="I1236" s="29">
        <v>4.43</v>
      </c>
      <c r="J1236" s="29">
        <v>1.772</v>
      </c>
      <c r="K1236" s="29">
        <v>1.772</v>
      </c>
      <c r="L1236" s="29" t="s">
        <v>1032</v>
      </c>
      <c r="M1236" s="29">
        <v>1</v>
      </c>
      <c r="N1236" s="29">
        <v>0.4</v>
      </c>
      <c r="O1236" s="29">
        <v>1</v>
      </c>
      <c r="P1236" s="29">
        <v>1.772</v>
      </c>
      <c r="Q1236" s="29" t="s">
        <v>1033</v>
      </c>
    </row>
    <row r="1237" spans="1:17" x14ac:dyDescent="0.3">
      <c r="A1237" s="29" t="s">
        <v>738</v>
      </c>
      <c r="B1237" s="29">
        <v>1</v>
      </c>
      <c r="C1237" s="29" t="s">
        <v>1050</v>
      </c>
      <c r="D1237" s="29" t="s">
        <v>1086</v>
      </c>
      <c r="E1237" s="29">
        <v>400</v>
      </c>
      <c r="G1237" s="29" t="s">
        <v>1035</v>
      </c>
      <c r="H1237" s="29">
        <v>1</v>
      </c>
      <c r="I1237" s="29">
        <v>4.43</v>
      </c>
      <c r="J1237" s="29">
        <v>1.772</v>
      </c>
      <c r="K1237" s="29">
        <v>1.772</v>
      </c>
      <c r="L1237" s="29" t="s">
        <v>1032</v>
      </c>
      <c r="M1237" s="29">
        <v>1</v>
      </c>
      <c r="N1237" s="29">
        <v>0.4</v>
      </c>
      <c r="O1237" s="29">
        <v>1</v>
      </c>
      <c r="P1237" s="29">
        <v>1.772</v>
      </c>
      <c r="Q1237" s="29" t="s">
        <v>1033</v>
      </c>
    </row>
    <row r="1238" spans="1:17" x14ac:dyDescent="0.3">
      <c r="A1238" s="29" t="s">
        <v>738</v>
      </c>
      <c r="B1238" s="29">
        <v>1</v>
      </c>
      <c r="C1238" s="29" t="s">
        <v>1050</v>
      </c>
      <c r="D1238" s="29" t="s">
        <v>1086</v>
      </c>
      <c r="E1238" s="29">
        <v>400</v>
      </c>
      <c r="G1238" s="29" t="s">
        <v>1035</v>
      </c>
      <c r="H1238" s="29">
        <v>1</v>
      </c>
      <c r="I1238" s="29">
        <v>4.43</v>
      </c>
      <c r="J1238" s="29">
        <v>1.772</v>
      </c>
      <c r="K1238" s="29">
        <v>1.772</v>
      </c>
      <c r="L1238" s="29" t="s">
        <v>1032</v>
      </c>
      <c r="M1238" s="29">
        <v>1</v>
      </c>
      <c r="N1238" s="29">
        <v>0.4</v>
      </c>
      <c r="O1238" s="29">
        <v>1</v>
      </c>
      <c r="P1238" s="29">
        <v>1.772</v>
      </c>
      <c r="Q1238" s="29" t="s">
        <v>1033</v>
      </c>
    </row>
    <row r="1239" spans="1:17" x14ac:dyDescent="0.3">
      <c r="A1239" s="29" t="s">
        <v>739</v>
      </c>
      <c r="B1239" s="29">
        <v>1</v>
      </c>
      <c r="C1239" s="29" t="s">
        <v>1050</v>
      </c>
      <c r="D1239" s="29" t="s">
        <v>1086</v>
      </c>
      <c r="E1239" s="29">
        <v>500</v>
      </c>
      <c r="G1239" s="29" t="s">
        <v>1035</v>
      </c>
      <c r="H1239" s="29">
        <v>1</v>
      </c>
      <c r="I1239" s="29">
        <v>4.43</v>
      </c>
      <c r="J1239" s="29">
        <v>2.2149999999999999</v>
      </c>
      <c r="K1239" s="29">
        <v>2.2149999999999999</v>
      </c>
      <c r="L1239" s="29" t="s">
        <v>1032</v>
      </c>
      <c r="M1239" s="29">
        <v>1</v>
      </c>
      <c r="N1239" s="29">
        <v>0.5</v>
      </c>
      <c r="O1239" s="29">
        <v>1</v>
      </c>
      <c r="P1239" s="29">
        <v>2.2149999999999999</v>
      </c>
      <c r="Q1239" s="29" t="s">
        <v>1033</v>
      </c>
    </row>
    <row r="1240" spans="1:17" x14ac:dyDescent="0.3">
      <c r="A1240" s="29" t="s">
        <v>739</v>
      </c>
      <c r="B1240" s="29">
        <v>1</v>
      </c>
      <c r="C1240" s="29" t="s">
        <v>1050</v>
      </c>
      <c r="D1240" s="29" t="s">
        <v>1086</v>
      </c>
      <c r="E1240" s="29">
        <v>500</v>
      </c>
      <c r="G1240" s="29" t="s">
        <v>1035</v>
      </c>
      <c r="H1240" s="29">
        <v>1</v>
      </c>
      <c r="I1240" s="29">
        <v>4.43</v>
      </c>
      <c r="J1240" s="29">
        <v>2.2149999999999999</v>
      </c>
      <c r="K1240" s="29">
        <v>2.2149999999999999</v>
      </c>
      <c r="L1240" s="29" t="s">
        <v>1032</v>
      </c>
      <c r="M1240" s="29">
        <v>1</v>
      </c>
      <c r="N1240" s="29">
        <v>0.5</v>
      </c>
      <c r="O1240" s="29">
        <v>1</v>
      </c>
      <c r="P1240" s="29">
        <v>2.2149999999999999</v>
      </c>
      <c r="Q1240" s="29" t="s">
        <v>1033</v>
      </c>
    </row>
    <row r="1241" spans="1:17" x14ac:dyDescent="0.3">
      <c r="A1241" s="29" t="s">
        <v>739</v>
      </c>
      <c r="B1241" s="29">
        <v>1</v>
      </c>
      <c r="C1241" s="29" t="s">
        <v>1050</v>
      </c>
      <c r="D1241" s="29" t="s">
        <v>1086</v>
      </c>
      <c r="E1241" s="29">
        <v>500</v>
      </c>
      <c r="G1241" s="29" t="s">
        <v>1035</v>
      </c>
      <c r="H1241" s="29">
        <v>1</v>
      </c>
      <c r="I1241" s="29">
        <v>4.43</v>
      </c>
      <c r="J1241" s="29">
        <v>2.2149999999999999</v>
      </c>
      <c r="K1241" s="29">
        <v>2.2149999999999999</v>
      </c>
      <c r="L1241" s="29" t="s">
        <v>1032</v>
      </c>
      <c r="M1241" s="29">
        <v>1</v>
      </c>
      <c r="N1241" s="29">
        <v>0.5</v>
      </c>
      <c r="O1241" s="29">
        <v>1</v>
      </c>
      <c r="P1241" s="29">
        <v>2.2149999999999999</v>
      </c>
      <c r="Q1241" s="29" t="s">
        <v>1033</v>
      </c>
    </row>
    <row r="1242" spans="1:17" x14ac:dyDescent="0.3">
      <c r="A1242" s="29" t="s">
        <v>739</v>
      </c>
      <c r="B1242" s="29">
        <v>1</v>
      </c>
      <c r="C1242" s="29" t="s">
        <v>1050</v>
      </c>
      <c r="D1242" s="29" t="s">
        <v>1086</v>
      </c>
      <c r="E1242" s="29">
        <v>500</v>
      </c>
      <c r="G1242" s="29" t="s">
        <v>1035</v>
      </c>
      <c r="H1242" s="29">
        <v>1</v>
      </c>
      <c r="I1242" s="29">
        <v>4.43</v>
      </c>
      <c r="J1242" s="29">
        <v>2.2149999999999999</v>
      </c>
      <c r="K1242" s="29">
        <v>2.2149999999999999</v>
      </c>
      <c r="L1242" s="29" t="s">
        <v>1032</v>
      </c>
      <c r="M1242" s="29">
        <v>1</v>
      </c>
      <c r="N1242" s="29">
        <v>0.5</v>
      </c>
      <c r="O1242" s="29">
        <v>1</v>
      </c>
      <c r="P1242" s="29">
        <v>2.2149999999999999</v>
      </c>
      <c r="Q1242" s="29" t="s">
        <v>1033</v>
      </c>
    </row>
    <row r="1243" spans="1:17" x14ac:dyDescent="0.3">
      <c r="A1243" s="29" t="s">
        <v>739</v>
      </c>
      <c r="B1243" s="29">
        <v>1</v>
      </c>
      <c r="C1243" s="29" t="s">
        <v>1050</v>
      </c>
      <c r="D1243" s="29" t="s">
        <v>1086</v>
      </c>
      <c r="E1243" s="29">
        <v>500</v>
      </c>
      <c r="G1243" s="29" t="s">
        <v>1035</v>
      </c>
      <c r="H1243" s="29">
        <v>1</v>
      </c>
      <c r="I1243" s="29">
        <v>4.43</v>
      </c>
      <c r="J1243" s="29">
        <v>2.2149999999999999</v>
      </c>
      <c r="K1243" s="29">
        <v>2.2149999999999999</v>
      </c>
      <c r="L1243" s="29" t="s">
        <v>1032</v>
      </c>
      <c r="M1243" s="29">
        <v>1</v>
      </c>
      <c r="N1243" s="29">
        <v>0.5</v>
      </c>
      <c r="O1243" s="29">
        <v>1</v>
      </c>
      <c r="P1243" s="29">
        <v>2.2149999999999999</v>
      </c>
      <c r="Q1243" s="29" t="s">
        <v>1033</v>
      </c>
    </row>
    <row r="1244" spans="1:17" x14ac:dyDescent="0.3">
      <c r="A1244" s="29" t="s">
        <v>739</v>
      </c>
      <c r="B1244" s="29">
        <v>1</v>
      </c>
      <c r="C1244" s="29" t="s">
        <v>1050</v>
      </c>
      <c r="D1244" s="29" t="s">
        <v>1086</v>
      </c>
      <c r="E1244" s="29">
        <v>500</v>
      </c>
      <c r="G1244" s="29" t="s">
        <v>1035</v>
      </c>
      <c r="H1244" s="29">
        <v>1</v>
      </c>
      <c r="I1244" s="29">
        <v>4.43</v>
      </c>
      <c r="J1244" s="29">
        <v>2.2149999999999999</v>
      </c>
      <c r="K1244" s="29">
        <v>2.2149999999999999</v>
      </c>
      <c r="L1244" s="29" t="s">
        <v>1032</v>
      </c>
      <c r="M1244" s="29">
        <v>1</v>
      </c>
      <c r="N1244" s="29">
        <v>0.5</v>
      </c>
      <c r="O1244" s="29">
        <v>1</v>
      </c>
      <c r="P1244" s="29">
        <v>2.2149999999999999</v>
      </c>
      <c r="Q1244" s="29" t="s">
        <v>1033</v>
      </c>
    </row>
    <row r="1245" spans="1:17" x14ac:dyDescent="0.3">
      <c r="A1245" s="29" t="s">
        <v>739</v>
      </c>
      <c r="B1245" s="29">
        <v>1</v>
      </c>
      <c r="C1245" s="29" t="s">
        <v>1050</v>
      </c>
      <c r="D1245" s="29" t="s">
        <v>1086</v>
      </c>
      <c r="E1245" s="29">
        <v>500</v>
      </c>
      <c r="G1245" s="29" t="s">
        <v>1035</v>
      </c>
      <c r="H1245" s="29">
        <v>1</v>
      </c>
      <c r="I1245" s="29">
        <v>4.43</v>
      </c>
      <c r="J1245" s="29">
        <v>2.2149999999999999</v>
      </c>
      <c r="K1245" s="29">
        <v>2.2149999999999999</v>
      </c>
      <c r="L1245" s="29" t="s">
        <v>1032</v>
      </c>
      <c r="M1245" s="29">
        <v>1</v>
      </c>
      <c r="N1245" s="29">
        <v>0.5</v>
      </c>
      <c r="O1245" s="29">
        <v>1</v>
      </c>
      <c r="P1245" s="29">
        <v>2.2149999999999999</v>
      </c>
      <c r="Q1245" s="29" t="s">
        <v>1033</v>
      </c>
    </row>
    <row r="1246" spans="1:17" x14ac:dyDescent="0.3">
      <c r="A1246" s="29" t="s">
        <v>739</v>
      </c>
      <c r="B1246" s="29">
        <v>1</v>
      </c>
      <c r="C1246" s="29" t="s">
        <v>1050</v>
      </c>
      <c r="D1246" s="29" t="s">
        <v>1086</v>
      </c>
      <c r="E1246" s="29">
        <v>500</v>
      </c>
      <c r="G1246" s="29" t="s">
        <v>1035</v>
      </c>
      <c r="H1246" s="29">
        <v>1</v>
      </c>
      <c r="I1246" s="29">
        <v>4.43</v>
      </c>
      <c r="J1246" s="29">
        <v>2.2149999999999999</v>
      </c>
      <c r="K1246" s="29">
        <v>2.2149999999999999</v>
      </c>
      <c r="L1246" s="29" t="s">
        <v>1032</v>
      </c>
      <c r="M1246" s="29">
        <v>1</v>
      </c>
      <c r="N1246" s="29">
        <v>0.5</v>
      </c>
      <c r="O1246" s="29">
        <v>1</v>
      </c>
      <c r="P1246" s="29">
        <v>2.2149999999999999</v>
      </c>
      <c r="Q1246" s="29" t="s">
        <v>1033</v>
      </c>
    </row>
    <row r="1247" spans="1:17" x14ac:dyDescent="0.3">
      <c r="A1247" s="29" t="s">
        <v>739</v>
      </c>
      <c r="B1247" s="29">
        <v>1</v>
      </c>
      <c r="C1247" s="29" t="s">
        <v>1050</v>
      </c>
      <c r="D1247" s="29" t="s">
        <v>1086</v>
      </c>
      <c r="E1247" s="29">
        <v>500</v>
      </c>
      <c r="G1247" s="29" t="s">
        <v>1035</v>
      </c>
      <c r="H1247" s="29">
        <v>1</v>
      </c>
      <c r="I1247" s="29">
        <v>4.43</v>
      </c>
      <c r="J1247" s="29">
        <v>2.2149999999999999</v>
      </c>
      <c r="K1247" s="29">
        <v>2.2149999999999999</v>
      </c>
      <c r="L1247" s="29" t="s">
        <v>1032</v>
      </c>
      <c r="M1247" s="29">
        <v>1</v>
      </c>
      <c r="N1247" s="29">
        <v>0.5</v>
      </c>
      <c r="O1247" s="29">
        <v>1</v>
      </c>
      <c r="P1247" s="29">
        <v>2.2149999999999999</v>
      </c>
      <c r="Q1247" s="29" t="s">
        <v>1033</v>
      </c>
    </row>
    <row r="1248" spans="1:17" x14ac:dyDescent="0.3">
      <c r="A1248" s="29" t="s">
        <v>739</v>
      </c>
      <c r="B1248" s="29">
        <v>1</v>
      </c>
      <c r="C1248" s="29" t="s">
        <v>1050</v>
      </c>
      <c r="D1248" s="29" t="s">
        <v>1086</v>
      </c>
      <c r="E1248" s="29">
        <v>500</v>
      </c>
      <c r="G1248" s="29" t="s">
        <v>1035</v>
      </c>
      <c r="H1248" s="29">
        <v>1</v>
      </c>
      <c r="I1248" s="29">
        <v>4.43</v>
      </c>
      <c r="J1248" s="29">
        <v>2.2149999999999999</v>
      </c>
      <c r="K1248" s="29">
        <v>2.2149999999999999</v>
      </c>
      <c r="L1248" s="29" t="s">
        <v>1032</v>
      </c>
      <c r="M1248" s="29">
        <v>1</v>
      </c>
      <c r="N1248" s="29">
        <v>0.5</v>
      </c>
      <c r="O1248" s="29">
        <v>1</v>
      </c>
      <c r="P1248" s="29">
        <v>2.2149999999999999</v>
      </c>
      <c r="Q1248" s="29" t="s">
        <v>1033</v>
      </c>
    </row>
    <row r="1249" spans="1:17" x14ac:dyDescent="0.3">
      <c r="A1249" s="29" t="s">
        <v>740</v>
      </c>
      <c r="B1249" s="29">
        <v>1</v>
      </c>
      <c r="C1249" s="29" t="s">
        <v>1050</v>
      </c>
      <c r="D1249" s="29" t="s">
        <v>1086</v>
      </c>
      <c r="E1249" s="29">
        <v>600</v>
      </c>
      <c r="G1249" s="29" t="s">
        <v>1035</v>
      </c>
      <c r="H1249" s="29">
        <v>1</v>
      </c>
      <c r="I1249" s="29">
        <v>4.43</v>
      </c>
      <c r="J1249" s="29">
        <v>2.6579999999999999</v>
      </c>
      <c r="K1249" s="29">
        <v>2.6579999999999999</v>
      </c>
      <c r="L1249" s="29" t="s">
        <v>1032</v>
      </c>
      <c r="M1249" s="29">
        <v>1</v>
      </c>
      <c r="N1249" s="29">
        <v>0.6</v>
      </c>
      <c r="O1249" s="29">
        <v>1</v>
      </c>
      <c r="P1249" s="29">
        <v>2.6579999999999999</v>
      </c>
      <c r="Q1249" s="29" t="s">
        <v>1033</v>
      </c>
    </row>
    <row r="1250" spans="1:17" x14ac:dyDescent="0.3">
      <c r="A1250" s="29" t="s">
        <v>740</v>
      </c>
      <c r="B1250" s="29">
        <v>1</v>
      </c>
      <c r="C1250" s="29" t="s">
        <v>1050</v>
      </c>
      <c r="D1250" s="29" t="s">
        <v>1086</v>
      </c>
      <c r="E1250" s="29">
        <v>600</v>
      </c>
      <c r="G1250" s="29" t="s">
        <v>1035</v>
      </c>
      <c r="H1250" s="29">
        <v>1</v>
      </c>
      <c r="I1250" s="29">
        <v>4.43</v>
      </c>
      <c r="J1250" s="29">
        <v>2.6579999999999999</v>
      </c>
      <c r="K1250" s="29">
        <v>2.6579999999999999</v>
      </c>
      <c r="L1250" s="29" t="s">
        <v>1032</v>
      </c>
      <c r="M1250" s="29">
        <v>1</v>
      </c>
      <c r="N1250" s="29">
        <v>0.6</v>
      </c>
      <c r="O1250" s="29">
        <v>1</v>
      </c>
      <c r="P1250" s="29">
        <v>2.6579999999999999</v>
      </c>
      <c r="Q1250" s="29" t="s">
        <v>1033</v>
      </c>
    </row>
    <row r="1251" spans="1:17" x14ac:dyDescent="0.3">
      <c r="A1251" s="29" t="s">
        <v>740</v>
      </c>
      <c r="B1251" s="29">
        <v>1</v>
      </c>
      <c r="C1251" s="29" t="s">
        <v>1050</v>
      </c>
      <c r="D1251" s="29" t="s">
        <v>1086</v>
      </c>
      <c r="E1251" s="29">
        <v>600</v>
      </c>
      <c r="G1251" s="29" t="s">
        <v>1035</v>
      </c>
      <c r="H1251" s="29">
        <v>1</v>
      </c>
      <c r="I1251" s="29">
        <v>4.43</v>
      </c>
      <c r="J1251" s="29">
        <v>2.6579999999999999</v>
      </c>
      <c r="K1251" s="29">
        <v>2.6579999999999999</v>
      </c>
      <c r="L1251" s="29" t="s">
        <v>1032</v>
      </c>
      <c r="M1251" s="29">
        <v>1</v>
      </c>
      <c r="N1251" s="29">
        <v>0.6</v>
      </c>
      <c r="O1251" s="29">
        <v>1</v>
      </c>
      <c r="P1251" s="29">
        <v>2.6579999999999999</v>
      </c>
      <c r="Q1251" s="29" t="s">
        <v>1033</v>
      </c>
    </row>
    <row r="1252" spans="1:17" x14ac:dyDescent="0.3">
      <c r="A1252" s="29" t="s">
        <v>740</v>
      </c>
      <c r="B1252" s="29">
        <v>1</v>
      </c>
      <c r="C1252" s="29" t="s">
        <v>1050</v>
      </c>
      <c r="D1252" s="29" t="s">
        <v>1086</v>
      </c>
      <c r="E1252" s="29">
        <v>600</v>
      </c>
      <c r="G1252" s="29" t="s">
        <v>1035</v>
      </c>
      <c r="H1252" s="29">
        <v>1</v>
      </c>
      <c r="I1252" s="29">
        <v>4.43</v>
      </c>
      <c r="J1252" s="29">
        <v>2.6579999999999999</v>
      </c>
      <c r="K1252" s="29">
        <v>2.6579999999999999</v>
      </c>
      <c r="L1252" s="29" t="s">
        <v>1032</v>
      </c>
      <c r="M1252" s="29">
        <v>1</v>
      </c>
      <c r="N1252" s="29">
        <v>0.6</v>
      </c>
      <c r="O1252" s="29">
        <v>1</v>
      </c>
      <c r="P1252" s="29">
        <v>2.6579999999999999</v>
      </c>
      <c r="Q1252" s="29" t="s">
        <v>1033</v>
      </c>
    </row>
    <row r="1253" spans="1:17" x14ac:dyDescent="0.3">
      <c r="A1253" s="29" t="s">
        <v>741</v>
      </c>
      <c r="B1253" s="29">
        <v>1</v>
      </c>
      <c r="C1253" s="29" t="s">
        <v>1050</v>
      </c>
      <c r="D1253" s="29" t="s">
        <v>1087</v>
      </c>
      <c r="E1253" s="29">
        <v>200</v>
      </c>
      <c r="G1253" s="29" t="s">
        <v>1035</v>
      </c>
      <c r="H1253" s="29">
        <v>1</v>
      </c>
      <c r="I1253" s="29">
        <v>9.9600000000000009</v>
      </c>
      <c r="J1253" s="29">
        <v>1.9920000000000002</v>
      </c>
      <c r="K1253" s="29">
        <v>1.9920000000000002</v>
      </c>
      <c r="L1253" s="29" t="s">
        <v>1032</v>
      </c>
      <c r="M1253" s="29">
        <v>1</v>
      </c>
      <c r="N1253" s="29">
        <v>0.2</v>
      </c>
      <c r="O1253" s="29">
        <v>1</v>
      </c>
      <c r="P1253" s="29">
        <v>1.9920000000000002</v>
      </c>
      <c r="Q1253" s="29" t="s">
        <v>1033</v>
      </c>
    </row>
    <row r="1254" spans="1:17" x14ac:dyDescent="0.3">
      <c r="A1254" s="29" t="s">
        <v>741</v>
      </c>
      <c r="B1254" s="29">
        <v>1</v>
      </c>
      <c r="C1254" s="29" t="s">
        <v>1050</v>
      </c>
      <c r="D1254" s="29" t="s">
        <v>1087</v>
      </c>
      <c r="E1254" s="29">
        <v>200</v>
      </c>
      <c r="G1254" s="29" t="s">
        <v>1035</v>
      </c>
      <c r="H1254" s="29">
        <v>1</v>
      </c>
      <c r="I1254" s="29">
        <v>9.9600000000000009</v>
      </c>
      <c r="J1254" s="29">
        <v>1.9920000000000002</v>
      </c>
      <c r="K1254" s="29">
        <v>1.9920000000000002</v>
      </c>
      <c r="L1254" s="29" t="s">
        <v>1032</v>
      </c>
      <c r="M1254" s="29">
        <v>1</v>
      </c>
      <c r="N1254" s="29">
        <v>0.2</v>
      </c>
      <c r="O1254" s="29">
        <v>1</v>
      </c>
      <c r="P1254" s="29">
        <v>1.9920000000000002</v>
      </c>
      <c r="Q1254" s="29" t="s">
        <v>1033</v>
      </c>
    </row>
    <row r="1255" spans="1:17" x14ac:dyDescent="0.3">
      <c r="A1255" s="29" t="s">
        <v>742</v>
      </c>
      <c r="B1255" s="29">
        <v>1</v>
      </c>
      <c r="C1255" s="29" t="s">
        <v>1050</v>
      </c>
      <c r="D1255" s="29" t="s">
        <v>1087</v>
      </c>
      <c r="E1255" s="29">
        <v>300</v>
      </c>
      <c r="G1255" s="29" t="s">
        <v>1035</v>
      </c>
      <c r="H1255" s="29">
        <v>1</v>
      </c>
      <c r="I1255" s="29">
        <v>9.9600000000000009</v>
      </c>
      <c r="J1255" s="29">
        <v>2.988</v>
      </c>
      <c r="K1255" s="29">
        <v>2.988</v>
      </c>
      <c r="L1255" s="29" t="s">
        <v>1032</v>
      </c>
      <c r="M1255" s="29">
        <v>1</v>
      </c>
      <c r="N1255" s="29">
        <v>0.3</v>
      </c>
      <c r="O1255" s="29">
        <v>1</v>
      </c>
      <c r="P1255" s="29">
        <v>2.988</v>
      </c>
      <c r="Q1255" s="29" t="s">
        <v>1033</v>
      </c>
    </row>
    <row r="1256" spans="1:17" x14ac:dyDescent="0.3">
      <c r="A1256" s="29" t="s">
        <v>742</v>
      </c>
      <c r="B1256" s="29">
        <v>1</v>
      </c>
      <c r="C1256" s="29" t="s">
        <v>1050</v>
      </c>
      <c r="D1256" s="29" t="s">
        <v>1087</v>
      </c>
      <c r="E1256" s="29">
        <v>300</v>
      </c>
      <c r="G1256" s="29" t="s">
        <v>1035</v>
      </c>
      <c r="H1256" s="29">
        <v>1</v>
      </c>
      <c r="I1256" s="29">
        <v>9.9600000000000009</v>
      </c>
      <c r="J1256" s="29">
        <v>2.988</v>
      </c>
      <c r="K1256" s="29">
        <v>2.988</v>
      </c>
      <c r="L1256" s="29" t="s">
        <v>1032</v>
      </c>
      <c r="M1256" s="29">
        <v>1</v>
      </c>
      <c r="N1256" s="29">
        <v>0.3</v>
      </c>
      <c r="O1256" s="29">
        <v>1</v>
      </c>
      <c r="P1256" s="29">
        <v>2.988</v>
      </c>
      <c r="Q1256" s="29" t="s">
        <v>1033</v>
      </c>
    </row>
    <row r="1257" spans="1:17" x14ac:dyDescent="0.3">
      <c r="A1257" s="29" t="s">
        <v>742</v>
      </c>
      <c r="B1257" s="29">
        <v>1</v>
      </c>
      <c r="C1257" s="29" t="s">
        <v>1050</v>
      </c>
      <c r="D1257" s="29" t="s">
        <v>1087</v>
      </c>
      <c r="E1257" s="29">
        <v>300</v>
      </c>
      <c r="G1257" s="29" t="s">
        <v>1035</v>
      </c>
      <c r="H1257" s="29">
        <v>1</v>
      </c>
      <c r="I1257" s="29">
        <v>9.9600000000000009</v>
      </c>
      <c r="J1257" s="29">
        <v>2.988</v>
      </c>
      <c r="K1257" s="29">
        <v>2.988</v>
      </c>
      <c r="L1257" s="29" t="s">
        <v>1032</v>
      </c>
      <c r="M1257" s="29">
        <v>1</v>
      </c>
      <c r="N1257" s="29">
        <v>0.3</v>
      </c>
      <c r="O1257" s="29">
        <v>1</v>
      </c>
      <c r="P1257" s="29">
        <v>2.988</v>
      </c>
      <c r="Q1257" s="29" t="s">
        <v>1033</v>
      </c>
    </row>
    <row r="1258" spans="1:17" x14ac:dyDescent="0.3">
      <c r="A1258" s="29" t="s">
        <v>742</v>
      </c>
      <c r="B1258" s="29">
        <v>1</v>
      </c>
      <c r="C1258" s="29" t="s">
        <v>1050</v>
      </c>
      <c r="D1258" s="29" t="s">
        <v>1087</v>
      </c>
      <c r="E1258" s="29">
        <v>300</v>
      </c>
      <c r="G1258" s="29" t="s">
        <v>1035</v>
      </c>
      <c r="H1258" s="29">
        <v>1</v>
      </c>
      <c r="I1258" s="29">
        <v>9.9600000000000009</v>
      </c>
      <c r="J1258" s="29">
        <v>2.988</v>
      </c>
      <c r="K1258" s="29">
        <v>2.988</v>
      </c>
      <c r="L1258" s="29" t="s">
        <v>1032</v>
      </c>
      <c r="M1258" s="29">
        <v>1</v>
      </c>
      <c r="N1258" s="29">
        <v>0.3</v>
      </c>
      <c r="O1258" s="29">
        <v>1</v>
      </c>
      <c r="P1258" s="29">
        <v>2.988</v>
      </c>
      <c r="Q1258" s="29" t="s">
        <v>1033</v>
      </c>
    </row>
    <row r="1259" spans="1:17" x14ac:dyDescent="0.3">
      <c r="A1259" s="29" t="s">
        <v>742</v>
      </c>
      <c r="B1259" s="29">
        <v>1</v>
      </c>
      <c r="C1259" s="29" t="s">
        <v>1050</v>
      </c>
      <c r="D1259" s="29" t="s">
        <v>1087</v>
      </c>
      <c r="E1259" s="29">
        <v>300</v>
      </c>
      <c r="G1259" s="29" t="s">
        <v>1035</v>
      </c>
      <c r="H1259" s="29">
        <v>1</v>
      </c>
      <c r="I1259" s="29">
        <v>9.9600000000000009</v>
      </c>
      <c r="J1259" s="29">
        <v>2.988</v>
      </c>
      <c r="K1259" s="29">
        <v>2.988</v>
      </c>
      <c r="L1259" s="29" t="s">
        <v>1032</v>
      </c>
      <c r="M1259" s="29">
        <v>1</v>
      </c>
      <c r="N1259" s="29">
        <v>0.3</v>
      </c>
      <c r="O1259" s="29">
        <v>1</v>
      </c>
      <c r="P1259" s="29">
        <v>2.988</v>
      </c>
      <c r="Q1259" s="29" t="s">
        <v>1033</v>
      </c>
    </row>
    <row r="1260" spans="1:17" x14ac:dyDescent="0.3">
      <c r="A1260" s="29" t="s">
        <v>742</v>
      </c>
      <c r="B1260" s="29">
        <v>1</v>
      </c>
      <c r="C1260" s="29" t="s">
        <v>1050</v>
      </c>
      <c r="D1260" s="29" t="s">
        <v>1087</v>
      </c>
      <c r="E1260" s="29">
        <v>300</v>
      </c>
      <c r="G1260" s="29" t="s">
        <v>1035</v>
      </c>
      <c r="H1260" s="29">
        <v>1</v>
      </c>
      <c r="I1260" s="29">
        <v>9.9600000000000009</v>
      </c>
      <c r="J1260" s="29">
        <v>2.988</v>
      </c>
      <c r="K1260" s="29">
        <v>2.988</v>
      </c>
      <c r="L1260" s="29" t="s">
        <v>1032</v>
      </c>
      <c r="M1260" s="29">
        <v>1</v>
      </c>
      <c r="N1260" s="29">
        <v>0.3</v>
      </c>
      <c r="O1260" s="29">
        <v>1</v>
      </c>
      <c r="P1260" s="29">
        <v>2.988</v>
      </c>
      <c r="Q1260" s="29" t="s">
        <v>1033</v>
      </c>
    </row>
    <row r="1261" spans="1:17" x14ac:dyDescent="0.3">
      <c r="A1261" s="29" t="s">
        <v>743</v>
      </c>
      <c r="B1261" s="29">
        <v>1</v>
      </c>
      <c r="C1261" s="29" t="s">
        <v>1050</v>
      </c>
      <c r="D1261" s="29" t="s">
        <v>1087</v>
      </c>
      <c r="E1261" s="29">
        <v>400</v>
      </c>
      <c r="G1261" s="29" t="s">
        <v>1035</v>
      </c>
      <c r="H1261" s="29">
        <v>1</v>
      </c>
      <c r="I1261" s="29">
        <v>9.9600000000000009</v>
      </c>
      <c r="J1261" s="29">
        <v>3.9840000000000004</v>
      </c>
      <c r="K1261" s="29">
        <v>3.9840000000000004</v>
      </c>
      <c r="L1261" s="29" t="s">
        <v>1032</v>
      </c>
      <c r="M1261" s="29">
        <v>1</v>
      </c>
      <c r="N1261" s="29">
        <v>0.4</v>
      </c>
      <c r="O1261" s="29">
        <v>1</v>
      </c>
      <c r="P1261" s="29">
        <v>3.9840000000000004</v>
      </c>
      <c r="Q1261" s="29" t="s">
        <v>1033</v>
      </c>
    </row>
    <row r="1262" spans="1:17" x14ac:dyDescent="0.3">
      <c r="A1262" s="29" t="s">
        <v>743</v>
      </c>
      <c r="B1262" s="29">
        <v>1</v>
      </c>
      <c r="C1262" s="29" t="s">
        <v>1050</v>
      </c>
      <c r="D1262" s="29" t="s">
        <v>1087</v>
      </c>
      <c r="E1262" s="29">
        <v>400</v>
      </c>
      <c r="G1262" s="29" t="s">
        <v>1035</v>
      </c>
      <c r="H1262" s="29">
        <v>1</v>
      </c>
      <c r="I1262" s="29">
        <v>9.9600000000000009</v>
      </c>
      <c r="J1262" s="29">
        <v>3.9840000000000004</v>
      </c>
      <c r="K1262" s="29">
        <v>3.9840000000000004</v>
      </c>
      <c r="L1262" s="29" t="s">
        <v>1032</v>
      </c>
      <c r="M1262" s="29">
        <v>1</v>
      </c>
      <c r="N1262" s="29">
        <v>0.4</v>
      </c>
      <c r="O1262" s="29">
        <v>1</v>
      </c>
      <c r="P1262" s="29">
        <v>3.9840000000000004</v>
      </c>
      <c r="Q1262" s="29" t="s">
        <v>1033</v>
      </c>
    </row>
    <row r="1263" spans="1:17" x14ac:dyDescent="0.3">
      <c r="A1263" s="29" t="s">
        <v>743</v>
      </c>
      <c r="B1263" s="29">
        <v>1</v>
      </c>
      <c r="C1263" s="29" t="s">
        <v>1050</v>
      </c>
      <c r="D1263" s="29" t="s">
        <v>1087</v>
      </c>
      <c r="E1263" s="29">
        <v>400</v>
      </c>
      <c r="G1263" s="29" t="s">
        <v>1035</v>
      </c>
      <c r="H1263" s="29">
        <v>1</v>
      </c>
      <c r="I1263" s="29">
        <v>9.9600000000000009</v>
      </c>
      <c r="J1263" s="29">
        <v>3.9840000000000004</v>
      </c>
      <c r="K1263" s="29">
        <v>3.9840000000000004</v>
      </c>
      <c r="L1263" s="29" t="s">
        <v>1032</v>
      </c>
      <c r="M1263" s="29">
        <v>1</v>
      </c>
      <c r="N1263" s="29">
        <v>0.4</v>
      </c>
      <c r="O1263" s="29">
        <v>1</v>
      </c>
      <c r="P1263" s="29">
        <v>3.9840000000000004</v>
      </c>
      <c r="Q1263" s="29" t="s">
        <v>1033</v>
      </c>
    </row>
    <row r="1264" spans="1:17" x14ac:dyDescent="0.3">
      <c r="A1264" s="29" t="s">
        <v>743</v>
      </c>
      <c r="B1264" s="29">
        <v>1</v>
      </c>
      <c r="C1264" s="29" t="s">
        <v>1050</v>
      </c>
      <c r="D1264" s="29" t="s">
        <v>1087</v>
      </c>
      <c r="E1264" s="29">
        <v>400</v>
      </c>
      <c r="G1264" s="29" t="s">
        <v>1035</v>
      </c>
      <c r="H1264" s="29">
        <v>1</v>
      </c>
      <c r="I1264" s="29">
        <v>9.9600000000000009</v>
      </c>
      <c r="J1264" s="29">
        <v>3.9840000000000004</v>
      </c>
      <c r="K1264" s="29">
        <v>3.9840000000000004</v>
      </c>
      <c r="L1264" s="29" t="s">
        <v>1032</v>
      </c>
      <c r="M1264" s="29">
        <v>1</v>
      </c>
      <c r="N1264" s="29">
        <v>0.4</v>
      </c>
      <c r="O1264" s="29">
        <v>1</v>
      </c>
      <c r="P1264" s="29">
        <v>3.9840000000000004</v>
      </c>
      <c r="Q1264" s="29" t="s">
        <v>1033</v>
      </c>
    </row>
    <row r="1265" spans="1:17" x14ac:dyDescent="0.3">
      <c r="A1265" s="29" t="s">
        <v>744</v>
      </c>
      <c r="B1265" s="29">
        <v>1</v>
      </c>
      <c r="C1265" s="29" t="s">
        <v>1050</v>
      </c>
      <c r="D1265" s="29" t="s">
        <v>1087</v>
      </c>
      <c r="E1265" s="29">
        <v>500</v>
      </c>
      <c r="G1265" s="29" t="s">
        <v>1035</v>
      </c>
      <c r="H1265" s="29">
        <v>1</v>
      </c>
      <c r="I1265" s="29">
        <v>9.9600000000000009</v>
      </c>
      <c r="J1265" s="29">
        <v>4.9800000000000004</v>
      </c>
      <c r="K1265" s="29">
        <v>4.9800000000000004</v>
      </c>
      <c r="L1265" s="29" t="s">
        <v>1032</v>
      </c>
      <c r="M1265" s="29">
        <v>1</v>
      </c>
      <c r="N1265" s="29">
        <v>0.5</v>
      </c>
      <c r="O1265" s="29">
        <v>1</v>
      </c>
      <c r="P1265" s="29">
        <v>4.9800000000000004</v>
      </c>
      <c r="Q1265" s="29" t="s">
        <v>1033</v>
      </c>
    </row>
    <row r="1266" spans="1:17" x14ac:dyDescent="0.3">
      <c r="A1266" s="29" t="s">
        <v>744</v>
      </c>
      <c r="B1266" s="29">
        <v>1</v>
      </c>
      <c r="C1266" s="29" t="s">
        <v>1050</v>
      </c>
      <c r="D1266" s="29" t="s">
        <v>1087</v>
      </c>
      <c r="E1266" s="29">
        <v>500</v>
      </c>
      <c r="G1266" s="29" t="s">
        <v>1035</v>
      </c>
      <c r="H1266" s="29">
        <v>1</v>
      </c>
      <c r="I1266" s="29">
        <v>9.9600000000000009</v>
      </c>
      <c r="J1266" s="29">
        <v>4.9800000000000004</v>
      </c>
      <c r="K1266" s="29">
        <v>4.9800000000000004</v>
      </c>
      <c r="L1266" s="29" t="s">
        <v>1032</v>
      </c>
      <c r="M1266" s="29">
        <v>1</v>
      </c>
      <c r="N1266" s="29">
        <v>0.5</v>
      </c>
      <c r="O1266" s="29">
        <v>1</v>
      </c>
      <c r="P1266" s="29">
        <v>4.9800000000000004</v>
      </c>
      <c r="Q1266" s="29" t="s">
        <v>1033</v>
      </c>
    </row>
    <row r="1267" spans="1:17" x14ac:dyDescent="0.3">
      <c r="A1267" s="29" t="s">
        <v>744</v>
      </c>
      <c r="B1267" s="29">
        <v>1</v>
      </c>
      <c r="C1267" s="29" t="s">
        <v>1050</v>
      </c>
      <c r="D1267" s="29" t="s">
        <v>1087</v>
      </c>
      <c r="E1267" s="29">
        <v>500</v>
      </c>
      <c r="G1267" s="29" t="s">
        <v>1035</v>
      </c>
      <c r="H1267" s="29">
        <v>1</v>
      </c>
      <c r="I1267" s="29">
        <v>9.9600000000000009</v>
      </c>
      <c r="J1267" s="29">
        <v>4.9800000000000004</v>
      </c>
      <c r="K1267" s="29">
        <v>4.9800000000000004</v>
      </c>
      <c r="L1267" s="29" t="s">
        <v>1032</v>
      </c>
      <c r="M1267" s="29">
        <v>1</v>
      </c>
      <c r="N1267" s="29">
        <v>0.5</v>
      </c>
      <c r="O1267" s="29">
        <v>1</v>
      </c>
      <c r="P1267" s="29">
        <v>4.9800000000000004</v>
      </c>
      <c r="Q1267" s="29" t="s">
        <v>1033</v>
      </c>
    </row>
    <row r="1268" spans="1:17" x14ac:dyDescent="0.3">
      <c r="A1268" s="29" t="s">
        <v>744</v>
      </c>
      <c r="B1268" s="29">
        <v>1</v>
      </c>
      <c r="C1268" s="29" t="s">
        <v>1050</v>
      </c>
      <c r="D1268" s="29" t="s">
        <v>1087</v>
      </c>
      <c r="E1268" s="29">
        <v>500</v>
      </c>
      <c r="G1268" s="29" t="s">
        <v>1035</v>
      </c>
      <c r="H1268" s="29">
        <v>1</v>
      </c>
      <c r="I1268" s="29">
        <v>9.9600000000000009</v>
      </c>
      <c r="J1268" s="29">
        <v>4.9800000000000004</v>
      </c>
      <c r="K1268" s="29">
        <v>4.9800000000000004</v>
      </c>
      <c r="L1268" s="29" t="s">
        <v>1032</v>
      </c>
      <c r="M1268" s="29">
        <v>1</v>
      </c>
      <c r="N1268" s="29">
        <v>0.5</v>
      </c>
      <c r="O1268" s="29">
        <v>1</v>
      </c>
      <c r="P1268" s="29">
        <v>4.9800000000000004</v>
      </c>
      <c r="Q1268" s="29" t="s">
        <v>1033</v>
      </c>
    </row>
    <row r="1269" spans="1:17" x14ac:dyDescent="0.3">
      <c r="A1269" s="29" t="s">
        <v>744</v>
      </c>
      <c r="B1269" s="29">
        <v>1</v>
      </c>
      <c r="C1269" s="29" t="s">
        <v>1050</v>
      </c>
      <c r="D1269" s="29" t="s">
        <v>1087</v>
      </c>
      <c r="E1269" s="29">
        <v>500</v>
      </c>
      <c r="G1269" s="29" t="s">
        <v>1035</v>
      </c>
      <c r="H1269" s="29">
        <v>1</v>
      </c>
      <c r="I1269" s="29">
        <v>9.9600000000000009</v>
      </c>
      <c r="J1269" s="29">
        <v>4.9800000000000004</v>
      </c>
      <c r="K1269" s="29">
        <v>4.9800000000000004</v>
      </c>
      <c r="L1269" s="29" t="s">
        <v>1032</v>
      </c>
      <c r="M1269" s="29">
        <v>1</v>
      </c>
      <c r="N1269" s="29">
        <v>0.5</v>
      </c>
      <c r="O1269" s="29">
        <v>1</v>
      </c>
      <c r="P1269" s="29">
        <v>4.9800000000000004</v>
      </c>
      <c r="Q1269" s="29" t="s">
        <v>1033</v>
      </c>
    </row>
    <row r="1270" spans="1:17" x14ac:dyDescent="0.3">
      <c r="A1270" s="29" t="s">
        <v>744</v>
      </c>
      <c r="B1270" s="29">
        <v>1</v>
      </c>
      <c r="C1270" s="29" t="s">
        <v>1050</v>
      </c>
      <c r="D1270" s="29" t="s">
        <v>1087</v>
      </c>
      <c r="E1270" s="29">
        <v>500</v>
      </c>
      <c r="G1270" s="29" t="s">
        <v>1035</v>
      </c>
      <c r="H1270" s="29">
        <v>1</v>
      </c>
      <c r="I1270" s="29">
        <v>9.9600000000000009</v>
      </c>
      <c r="J1270" s="29">
        <v>4.9800000000000004</v>
      </c>
      <c r="K1270" s="29">
        <v>4.9800000000000004</v>
      </c>
      <c r="L1270" s="29" t="s">
        <v>1032</v>
      </c>
      <c r="M1270" s="29">
        <v>1</v>
      </c>
      <c r="N1270" s="29">
        <v>0.5</v>
      </c>
      <c r="O1270" s="29">
        <v>1</v>
      </c>
      <c r="P1270" s="29">
        <v>4.9800000000000004</v>
      </c>
      <c r="Q1270" s="29" t="s">
        <v>1033</v>
      </c>
    </row>
    <row r="1271" spans="1:17" x14ac:dyDescent="0.3">
      <c r="A1271" s="29" t="s">
        <v>744</v>
      </c>
      <c r="B1271" s="29">
        <v>1</v>
      </c>
      <c r="C1271" s="29" t="s">
        <v>1050</v>
      </c>
      <c r="D1271" s="29" t="s">
        <v>1087</v>
      </c>
      <c r="E1271" s="29">
        <v>500</v>
      </c>
      <c r="G1271" s="29" t="s">
        <v>1035</v>
      </c>
      <c r="H1271" s="29">
        <v>1</v>
      </c>
      <c r="I1271" s="29">
        <v>9.9600000000000009</v>
      </c>
      <c r="J1271" s="29">
        <v>4.9800000000000004</v>
      </c>
      <c r="K1271" s="29">
        <v>4.9800000000000004</v>
      </c>
      <c r="L1271" s="29" t="s">
        <v>1032</v>
      </c>
      <c r="M1271" s="29">
        <v>1</v>
      </c>
      <c r="N1271" s="29">
        <v>0.5</v>
      </c>
      <c r="O1271" s="29">
        <v>1</v>
      </c>
      <c r="P1271" s="29">
        <v>4.9800000000000004</v>
      </c>
      <c r="Q1271" s="29" t="s">
        <v>1033</v>
      </c>
    </row>
    <row r="1272" spans="1:17" x14ac:dyDescent="0.3">
      <c r="A1272" s="29" t="s">
        <v>744</v>
      </c>
      <c r="B1272" s="29">
        <v>1</v>
      </c>
      <c r="C1272" s="29" t="s">
        <v>1050</v>
      </c>
      <c r="D1272" s="29" t="s">
        <v>1087</v>
      </c>
      <c r="E1272" s="29">
        <v>500</v>
      </c>
      <c r="G1272" s="29" t="s">
        <v>1035</v>
      </c>
      <c r="H1272" s="29">
        <v>1</v>
      </c>
      <c r="I1272" s="29">
        <v>9.9600000000000009</v>
      </c>
      <c r="J1272" s="29">
        <v>4.9800000000000004</v>
      </c>
      <c r="K1272" s="29">
        <v>4.9800000000000004</v>
      </c>
      <c r="L1272" s="29" t="s">
        <v>1032</v>
      </c>
      <c r="M1272" s="29">
        <v>1</v>
      </c>
      <c r="N1272" s="29">
        <v>0.5</v>
      </c>
      <c r="O1272" s="29">
        <v>1</v>
      </c>
      <c r="P1272" s="29">
        <v>4.9800000000000004</v>
      </c>
      <c r="Q1272" s="29" t="s">
        <v>1033</v>
      </c>
    </row>
    <row r="1273" spans="1:17" x14ac:dyDescent="0.3">
      <c r="A1273" s="29" t="s">
        <v>744</v>
      </c>
      <c r="B1273" s="29">
        <v>1</v>
      </c>
      <c r="C1273" s="29" t="s">
        <v>1050</v>
      </c>
      <c r="D1273" s="29" t="s">
        <v>1087</v>
      </c>
      <c r="E1273" s="29">
        <v>500</v>
      </c>
      <c r="G1273" s="29" t="s">
        <v>1035</v>
      </c>
      <c r="H1273" s="29">
        <v>1</v>
      </c>
      <c r="I1273" s="29">
        <v>9.9600000000000009</v>
      </c>
      <c r="J1273" s="29">
        <v>4.9800000000000004</v>
      </c>
      <c r="K1273" s="29">
        <v>4.9800000000000004</v>
      </c>
      <c r="L1273" s="29" t="s">
        <v>1032</v>
      </c>
      <c r="M1273" s="29">
        <v>1</v>
      </c>
      <c r="N1273" s="29">
        <v>0.5</v>
      </c>
      <c r="O1273" s="29">
        <v>1</v>
      </c>
      <c r="P1273" s="29">
        <v>4.9800000000000004</v>
      </c>
      <c r="Q1273" s="29" t="s">
        <v>1033</v>
      </c>
    </row>
    <row r="1274" spans="1:17" x14ac:dyDescent="0.3">
      <c r="A1274" s="29" t="s">
        <v>744</v>
      </c>
      <c r="B1274" s="29">
        <v>1</v>
      </c>
      <c r="C1274" s="29" t="s">
        <v>1050</v>
      </c>
      <c r="D1274" s="29" t="s">
        <v>1087</v>
      </c>
      <c r="E1274" s="29">
        <v>500</v>
      </c>
      <c r="G1274" s="29" t="s">
        <v>1035</v>
      </c>
      <c r="H1274" s="29">
        <v>1</v>
      </c>
      <c r="I1274" s="29">
        <v>9.9600000000000009</v>
      </c>
      <c r="J1274" s="29">
        <v>4.9800000000000004</v>
      </c>
      <c r="K1274" s="29">
        <v>4.9800000000000004</v>
      </c>
      <c r="L1274" s="29" t="s">
        <v>1032</v>
      </c>
      <c r="M1274" s="29">
        <v>1</v>
      </c>
      <c r="N1274" s="29">
        <v>0.5</v>
      </c>
      <c r="O1274" s="29">
        <v>1</v>
      </c>
      <c r="P1274" s="29">
        <v>4.9800000000000004</v>
      </c>
      <c r="Q1274" s="29" t="s">
        <v>1033</v>
      </c>
    </row>
    <row r="1275" spans="1:17" x14ac:dyDescent="0.3">
      <c r="A1275" s="29" t="s">
        <v>744</v>
      </c>
      <c r="B1275" s="29">
        <v>1</v>
      </c>
      <c r="C1275" s="29" t="s">
        <v>1050</v>
      </c>
      <c r="D1275" s="29" t="s">
        <v>1087</v>
      </c>
      <c r="E1275" s="29">
        <v>500</v>
      </c>
      <c r="G1275" s="29" t="s">
        <v>1035</v>
      </c>
      <c r="H1275" s="29">
        <v>1</v>
      </c>
      <c r="I1275" s="29">
        <v>9.9600000000000009</v>
      </c>
      <c r="J1275" s="29">
        <v>4.9800000000000004</v>
      </c>
      <c r="K1275" s="29">
        <v>4.9800000000000004</v>
      </c>
      <c r="L1275" s="29" t="s">
        <v>1032</v>
      </c>
      <c r="M1275" s="29">
        <v>1</v>
      </c>
      <c r="N1275" s="29">
        <v>0.5</v>
      </c>
      <c r="O1275" s="29">
        <v>1</v>
      </c>
      <c r="P1275" s="29">
        <v>4.9800000000000004</v>
      </c>
      <c r="Q1275" s="29" t="s">
        <v>1033</v>
      </c>
    </row>
    <row r="1276" spans="1:17" x14ac:dyDescent="0.3">
      <c r="A1276" s="29" t="s">
        <v>744</v>
      </c>
      <c r="B1276" s="29">
        <v>1</v>
      </c>
      <c r="C1276" s="29" t="s">
        <v>1050</v>
      </c>
      <c r="D1276" s="29" t="s">
        <v>1087</v>
      </c>
      <c r="E1276" s="29">
        <v>500</v>
      </c>
      <c r="G1276" s="29" t="s">
        <v>1035</v>
      </c>
      <c r="H1276" s="29">
        <v>1</v>
      </c>
      <c r="I1276" s="29">
        <v>9.9600000000000009</v>
      </c>
      <c r="J1276" s="29">
        <v>4.9800000000000004</v>
      </c>
      <c r="K1276" s="29">
        <v>4.9800000000000004</v>
      </c>
      <c r="L1276" s="29" t="s">
        <v>1032</v>
      </c>
      <c r="M1276" s="29">
        <v>1</v>
      </c>
      <c r="N1276" s="29">
        <v>0.5</v>
      </c>
      <c r="O1276" s="29">
        <v>1</v>
      </c>
      <c r="P1276" s="29">
        <v>4.9800000000000004</v>
      </c>
      <c r="Q1276" s="29" t="s">
        <v>1033</v>
      </c>
    </row>
    <row r="1277" spans="1:17" x14ac:dyDescent="0.3">
      <c r="A1277" s="29" t="s">
        <v>744</v>
      </c>
      <c r="B1277" s="29">
        <v>1</v>
      </c>
      <c r="C1277" s="29" t="s">
        <v>1050</v>
      </c>
      <c r="D1277" s="29" t="s">
        <v>1087</v>
      </c>
      <c r="E1277" s="29">
        <v>500</v>
      </c>
      <c r="G1277" s="29" t="s">
        <v>1035</v>
      </c>
      <c r="H1277" s="29">
        <v>1</v>
      </c>
      <c r="I1277" s="29">
        <v>9.9600000000000009</v>
      </c>
      <c r="J1277" s="29">
        <v>4.9800000000000004</v>
      </c>
      <c r="K1277" s="29">
        <v>4.9800000000000004</v>
      </c>
      <c r="L1277" s="29" t="s">
        <v>1032</v>
      </c>
      <c r="M1277" s="29">
        <v>1</v>
      </c>
      <c r="N1277" s="29">
        <v>0.5</v>
      </c>
      <c r="O1277" s="29">
        <v>1</v>
      </c>
      <c r="P1277" s="29">
        <v>4.9800000000000004</v>
      </c>
      <c r="Q1277" s="29" t="s">
        <v>1033</v>
      </c>
    </row>
    <row r="1278" spans="1:17" x14ac:dyDescent="0.3">
      <c r="A1278" s="29" t="s">
        <v>745</v>
      </c>
      <c r="B1278" s="29">
        <v>1</v>
      </c>
      <c r="C1278" s="29" t="s">
        <v>1050</v>
      </c>
      <c r="D1278" s="29" t="s">
        <v>1087</v>
      </c>
      <c r="E1278" s="29">
        <v>600</v>
      </c>
      <c r="G1278" s="29" t="s">
        <v>1035</v>
      </c>
      <c r="H1278" s="29">
        <v>1</v>
      </c>
      <c r="I1278" s="29">
        <v>9.9600000000000009</v>
      </c>
      <c r="J1278" s="29">
        <v>5.976</v>
      </c>
      <c r="K1278" s="29">
        <v>5.976</v>
      </c>
      <c r="L1278" s="29" t="s">
        <v>1032</v>
      </c>
      <c r="M1278" s="29">
        <v>1</v>
      </c>
      <c r="N1278" s="29">
        <v>0.6</v>
      </c>
      <c r="O1278" s="29">
        <v>1</v>
      </c>
      <c r="P1278" s="29">
        <v>5.976</v>
      </c>
      <c r="Q1278" s="29" t="s">
        <v>1033</v>
      </c>
    </row>
    <row r="1279" spans="1:17" x14ac:dyDescent="0.3">
      <c r="A1279" s="29" t="s">
        <v>745</v>
      </c>
      <c r="B1279" s="29">
        <v>1</v>
      </c>
      <c r="C1279" s="29" t="s">
        <v>1050</v>
      </c>
      <c r="D1279" s="29" t="s">
        <v>1087</v>
      </c>
      <c r="E1279" s="29">
        <v>600</v>
      </c>
      <c r="G1279" s="29" t="s">
        <v>1035</v>
      </c>
      <c r="H1279" s="29">
        <v>1</v>
      </c>
      <c r="I1279" s="29">
        <v>9.9600000000000009</v>
      </c>
      <c r="J1279" s="29">
        <v>5.976</v>
      </c>
      <c r="K1279" s="29">
        <v>5.976</v>
      </c>
      <c r="L1279" s="29" t="s">
        <v>1032</v>
      </c>
      <c r="M1279" s="29">
        <v>1</v>
      </c>
      <c r="N1279" s="29">
        <v>0.6</v>
      </c>
      <c r="O1279" s="29">
        <v>1</v>
      </c>
      <c r="P1279" s="29">
        <v>5.976</v>
      </c>
      <c r="Q1279" s="29" t="s">
        <v>1033</v>
      </c>
    </row>
    <row r="1280" spans="1:17" x14ac:dyDescent="0.3">
      <c r="A1280" s="29" t="s">
        <v>745</v>
      </c>
      <c r="B1280" s="29">
        <v>1</v>
      </c>
      <c r="C1280" s="29" t="s">
        <v>1050</v>
      </c>
      <c r="D1280" s="29" t="s">
        <v>1087</v>
      </c>
      <c r="E1280" s="29">
        <v>600</v>
      </c>
      <c r="G1280" s="29" t="s">
        <v>1035</v>
      </c>
      <c r="H1280" s="29">
        <v>1</v>
      </c>
      <c r="I1280" s="29">
        <v>9.9600000000000009</v>
      </c>
      <c r="J1280" s="29">
        <v>5.976</v>
      </c>
      <c r="K1280" s="29">
        <v>5.976</v>
      </c>
      <c r="L1280" s="29" t="s">
        <v>1032</v>
      </c>
      <c r="M1280" s="29">
        <v>1</v>
      </c>
      <c r="N1280" s="29">
        <v>0.6</v>
      </c>
      <c r="O1280" s="29">
        <v>1</v>
      </c>
      <c r="P1280" s="29">
        <v>5.976</v>
      </c>
      <c r="Q1280" s="29" t="s">
        <v>1033</v>
      </c>
    </row>
    <row r="1281" spans="1:17" x14ac:dyDescent="0.3">
      <c r="A1281" s="29" t="s">
        <v>745</v>
      </c>
      <c r="B1281" s="29">
        <v>1</v>
      </c>
      <c r="C1281" s="29" t="s">
        <v>1050</v>
      </c>
      <c r="D1281" s="29" t="s">
        <v>1087</v>
      </c>
      <c r="E1281" s="29">
        <v>600</v>
      </c>
      <c r="G1281" s="29" t="s">
        <v>1035</v>
      </c>
      <c r="H1281" s="29">
        <v>1</v>
      </c>
      <c r="I1281" s="29">
        <v>9.9600000000000009</v>
      </c>
      <c r="J1281" s="29">
        <v>5.976</v>
      </c>
      <c r="K1281" s="29">
        <v>5.976</v>
      </c>
      <c r="L1281" s="29" t="s">
        <v>1032</v>
      </c>
      <c r="M1281" s="29">
        <v>1</v>
      </c>
      <c r="N1281" s="29">
        <v>0.6</v>
      </c>
      <c r="O1281" s="29">
        <v>1</v>
      </c>
      <c r="P1281" s="29">
        <v>5.976</v>
      </c>
      <c r="Q1281" s="29" t="s">
        <v>1033</v>
      </c>
    </row>
    <row r="1282" spans="1:17" x14ac:dyDescent="0.3">
      <c r="A1282" s="29" t="s">
        <v>745</v>
      </c>
      <c r="B1282" s="29">
        <v>1</v>
      </c>
      <c r="C1282" s="29" t="s">
        <v>1050</v>
      </c>
      <c r="D1282" s="29" t="s">
        <v>1087</v>
      </c>
      <c r="E1282" s="29">
        <v>600</v>
      </c>
      <c r="G1282" s="29" t="s">
        <v>1035</v>
      </c>
      <c r="H1282" s="29">
        <v>1</v>
      </c>
      <c r="I1282" s="29">
        <v>9.9600000000000009</v>
      </c>
      <c r="J1282" s="29">
        <v>5.976</v>
      </c>
      <c r="K1282" s="29">
        <v>5.976</v>
      </c>
      <c r="L1282" s="29" t="s">
        <v>1032</v>
      </c>
      <c r="M1282" s="29">
        <v>1</v>
      </c>
      <c r="N1282" s="29">
        <v>0.6</v>
      </c>
      <c r="O1282" s="29">
        <v>1</v>
      </c>
      <c r="P1282" s="29">
        <v>5.976</v>
      </c>
      <c r="Q1282" s="29" t="s">
        <v>1033</v>
      </c>
    </row>
    <row r="1283" spans="1:17" x14ac:dyDescent="0.3">
      <c r="A1283" s="29" t="s">
        <v>746</v>
      </c>
      <c r="B1283" s="29">
        <v>1</v>
      </c>
      <c r="C1283" s="29" t="s">
        <v>1050</v>
      </c>
      <c r="D1283" s="29" t="s">
        <v>1087</v>
      </c>
      <c r="E1283" s="29">
        <v>700</v>
      </c>
      <c r="G1283" s="29" t="s">
        <v>1035</v>
      </c>
      <c r="H1283" s="29">
        <v>1</v>
      </c>
      <c r="I1283" s="29">
        <v>9.9600000000000009</v>
      </c>
      <c r="J1283" s="29">
        <v>6.9720000000000004</v>
      </c>
      <c r="K1283" s="29">
        <v>6.9720000000000004</v>
      </c>
      <c r="L1283" s="29" t="s">
        <v>1032</v>
      </c>
      <c r="M1283" s="29">
        <v>1</v>
      </c>
      <c r="N1283" s="29">
        <v>0.7</v>
      </c>
      <c r="O1283" s="29">
        <v>1</v>
      </c>
      <c r="P1283" s="29">
        <v>6.9720000000000004</v>
      </c>
      <c r="Q1283" s="29" t="s">
        <v>1033</v>
      </c>
    </row>
    <row r="1284" spans="1:17" x14ac:dyDescent="0.3">
      <c r="A1284" s="29" t="s">
        <v>746</v>
      </c>
      <c r="B1284" s="29">
        <v>1</v>
      </c>
      <c r="C1284" s="29" t="s">
        <v>1050</v>
      </c>
      <c r="D1284" s="29" t="s">
        <v>1087</v>
      </c>
      <c r="E1284" s="29">
        <v>700</v>
      </c>
      <c r="G1284" s="29" t="s">
        <v>1035</v>
      </c>
      <c r="H1284" s="29">
        <v>1</v>
      </c>
      <c r="I1284" s="29">
        <v>9.9600000000000009</v>
      </c>
      <c r="J1284" s="29">
        <v>6.9720000000000004</v>
      </c>
      <c r="K1284" s="29">
        <v>6.9720000000000004</v>
      </c>
      <c r="L1284" s="29" t="s">
        <v>1032</v>
      </c>
      <c r="M1284" s="29">
        <v>1</v>
      </c>
      <c r="N1284" s="29">
        <v>0.7</v>
      </c>
      <c r="O1284" s="29">
        <v>1</v>
      </c>
      <c r="P1284" s="29">
        <v>6.9720000000000004</v>
      </c>
      <c r="Q1284" s="29" t="s">
        <v>1033</v>
      </c>
    </row>
    <row r="1285" spans="1:17" x14ac:dyDescent="0.3">
      <c r="A1285" s="29" t="s">
        <v>746</v>
      </c>
      <c r="B1285" s="29">
        <v>1</v>
      </c>
      <c r="C1285" s="29" t="s">
        <v>1050</v>
      </c>
      <c r="D1285" s="29" t="s">
        <v>1087</v>
      </c>
      <c r="E1285" s="29">
        <v>700</v>
      </c>
      <c r="G1285" s="29" t="s">
        <v>1035</v>
      </c>
      <c r="H1285" s="29">
        <v>1</v>
      </c>
      <c r="I1285" s="29">
        <v>9.9600000000000009</v>
      </c>
      <c r="J1285" s="29">
        <v>6.9720000000000004</v>
      </c>
      <c r="K1285" s="29">
        <v>6.9720000000000004</v>
      </c>
      <c r="L1285" s="29" t="s">
        <v>1032</v>
      </c>
      <c r="M1285" s="29">
        <v>1</v>
      </c>
      <c r="N1285" s="29">
        <v>0.7</v>
      </c>
      <c r="O1285" s="29">
        <v>1</v>
      </c>
      <c r="P1285" s="29">
        <v>6.9720000000000004</v>
      </c>
      <c r="Q1285" s="29" t="s">
        <v>1033</v>
      </c>
    </row>
    <row r="1286" spans="1:17" x14ac:dyDescent="0.3">
      <c r="A1286" s="29" t="s">
        <v>746</v>
      </c>
      <c r="B1286" s="29">
        <v>1</v>
      </c>
      <c r="C1286" s="29" t="s">
        <v>1050</v>
      </c>
      <c r="D1286" s="29" t="s">
        <v>1087</v>
      </c>
      <c r="E1286" s="29">
        <v>700</v>
      </c>
      <c r="G1286" s="29" t="s">
        <v>1035</v>
      </c>
      <c r="H1286" s="29">
        <v>1</v>
      </c>
      <c r="I1286" s="29">
        <v>9.9600000000000009</v>
      </c>
      <c r="J1286" s="29">
        <v>6.9720000000000004</v>
      </c>
      <c r="K1286" s="29">
        <v>6.9720000000000004</v>
      </c>
      <c r="L1286" s="29" t="s">
        <v>1032</v>
      </c>
      <c r="M1286" s="29">
        <v>1</v>
      </c>
      <c r="N1286" s="29">
        <v>0.7</v>
      </c>
      <c r="O1286" s="29">
        <v>1</v>
      </c>
      <c r="P1286" s="29">
        <v>6.9720000000000004</v>
      </c>
      <c r="Q1286" s="29" t="s">
        <v>1033</v>
      </c>
    </row>
    <row r="1287" spans="1:17" x14ac:dyDescent="0.3">
      <c r="A1287" s="29" t="s">
        <v>746</v>
      </c>
      <c r="B1287" s="29">
        <v>1</v>
      </c>
      <c r="C1287" s="29" t="s">
        <v>1050</v>
      </c>
      <c r="D1287" s="29" t="s">
        <v>1087</v>
      </c>
      <c r="E1287" s="29">
        <v>700</v>
      </c>
      <c r="G1287" s="29" t="s">
        <v>1035</v>
      </c>
      <c r="H1287" s="29">
        <v>1</v>
      </c>
      <c r="I1287" s="29">
        <v>9.9600000000000009</v>
      </c>
      <c r="J1287" s="29">
        <v>6.9720000000000004</v>
      </c>
      <c r="K1287" s="29">
        <v>6.9720000000000004</v>
      </c>
      <c r="L1287" s="29" t="s">
        <v>1032</v>
      </c>
      <c r="M1287" s="29">
        <v>1</v>
      </c>
      <c r="N1287" s="29">
        <v>0.7</v>
      </c>
      <c r="O1287" s="29">
        <v>1</v>
      </c>
      <c r="P1287" s="29">
        <v>6.9720000000000004</v>
      </c>
      <c r="Q1287" s="29" t="s">
        <v>1033</v>
      </c>
    </row>
    <row r="1288" spans="1:17" x14ac:dyDescent="0.3">
      <c r="A1288" s="29" t="s">
        <v>746</v>
      </c>
      <c r="B1288" s="29">
        <v>1</v>
      </c>
      <c r="C1288" s="29" t="s">
        <v>1050</v>
      </c>
      <c r="D1288" s="29" t="s">
        <v>1087</v>
      </c>
      <c r="E1288" s="29">
        <v>700</v>
      </c>
      <c r="G1288" s="29" t="s">
        <v>1035</v>
      </c>
      <c r="H1288" s="29">
        <v>1</v>
      </c>
      <c r="I1288" s="29">
        <v>9.9600000000000009</v>
      </c>
      <c r="J1288" s="29">
        <v>6.9720000000000004</v>
      </c>
      <c r="K1288" s="29">
        <v>6.9720000000000004</v>
      </c>
      <c r="L1288" s="29" t="s">
        <v>1032</v>
      </c>
      <c r="M1288" s="29">
        <v>1</v>
      </c>
      <c r="N1288" s="29">
        <v>0.7</v>
      </c>
      <c r="O1288" s="29">
        <v>1</v>
      </c>
      <c r="P1288" s="29">
        <v>6.9720000000000004</v>
      </c>
      <c r="Q1288" s="29" t="s">
        <v>1033</v>
      </c>
    </row>
    <row r="1289" spans="1:17" x14ac:dyDescent="0.3">
      <c r="A1289" s="29" t="s">
        <v>746</v>
      </c>
      <c r="B1289" s="29">
        <v>1</v>
      </c>
      <c r="C1289" s="29" t="s">
        <v>1050</v>
      </c>
      <c r="D1289" s="29" t="s">
        <v>1087</v>
      </c>
      <c r="E1289" s="29">
        <v>700</v>
      </c>
      <c r="G1289" s="29" t="s">
        <v>1035</v>
      </c>
      <c r="H1289" s="29">
        <v>1</v>
      </c>
      <c r="I1289" s="29">
        <v>9.9600000000000009</v>
      </c>
      <c r="J1289" s="29">
        <v>6.9720000000000004</v>
      </c>
      <c r="K1289" s="29">
        <v>6.9720000000000004</v>
      </c>
      <c r="L1289" s="29" t="s">
        <v>1032</v>
      </c>
      <c r="M1289" s="29">
        <v>1</v>
      </c>
      <c r="N1289" s="29">
        <v>0.7</v>
      </c>
      <c r="O1289" s="29">
        <v>1</v>
      </c>
      <c r="P1289" s="29">
        <v>6.9720000000000004</v>
      </c>
      <c r="Q1289" s="29" t="s">
        <v>1033</v>
      </c>
    </row>
    <row r="1290" spans="1:17" x14ac:dyDescent="0.3">
      <c r="A1290" s="29" t="s">
        <v>746</v>
      </c>
      <c r="B1290" s="29">
        <v>1</v>
      </c>
      <c r="C1290" s="29" t="s">
        <v>1050</v>
      </c>
      <c r="D1290" s="29" t="s">
        <v>1087</v>
      </c>
      <c r="E1290" s="29">
        <v>700</v>
      </c>
      <c r="G1290" s="29" t="s">
        <v>1035</v>
      </c>
      <c r="H1290" s="29">
        <v>1</v>
      </c>
      <c r="I1290" s="29">
        <v>9.9600000000000009</v>
      </c>
      <c r="J1290" s="29">
        <v>6.9720000000000004</v>
      </c>
      <c r="K1290" s="29">
        <v>6.9720000000000004</v>
      </c>
      <c r="L1290" s="29" t="s">
        <v>1032</v>
      </c>
      <c r="M1290" s="29">
        <v>1</v>
      </c>
      <c r="N1290" s="29">
        <v>0.7</v>
      </c>
      <c r="O1290" s="29">
        <v>1</v>
      </c>
      <c r="P1290" s="29">
        <v>6.9720000000000004</v>
      </c>
      <c r="Q1290" s="29" t="s">
        <v>1033</v>
      </c>
    </row>
    <row r="1291" spans="1:17" x14ac:dyDescent="0.3">
      <c r="A1291" s="29" t="s">
        <v>746</v>
      </c>
      <c r="B1291" s="29">
        <v>1</v>
      </c>
      <c r="C1291" s="29" t="s">
        <v>1050</v>
      </c>
      <c r="D1291" s="29" t="s">
        <v>1087</v>
      </c>
      <c r="E1291" s="29">
        <v>700</v>
      </c>
      <c r="G1291" s="29" t="s">
        <v>1035</v>
      </c>
      <c r="H1291" s="29">
        <v>1</v>
      </c>
      <c r="I1291" s="29">
        <v>9.9600000000000009</v>
      </c>
      <c r="J1291" s="29">
        <v>6.9720000000000004</v>
      </c>
      <c r="K1291" s="29">
        <v>6.9720000000000004</v>
      </c>
      <c r="L1291" s="29" t="s">
        <v>1032</v>
      </c>
      <c r="M1291" s="29">
        <v>1</v>
      </c>
      <c r="N1291" s="29">
        <v>0.7</v>
      </c>
      <c r="O1291" s="29">
        <v>1</v>
      </c>
      <c r="P1291" s="29">
        <v>6.9720000000000004</v>
      </c>
      <c r="Q1291" s="29" t="s">
        <v>1033</v>
      </c>
    </row>
    <row r="1292" spans="1:17" x14ac:dyDescent="0.3">
      <c r="A1292" s="29" t="s">
        <v>746</v>
      </c>
      <c r="B1292" s="29">
        <v>1</v>
      </c>
      <c r="C1292" s="29" t="s">
        <v>1050</v>
      </c>
      <c r="D1292" s="29" t="s">
        <v>1087</v>
      </c>
      <c r="E1292" s="29">
        <v>700</v>
      </c>
      <c r="G1292" s="29" t="s">
        <v>1035</v>
      </c>
      <c r="H1292" s="29">
        <v>1</v>
      </c>
      <c r="I1292" s="29">
        <v>9.9600000000000009</v>
      </c>
      <c r="J1292" s="29">
        <v>6.9720000000000004</v>
      </c>
      <c r="K1292" s="29">
        <v>6.9720000000000004</v>
      </c>
      <c r="L1292" s="29" t="s">
        <v>1032</v>
      </c>
      <c r="M1292" s="29">
        <v>1</v>
      </c>
      <c r="N1292" s="29">
        <v>0.7</v>
      </c>
      <c r="O1292" s="29">
        <v>1</v>
      </c>
      <c r="P1292" s="29">
        <v>6.9720000000000004</v>
      </c>
      <c r="Q1292" s="29" t="s">
        <v>1033</v>
      </c>
    </row>
    <row r="1293" spans="1:17" x14ac:dyDescent="0.3">
      <c r="A1293" s="29" t="s">
        <v>747</v>
      </c>
      <c r="B1293" s="29">
        <v>1</v>
      </c>
      <c r="C1293" s="29" t="s">
        <v>1050</v>
      </c>
      <c r="D1293" s="29" t="s">
        <v>1087</v>
      </c>
      <c r="E1293" s="29">
        <v>800</v>
      </c>
      <c r="G1293" s="29" t="s">
        <v>1035</v>
      </c>
      <c r="H1293" s="29">
        <v>1</v>
      </c>
      <c r="I1293" s="29">
        <v>9.9600000000000009</v>
      </c>
      <c r="J1293" s="29">
        <v>7.9680000000000009</v>
      </c>
      <c r="K1293" s="29">
        <v>7.9680000000000009</v>
      </c>
      <c r="L1293" s="29" t="s">
        <v>1032</v>
      </c>
      <c r="M1293" s="29">
        <v>1</v>
      </c>
      <c r="N1293" s="29">
        <v>0.8</v>
      </c>
      <c r="O1293" s="29">
        <v>1</v>
      </c>
      <c r="P1293" s="29">
        <v>7.9680000000000009</v>
      </c>
      <c r="Q1293" s="29" t="s">
        <v>1033</v>
      </c>
    </row>
    <row r="1294" spans="1:17" x14ac:dyDescent="0.3">
      <c r="A1294" s="29" t="s">
        <v>747</v>
      </c>
      <c r="B1294" s="29">
        <v>1</v>
      </c>
      <c r="C1294" s="29" t="s">
        <v>1050</v>
      </c>
      <c r="D1294" s="29" t="s">
        <v>1087</v>
      </c>
      <c r="E1294" s="29">
        <v>800</v>
      </c>
      <c r="G1294" s="29" t="s">
        <v>1035</v>
      </c>
      <c r="H1294" s="29">
        <v>1</v>
      </c>
      <c r="I1294" s="29">
        <v>9.9600000000000009</v>
      </c>
      <c r="J1294" s="29">
        <v>7.9680000000000009</v>
      </c>
      <c r="K1294" s="29">
        <v>7.9680000000000009</v>
      </c>
      <c r="L1294" s="29" t="s">
        <v>1032</v>
      </c>
      <c r="M1294" s="29">
        <v>1</v>
      </c>
      <c r="N1294" s="29">
        <v>0.8</v>
      </c>
      <c r="O1294" s="29">
        <v>1</v>
      </c>
      <c r="P1294" s="29">
        <v>7.9680000000000009</v>
      </c>
      <c r="Q1294" s="29" t="s">
        <v>1033</v>
      </c>
    </row>
    <row r="1295" spans="1:17" x14ac:dyDescent="0.3">
      <c r="A1295" s="29" t="s">
        <v>747</v>
      </c>
      <c r="B1295" s="29">
        <v>1</v>
      </c>
      <c r="C1295" s="29" t="s">
        <v>1050</v>
      </c>
      <c r="D1295" s="29" t="s">
        <v>1087</v>
      </c>
      <c r="E1295" s="29">
        <v>800</v>
      </c>
      <c r="G1295" s="29" t="s">
        <v>1035</v>
      </c>
      <c r="H1295" s="29">
        <v>1</v>
      </c>
      <c r="I1295" s="29">
        <v>9.9600000000000009</v>
      </c>
      <c r="J1295" s="29">
        <v>7.9680000000000009</v>
      </c>
      <c r="K1295" s="29">
        <v>7.9680000000000009</v>
      </c>
      <c r="L1295" s="29" t="s">
        <v>1032</v>
      </c>
      <c r="M1295" s="29">
        <v>1</v>
      </c>
      <c r="N1295" s="29">
        <v>0.8</v>
      </c>
      <c r="O1295" s="29">
        <v>1</v>
      </c>
      <c r="P1295" s="29">
        <v>7.9680000000000009</v>
      </c>
      <c r="Q1295" s="29" t="s">
        <v>1033</v>
      </c>
    </row>
    <row r="1296" spans="1:17" x14ac:dyDescent="0.3">
      <c r="A1296" s="29" t="s">
        <v>747</v>
      </c>
      <c r="B1296" s="29">
        <v>1</v>
      </c>
      <c r="C1296" s="29" t="s">
        <v>1050</v>
      </c>
      <c r="D1296" s="29" t="s">
        <v>1087</v>
      </c>
      <c r="E1296" s="29">
        <v>800</v>
      </c>
      <c r="G1296" s="29" t="s">
        <v>1035</v>
      </c>
      <c r="H1296" s="29">
        <v>1</v>
      </c>
      <c r="I1296" s="29">
        <v>9.9600000000000009</v>
      </c>
      <c r="J1296" s="29">
        <v>7.9680000000000009</v>
      </c>
      <c r="K1296" s="29">
        <v>7.9680000000000009</v>
      </c>
      <c r="L1296" s="29" t="s">
        <v>1032</v>
      </c>
      <c r="M1296" s="29">
        <v>1</v>
      </c>
      <c r="N1296" s="29">
        <v>0.8</v>
      </c>
      <c r="O1296" s="29">
        <v>1</v>
      </c>
      <c r="P1296" s="29">
        <v>7.9680000000000009</v>
      </c>
      <c r="Q1296" s="29" t="s">
        <v>1033</v>
      </c>
    </row>
    <row r="1297" spans="1:17" x14ac:dyDescent="0.3">
      <c r="A1297" s="29" t="s">
        <v>747</v>
      </c>
      <c r="B1297" s="29">
        <v>1</v>
      </c>
      <c r="C1297" s="29" t="s">
        <v>1050</v>
      </c>
      <c r="D1297" s="29" t="s">
        <v>1087</v>
      </c>
      <c r="E1297" s="29">
        <v>800</v>
      </c>
      <c r="G1297" s="29" t="s">
        <v>1035</v>
      </c>
      <c r="H1297" s="29">
        <v>1</v>
      </c>
      <c r="I1297" s="29">
        <v>9.9600000000000009</v>
      </c>
      <c r="J1297" s="29">
        <v>7.9680000000000009</v>
      </c>
      <c r="K1297" s="29">
        <v>7.9680000000000009</v>
      </c>
      <c r="L1297" s="29" t="s">
        <v>1032</v>
      </c>
      <c r="M1297" s="29">
        <v>1</v>
      </c>
      <c r="N1297" s="29">
        <v>0.8</v>
      </c>
      <c r="O1297" s="29">
        <v>1</v>
      </c>
      <c r="P1297" s="29">
        <v>7.9680000000000009</v>
      </c>
      <c r="Q1297" s="29" t="s">
        <v>1033</v>
      </c>
    </row>
    <row r="1298" spans="1:17" x14ac:dyDescent="0.3">
      <c r="A1298" s="29" t="s">
        <v>747</v>
      </c>
      <c r="B1298" s="29">
        <v>1</v>
      </c>
      <c r="C1298" s="29" t="s">
        <v>1050</v>
      </c>
      <c r="D1298" s="29" t="s">
        <v>1087</v>
      </c>
      <c r="E1298" s="29">
        <v>800</v>
      </c>
      <c r="G1298" s="29" t="s">
        <v>1035</v>
      </c>
      <c r="H1298" s="29">
        <v>1</v>
      </c>
      <c r="I1298" s="29">
        <v>9.9600000000000009</v>
      </c>
      <c r="J1298" s="29">
        <v>7.9680000000000009</v>
      </c>
      <c r="K1298" s="29">
        <v>7.9680000000000009</v>
      </c>
      <c r="L1298" s="29" t="s">
        <v>1032</v>
      </c>
      <c r="M1298" s="29">
        <v>1</v>
      </c>
      <c r="N1298" s="29">
        <v>0.8</v>
      </c>
      <c r="O1298" s="29">
        <v>1</v>
      </c>
      <c r="P1298" s="29">
        <v>7.9680000000000009</v>
      </c>
      <c r="Q1298" s="29" t="s">
        <v>1033</v>
      </c>
    </row>
    <row r="1299" spans="1:17" x14ac:dyDescent="0.3">
      <c r="A1299" s="29" t="s">
        <v>748</v>
      </c>
      <c r="B1299" s="29">
        <v>1</v>
      </c>
      <c r="C1299" s="29" t="s">
        <v>1063</v>
      </c>
      <c r="D1299" s="29" t="s">
        <v>1095</v>
      </c>
      <c r="E1299" s="29">
        <v>1145</v>
      </c>
      <c r="G1299" s="29" t="s">
        <v>1035</v>
      </c>
      <c r="H1299" s="29">
        <v>1</v>
      </c>
      <c r="I1299" s="29">
        <v>9.36</v>
      </c>
      <c r="J1299" s="29">
        <v>10.7172</v>
      </c>
      <c r="K1299" s="29">
        <v>10.7172</v>
      </c>
      <c r="L1299" s="29" t="s">
        <v>1032</v>
      </c>
      <c r="M1299" s="29">
        <v>1</v>
      </c>
      <c r="N1299" s="29">
        <v>1.145</v>
      </c>
      <c r="O1299" s="29">
        <v>1</v>
      </c>
      <c r="P1299" s="29">
        <v>10.7172</v>
      </c>
      <c r="Q1299" s="29" t="s">
        <v>1033</v>
      </c>
    </row>
    <row r="1300" spans="1:17" x14ac:dyDescent="0.3">
      <c r="A1300" s="29" t="s">
        <v>749</v>
      </c>
      <c r="B1300" s="29">
        <v>1</v>
      </c>
      <c r="C1300" s="29" t="s">
        <v>1063</v>
      </c>
      <c r="D1300" s="29" t="s">
        <v>1064</v>
      </c>
      <c r="E1300" s="29">
        <v>2499</v>
      </c>
      <c r="G1300" s="29" t="s">
        <v>1035</v>
      </c>
      <c r="H1300" s="29">
        <v>1</v>
      </c>
      <c r="I1300" s="29">
        <v>13.4</v>
      </c>
      <c r="J1300" s="29">
        <v>33.486600000000003</v>
      </c>
      <c r="K1300" s="29">
        <v>33.486600000000003</v>
      </c>
      <c r="L1300" s="29" t="s">
        <v>1032</v>
      </c>
      <c r="M1300" s="29">
        <v>1</v>
      </c>
      <c r="N1300" s="29">
        <v>2.4990000000000001</v>
      </c>
      <c r="O1300" s="29">
        <v>1</v>
      </c>
      <c r="P1300" s="29">
        <v>33.486600000000003</v>
      </c>
      <c r="Q1300" s="29" t="s">
        <v>1033</v>
      </c>
    </row>
    <row r="1301" spans="1:17" x14ac:dyDescent="0.3">
      <c r="A1301" s="29" t="s">
        <v>750</v>
      </c>
      <c r="B1301" s="29">
        <v>1</v>
      </c>
      <c r="C1301" s="29" t="s">
        <v>1063</v>
      </c>
      <c r="D1301" s="29" t="s">
        <v>1064</v>
      </c>
      <c r="E1301" s="29">
        <v>1806</v>
      </c>
      <c r="G1301" s="29" t="s">
        <v>1035</v>
      </c>
      <c r="H1301" s="29">
        <v>1</v>
      </c>
      <c r="I1301" s="29">
        <v>13.4</v>
      </c>
      <c r="J1301" s="29">
        <v>24.200400000000002</v>
      </c>
      <c r="K1301" s="29">
        <v>24.200400000000002</v>
      </c>
      <c r="L1301" s="29" t="s">
        <v>1032</v>
      </c>
      <c r="M1301" s="29">
        <v>1</v>
      </c>
      <c r="N1301" s="29">
        <v>1.806</v>
      </c>
      <c r="O1301" s="29">
        <v>1</v>
      </c>
      <c r="P1301" s="29">
        <v>24.200400000000002</v>
      </c>
      <c r="Q1301" s="29" t="s">
        <v>1033</v>
      </c>
    </row>
    <row r="1302" spans="1:17" x14ac:dyDescent="0.3">
      <c r="A1302" s="29" t="s">
        <v>751</v>
      </c>
      <c r="B1302" s="29">
        <v>1</v>
      </c>
      <c r="C1302" s="29" t="s">
        <v>1063</v>
      </c>
      <c r="D1302" s="29" t="s">
        <v>1064</v>
      </c>
      <c r="E1302" s="29">
        <v>1637</v>
      </c>
      <c r="G1302" s="29" t="s">
        <v>1035</v>
      </c>
      <c r="H1302" s="29">
        <v>1</v>
      </c>
      <c r="I1302" s="29">
        <v>13.4</v>
      </c>
      <c r="J1302" s="29">
        <v>21.9358</v>
      </c>
      <c r="K1302" s="29">
        <v>21.9358</v>
      </c>
      <c r="L1302" s="29" t="s">
        <v>1032</v>
      </c>
      <c r="M1302" s="29">
        <v>1</v>
      </c>
      <c r="N1302" s="29">
        <v>1.637</v>
      </c>
      <c r="O1302" s="29">
        <v>1</v>
      </c>
      <c r="P1302" s="29">
        <v>21.9358</v>
      </c>
      <c r="Q1302" s="29" t="s">
        <v>1033</v>
      </c>
    </row>
    <row r="1303" spans="1:17" x14ac:dyDescent="0.3">
      <c r="A1303" s="29" t="s">
        <v>752</v>
      </c>
      <c r="B1303" s="29">
        <v>1</v>
      </c>
      <c r="C1303" s="29" t="s">
        <v>1063</v>
      </c>
      <c r="D1303" s="29" t="s">
        <v>1064</v>
      </c>
      <c r="E1303" s="29">
        <v>2014</v>
      </c>
      <c r="G1303" s="29" t="s">
        <v>1035</v>
      </c>
      <c r="H1303" s="29">
        <v>1</v>
      </c>
      <c r="I1303" s="29">
        <v>13.4</v>
      </c>
      <c r="J1303" s="29">
        <v>26.987599999999997</v>
      </c>
      <c r="K1303" s="29">
        <v>26.987599999999997</v>
      </c>
      <c r="L1303" s="29" t="s">
        <v>1032</v>
      </c>
      <c r="M1303" s="29">
        <v>1</v>
      </c>
      <c r="N1303" s="29">
        <v>2.0139999999999998</v>
      </c>
      <c r="O1303" s="29">
        <v>1</v>
      </c>
      <c r="P1303" s="29">
        <v>26.987599999999997</v>
      </c>
      <c r="Q1303" s="29" t="s">
        <v>1033</v>
      </c>
    </row>
    <row r="1304" spans="1:17" x14ac:dyDescent="0.3">
      <c r="A1304" s="29" t="s">
        <v>753</v>
      </c>
      <c r="B1304" s="29">
        <v>1</v>
      </c>
      <c r="C1304" s="29" t="s">
        <v>1063</v>
      </c>
      <c r="D1304" s="29" t="s">
        <v>1064</v>
      </c>
      <c r="E1304" s="29">
        <v>2283</v>
      </c>
      <c r="G1304" s="29" t="s">
        <v>1035</v>
      </c>
      <c r="H1304" s="29">
        <v>1</v>
      </c>
      <c r="I1304" s="29">
        <v>13.4</v>
      </c>
      <c r="J1304" s="29">
        <v>30.592199999999998</v>
      </c>
      <c r="K1304" s="29">
        <v>30.592199999999998</v>
      </c>
      <c r="L1304" s="29" t="s">
        <v>1032</v>
      </c>
      <c r="M1304" s="29">
        <v>1</v>
      </c>
      <c r="N1304" s="29">
        <v>2.2829999999999999</v>
      </c>
      <c r="O1304" s="29">
        <v>1</v>
      </c>
      <c r="P1304" s="29">
        <v>30.592199999999998</v>
      </c>
      <c r="Q1304" s="29" t="s">
        <v>1033</v>
      </c>
    </row>
    <row r="1305" spans="1:17" x14ac:dyDescent="0.3">
      <c r="A1305" s="29" t="s">
        <v>754</v>
      </c>
      <c r="B1305" s="29">
        <v>1</v>
      </c>
      <c r="C1305" s="29" t="s">
        <v>1089</v>
      </c>
      <c r="D1305" s="29" t="s">
        <v>1096</v>
      </c>
      <c r="E1305" s="29">
        <v>3547</v>
      </c>
      <c r="G1305" s="29" t="s">
        <v>1035</v>
      </c>
      <c r="H1305" s="29">
        <v>1</v>
      </c>
      <c r="I1305" s="29">
        <v>16.899999999999999</v>
      </c>
      <c r="J1305" s="29">
        <v>59.944299999999998</v>
      </c>
      <c r="K1305" s="29">
        <v>59.944299999999998</v>
      </c>
      <c r="L1305" s="29" t="s">
        <v>1032</v>
      </c>
      <c r="M1305" s="29">
        <v>1</v>
      </c>
      <c r="N1305" s="29">
        <v>3.5470000000000002</v>
      </c>
      <c r="O1305" s="29">
        <v>1</v>
      </c>
      <c r="P1305" s="29">
        <v>59.944299999999998</v>
      </c>
      <c r="Q1305" s="29" t="s">
        <v>1033</v>
      </c>
    </row>
    <row r="1306" spans="1:17" x14ac:dyDescent="0.3">
      <c r="A1306" s="29" t="s">
        <v>755</v>
      </c>
      <c r="B1306" s="29">
        <v>1</v>
      </c>
      <c r="C1306" s="29" t="s">
        <v>1089</v>
      </c>
      <c r="D1306" s="29" t="s">
        <v>1096</v>
      </c>
      <c r="E1306" s="29">
        <v>4049</v>
      </c>
      <c r="G1306" s="29" t="s">
        <v>1035</v>
      </c>
      <c r="H1306" s="29">
        <v>1</v>
      </c>
      <c r="I1306" s="29">
        <v>16.899999999999999</v>
      </c>
      <c r="J1306" s="29">
        <v>68.428100000000001</v>
      </c>
      <c r="K1306" s="29">
        <v>68.428100000000001</v>
      </c>
      <c r="L1306" s="29" t="s">
        <v>1032</v>
      </c>
      <c r="M1306" s="29">
        <v>1</v>
      </c>
      <c r="N1306" s="29">
        <v>4.0490000000000004</v>
      </c>
      <c r="O1306" s="29">
        <v>1</v>
      </c>
      <c r="P1306" s="29">
        <v>68.428100000000001</v>
      </c>
      <c r="Q1306" s="29" t="s">
        <v>1033</v>
      </c>
    </row>
    <row r="1307" spans="1:17" x14ac:dyDescent="0.3">
      <c r="A1307" s="29" t="s">
        <v>756</v>
      </c>
      <c r="B1307" s="29">
        <v>1</v>
      </c>
      <c r="C1307" s="29" t="s">
        <v>1089</v>
      </c>
      <c r="D1307" s="29" t="s">
        <v>1096</v>
      </c>
      <c r="E1307" s="29">
        <v>1145</v>
      </c>
      <c r="G1307" s="29" t="s">
        <v>1035</v>
      </c>
      <c r="H1307" s="29">
        <v>1</v>
      </c>
      <c r="I1307" s="29">
        <v>16.899999999999999</v>
      </c>
      <c r="J1307" s="29">
        <v>19.3505</v>
      </c>
      <c r="K1307" s="29">
        <v>19.3505</v>
      </c>
      <c r="L1307" s="29" t="s">
        <v>1032</v>
      </c>
      <c r="M1307" s="29">
        <v>1</v>
      </c>
      <c r="N1307" s="29">
        <v>1.145</v>
      </c>
      <c r="O1307" s="29">
        <v>1</v>
      </c>
      <c r="P1307" s="29">
        <v>19.3505</v>
      </c>
      <c r="Q1307" s="29" t="s">
        <v>1033</v>
      </c>
    </row>
    <row r="1308" spans="1:17" x14ac:dyDescent="0.3">
      <c r="A1308" s="29" t="s">
        <v>757</v>
      </c>
      <c r="B1308" s="29">
        <v>1</v>
      </c>
      <c r="C1308" s="29" t="s">
        <v>1089</v>
      </c>
      <c r="D1308" s="29" t="s">
        <v>1096</v>
      </c>
      <c r="E1308" s="29">
        <v>1567</v>
      </c>
      <c r="G1308" s="29" t="s">
        <v>1035</v>
      </c>
      <c r="H1308" s="29">
        <v>1</v>
      </c>
      <c r="I1308" s="29">
        <v>16.899999999999999</v>
      </c>
      <c r="J1308" s="29">
        <v>26.482299999999999</v>
      </c>
      <c r="K1308" s="29">
        <v>26.482299999999999</v>
      </c>
      <c r="L1308" s="29" t="s">
        <v>1032</v>
      </c>
      <c r="M1308" s="29">
        <v>1</v>
      </c>
      <c r="N1308" s="29">
        <v>1.5669999999999999</v>
      </c>
      <c r="O1308" s="29">
        <v>1</v>
      </c>
      <c r="P1308" s="29">
        <v>26.482299999999999</v>
      </c>
      <c r="Q1308" s="29" t="s">
        <v>1033</v>
      </c>
    </row>
    <row r="1309" spans="1:17" x14ac:dyDescent="0.3">
      <c r="A1309" s="29" t="s">
        <v>758</v>
      </c>
      <c r="B1309" s="29">
        <v>1</v>
      </c>
      <c r="C1309" s="29" t="s">
        <v>1089</v>
      </c>
      <c r="D1309" s="29" t="s">
        <v>1096</v>
      </c>
      <c r="E1309" s="29">
        <v>1654</v>
      </c>
      <c r="G1309" s="29" t="s">
        <v>1035</v>
      </c>
      <c r="H1309" s="29">
        <v>1</v>
      </c>
      <c r="I1309" s="29">
        <v>16.899999999999999</v>
      </c>
      <c r="J1309" s="29">
        <v>27.952599999999997</v>
      </c>
      <c r="K1309" s="29">
        <v>27.952599999999997</v>
      </c>
      <c r="L1309" s="29" t="s">
        <v>1032</v>
      </c>
      <c r="M1309" s="29">
        <v>1</v>
      </c>
      <c r="N1309" s="29">
        <v>1.6539999999999999</v>
      </c>
      <c r="O1309" s="29">
        <v>1</v>
      </c>
      <c r="P1309" s="29">
        <v>27.952599999999997</v>
      </c>
      <c r="Q1309" s="29" t="s">
        <v>1033</v>
      </c>
    </row>
    <row r="1310" spans="1:17" x14ac:dyDescent="0.3">
      <c r="A1310" s="29" t="s">
        <v>759</v>
      </c>
      <c r="B1310" s="29">
        <v>1</v>
      </c>
      <c r="C1310" s="29" t="s">
        <v>1089</v>
      </c>
      <c r="D1310" s="29" t="s">
        <v>1096</v>
      </c>
      <c r="E1310" s="29">
        <v>1693</v>
      </c>
      <c r="G1310" s="29" t="s">
        <v>1035</v>
      </c>
      <c r="H1310" s="29">
        <v>1</v>
      </c>
      <c r="I1310" s="29">
        <v>16.899999999999999</v>
      </c>
      <c r="J1310" s="29">
        <v>28.611699999999999</v>
      </c>
      <c r="K1310" s="29">
        <v>28.611699999999999</v>
      </c>
      <c r="L1310" s="29" t="s">
        <v>1032</v>
      </c>
      <c r="M1310" s="29">
        <v>1</v>
      </c>
      <c r="N1310" s="29">
        <v>1.6930000000000001</v>
      </c>
      <c r="O1310" s="29">
        <v>1</v>
      </c>
      <c r="P1310" s="29">
        <v>28.611699999999999</v>
      </c>
      <c r="Q1310" s="29" t="s">
        <v>1033</v>
      </c>
    </row>
    <row r="1311" spans="1:17" x14ac:dyDescent="0.3">
      <c r="A1311" s="29" t="s">
        <v>760</v>
      </c>
      <c r="B1311" s="29">
        <v>1</v>
      </c>
      <c r="C1311" s="29" t="s">
        <v>1089</v>
      </c>
      <c r="D1311" s="29" t="s">
        <v>1096</v>
      </c>
      <c r="E1311" s="29">
        <v>1902</v>
      </c>
      <c r="G1311" s="29" t="s">
        <v>1035</v>
      </c>
      <c r="H1311" s="29">
        <v>1</v>
      </c>
      <c r="I1311" s="29">
        <v>16.899999999999999</v>
      </c>
      <c r="J1311" s="29">
        <v>32.143799999999999</v>
      </c>
      <c r="K1311" s="29">
        <v>32.143799999999999</v>
      </c>
      <c r="L1311" s="29" t="s">
        <v>1032</v>
      </c>
      <c r="M1311" s="29">
        <v>1</v>
      </c>
      <c r="N1311" s="29">
        <v>1.9019999999999999</v>
      </c>
      <c r="O1311" s="29">
        <v>1</v>
      </c>
      <c r="P1311" s="29">
        <v>32.143799999999999</v>
      </c>
      <c r="Q1311" s="29" t="s">
        <v>1033</v>
      </c>
    </row>
    <row r="1312" spans="1:17" x14ac:dyDescent="0.3">
      <c r="A1312" s="29" t="s">
        <v>761</v>
      </c>
      <c r="B1312" s="29">
        <v>1</v>
      </c>
      <c r="C1312" s="29" t="s">
        <v>1089</v>
      </c>
      <c r="D1312" s="29" t="s">
        <v>1096</v>
      </c>
      <c r="E1312" s="29">
        <v>1923</v>
      </c>
      <c r="G1312" s="29" t="s">
        <v>1035</v>
      </c>
      <c r="H1312" s="29">
        <v>1</v>
      </c>
      <c r="I1312" s="29">
        <v>16.899999999999999</v>
      </c>
      <c r="J1312" s="29">
        <v>32.498699999999999</v>
      </c>
      <c r="K1312" s="29">
        <v>32.498699999999999</v>
      </c>
      <c r="L1312" s="29" t="s">
        <v>1032</v>
      </c>
      <c r="M1312" s="29">
        <v>1</v>
      </c>
      <c r="N1312" s="29">
        <v>1.923</v>
      </c>
      <c r="O1312" s="29">
        <v>1</v>
      </c>
      <c r="P1312" s="29">
        <v>32.498699999999999</v>
      </c>
      <c r="Q1312" s="29" t="s">
        <v>1033</v>
      </c>
    </row>
    <row r="1313" spans="1:17" x14ac:dyDescent="0.3">
      <c r="A1313" s="29" t="s">
        <v>762</v>
      </c>
      <c r="B1313" s="29">
        <v>1</v>
      </c>
      <c r="C1313" s="29" t="s">
        <v>1089</v>
      </c>
      <c r="D1313" s="29" t="s">
        <v>1096</v>
      </c>
      <c r="E1313" s="29">
        <v>2139</v>
      </c>
      <c r="G1313" s="29" t="s">
        <v>1035</v>
      </c>
      <c r="H1313" s="29">
        <v>1</v>
      </c>
      <c r="I1313" s="29">
        <v>16.899999999999999</v>
      </c>
      <c r="J1313" s="29">
        <v>36.14909999999999</v>
      </c>
      <c r="K1313" s="29">
        <v>36.14909999999999</v>
      </c>
      <c r="L1313" s="29" t="s">
        <v>1032</v>
      </c>
      <c r="M1313" s="29">
        <v>1</v>
      </c>
      <c r="N1313" s="29">
        <v>2.1389999999999998</v>
      </c>
      <c r="O1313" s="29">
        <v>1</v>
      </c>
      <c r="P1313" s="29">
        <v>36.14909999999999</v>
      </c>
      <c r="Q1313" s="29" t="s">
        <v>1033</v>
      </c>
    </row>
    <row r="1314" spans="1:17" x14ac:dyDescent="0.3">
      <c r="A1314" s="29" t="s">
        <v>763</v>
      </c>
      <c r="B1314" s="29">
        <v>1</v>
      </c>
      <c r="C1314" s="29" t="s">
        <v>1089</v>
      </c>
      <c r="D1314" s="29" t="s">
        <v>1096</v>
      </c>
      <c r="E1314" s="29">
        <v>2382</v>
      </c>
      <c r="G1314" s="29" t="s">
        <v>1035</v>
      </c>
      <c r="H1314" s="29">
        <v>1</v>
      </c>
      <c r="I1314" s="29">
        <v>16.899999999999999</v>
      </c>
      <c r="J1314" s="29">
        <v>40.255800000000001</v>
      </c>
      <c r="K1314" s="29">
        <v>40.255800000000001</v>
      </c>
      <c r="L1314" s="29" t="s">
        <v>1032</v>
      </c>
      <c r="M1314" s="29">
        <v>1</v>
      </c>
      <c r="N1314" s="29">
        <v>2.3820000000000001</v>
      </c>
      <c r="O1314" s="29">
        <v>1</v>
      </c>
      <c r="P1314" s="29">
        <v>40.255800000000001</v>
      </c>
      <c r="Q1314" s="29" t="s">
        <v>1033</v>
      </c>
    </row>
    <row r="1315" spans="1:17" x14ac:dyDescent="0.3">
      <c r="A1315" s="29" t="s">
        <v>764</v>
      </c>
      <c r="B1315" s="29">
        <v>1</v>
      </c>
      <c r="C1315" s="29" t="s">
        <v>1089</v>
      </c>
      <c r="D1315" s="29" t="s">
        <v>1090</v>
      </c>
      <c r="E1315" s="29">
        <v>2014</v>
      </c>
      <c r="G1315" s="29" t="s">
        <v>1035</v>
      </c>
      <c r="H1315" s="29">
        <v>1</v>
      </c>
      <c r="I1315" s="29">
        <v>23.6</v>
      </c>
      <c r="J1315" s="29">
        <v>47.5304</v>
      </c>
      <c r="K1315" s="29">
        <v>47.5304</v>
      </c>
      <c r="L1315" s="29" t="s">
        <v>1032</v>
      </c>
      <c r="M1315" s="29">
        <v>1</v>
      </c>
      <c r="N1315" s="29">
        <v>2.0139999999999998</v>
      </c>
      <c r="O1315" s="29">
        <v>1</v>
      </c>
      <c r="P1315" s="29">
        <v>47.5304</v>
      </c>
      <c r="Q1315" s="29" t="s">
        <v>1033</v>
      </c>
    </row>
    <row r="1316" spans="1:17" x14ac:dyDescent="0.3">
      <c r="A1316" s="29" t="s">
        <v>765</v>
      </c>
      <c r="B1316" s="29">
        <v>1</v>
      </c>
      <c r="C1316" s="29" t="s">
        <v>1089</v>
      </c>
      <c r="D1316" s="29" t="s">
        <v>1090</v>
      </c>
      <c r="E1316" s="29">
        <v>1906</v>
      </c>
      <c r="G1316" s="29" t="s">
        <v>1035</v>
      </c>
      <c r="H1316" s="29">
        <v>1</v>
      </c>
      <c r="I1316" s="29">
        <v>23.6</v>
      </c>
      <c r="J1316" s="29">
        <v>44.9816</v>
      </c>
      <c r="K1316" s="29">
        <v>44.9816</v>
      </c>
      <c r="L1316" s="29" t="s">
        <v>1032</v>
      </c>
      <c r="M1316" s="29">
        <v>1</v>
      </c>
      <c r="N1316" s="29">
        <v>1.9059999999999999</v>
      </c>
      <c r="O1316" s="29">
        <v>1</v>
      </c>
      <c r="P1316" s="29">
        <v>44.9816</v>
      </c>
      <c r="Q1316" s="29" t="s">
        <v>1033</v>
      </c>
    </row>
    <row r="1317" spans="1:17" x14ac:dyDescent="0.3">
      <c r="A1317" s="29" t="s">
        <v>766</v>
      </c>
      <c r="B1317" s="29">
        <v>1</v>
      </c>
      <c r="C1317" s="29" t="s">
        <v>1089</v>
      </c>
      <c r="D1317" s="29" t="s">
        <v>1092</v>
      </c>
      <c r="E1317" s="29">
        <v>2100</v>
      </c>
      <c r="G1317" s="29" t="s">
        <v>1035</v>
      </c>
      <c r="H1317" s="29">
        <v>1</v>
      </c>
      <c r="I1317" s="29">
        <v>31.1</v>
      </c>
      <c r="J1317" s="29">
        <v>65.31</v>
      </c>
      <c r="K1317" s="29">
        <v>65.31</v>
      </c>
      <c r="L1317" s="29" t="s">
        <v>1032</v>
      </c>
      <c r="M1317" s="29">
        <v>1</v>
      </c>
      <c r="N1317" s="29">
        <v>2.1</v>
      </c>
      <c r="O1317" s="29">
        <v>1</v>
      </c>
      <c r="P1317" s="29">
        <v>65.31</v>
      </c>
      <c r="Q1317" s="29" t="s">
        <v>1033</v>
      </c>
    </row>
    <row r="1318" spans="1:17" x14ac:dyDescent="0.3">
      <c r="A1318" s="29" t="s">
        <v>767</v>
      </c>
      <c r="B1318" s="29">
        <v>1</v>
      </c>
      <c r="C1318" s="29" t="s">
        <v>1050</v>
      </c>
      <c r="D1318" s="29" t="s">
        <v>1087</v>
      </c>
      <c r="E1318" s="29">
        <v>3056</v>
      </c>
      <c r="G1318" s="29" t="s">
        <v>1035</v>
      </c>
      <c r="H1318" s="29">
        <v>1</v>
      </c>
      <c r="I1318" s="29">
        <v>9.9600000000000009</v>
      </c>
      <c r="J1318" s="29">
        <v>30.437760000000004</v>
      </c>
      <c r="K1318" s="29">
        <v>30.437760000000004</v>
      </c>
      <c r="L1318" s="29" t="s">
        <v>1032</v>
      </c>
      <c r="M1318" s="29">
        <v>1</v>
      </c>
      <c r="N1318" s="29">
        <v>3.056</v>
      </c>
      <c r="O1318" s="29">
        <v>1</v>
      </c>
      <c r="P1318" s="29">
        <v>30.437760000000004</v>
      </c>
      <c r="Q1318" s="29" t="s">
        <v>1033</v>
      </c>
    </row>
    <row r="1319" spans="1:17" x14ac:dyDescent="0.3">
      <c r="A1319" s="29" t="s">
        <v>768</v>
      </c>
      <c r="B1319" s="29">
        <v>1</v>
      </c>
      <c r="C1319" s="29" t="s">
        <v>1050</v>
      </c>
      <c r="D1319" s="29" t="s">
        <v>1087</v>
      </c>
      <c r="E1319" s="29">
        <v>879</v>
      </c>
      <c r="G1319" s="29" t="s">
        <v>1035</v>
      </c>
      <c r="H1319" s="29">
        <v>1</v>
      </c>
      <c r="I1319" s="29">
        <v>9.9600000000000009</v>
      </c>
      <c r="J1319" s="29">
        <v>8.7548400000000015</v>
      </c>
      <c r="K1319" s="29">
        <v>8.7548400000000015</v>
      </c>
      <c r="L1319" s="29" t="s">
        <v>1032</v>
      </c>
      <c r="M1319" s="29">
        <v>1</v>
      </c>
      <c r="N1319" s="29">
        <v>0.879</v>
      </c>
      <c r="O1319" s="29">
        <v>1</v>
      </c>
      <c r="P1319" s="29">
        <v>8.7548400000000015</v>
      </c>
      <c r="Q1319" s="29" t="s">
        <v>1033</v>
      </c>
    </row>
    <row r="1320" spans="1:17" x14ac:dyDescent="0.3">
      <c r="A1320" s="29" t="s">
        <v>769</v>
      </c>
      <c r="B1320" s="29">
        <v>1</v>
      </c>
      <c r="C1320" s="29" t="s">
        <v>1050</v>
      </c>
      <c r="D1320" s="29" t="s">
        <v>1087</v>
      </c>
      <c r="E1320" s="29">
        <v>999</v>
      </c>
      <c r="G1320" s="29" t="s">
        <v>1035</v>
      </c>
      <c r="H1320" s="29">
        <v>1</v>
      </c>
      <c r="I1320" s="29">
        <v>9.9600000000000009</v>
      </c>
      <c r="J1320" s="29">
        <v>9.9500400000000013</v>
      </c>
      <c r="K1320" s="29">
        <v>9.9500400000000013</v>
      </c>
      <c r="L1320" s="29" t="s">
        <v>1032</v>
      </c>
      <c r="M1320" s="29">
        <v>1</v>
      </c>
      <c r="N1320" s="29">
        <v>0.999</v>
      </c>
      <c r="O1320" s="29">
        <v>1</v>
      </c>
      <c r="P1320" s="29">
        <v>9.9500400000000013</v>
      </c>
      <c r="Q1320" s="29" t="s">
        <v>1033</v>
      </c>
    </row>
    <row r="1321" spans="1:17" x14ac:dyDescent="0.3">
      <c r="A1321" s="29" t="s">
        <v>770</v>
      </c>
      <c r="B1321" s="29">
        <v>1</v>
      </c>
      <c r="C1321" s="29" t="s">
        <v>1050</v>
      </c>
      <c r="D1321" s="29" t="s">
        <v>1087</v>
      </c>
      <c r="E1321" s="29">
        <v>1149</v>
      </c>
      <c r="G1321" s="29" t="s">
        <v>1035</v>
      </c>
      <c r="H1321" s="29">
        <v>1</v>
      </c>
      <c r="I1321" s="29">
        <v>9.9600000000000009</v>
      </c>
      <c r="J1321" s="29">
        <v>11.444040000000001</v>
      </c>
      <c r="K1321" s="29">
        <v>11.444040000000001</v>
      </c>
      <c r="L1321" s="29" t="s">
        <v>1032</v>
      </c>
      <c r="M1321" s="29">
        <v>1</v>
      </c>
      <c r="N1321" s="29">
        <v>1.149</v>
      </c>
      <c r="O1321" s="29">
        <v>1</v>
      </c>
      <c r="P1321" s="29">
        <v>11.444040000000001</v>
      </c>
      <c r="Q1321" s="29" t="s">
        <v>1033</v>
      </c>
    </row>
    <row r="1322" spans="1:17" x14ac:dyDescent="0.3">
      <c r="A1322" s="29" t="s">
        <v>771</v>
      </c>
      <c r="B1322" s="29">
        <v>1</v>
      </c>
      <c r="C1322" s="29" t="s">
        <v>1063</v>
      </c>
      <c r="D1322" s="29" t="s">
        <v>1095</v>
      </c>
      <c r="E1322" s="29">
        <v>1000</v>
      </c>
      <c r="G1322" s="29" t="s">
        <v>1035</v>
      </c>
      <c r="H1322" s="29">
        <v>1</v>
      </c>
      <c r="I1322" s="29">
        <v>9.36</v>
      </c>
      <c r="J1322" s="29">
        <v>9.36</v>
      </c>
      <c r="K1322" s="29">
        <v>9.36</v>
      </c>
      <c r="L1322" s="29" t="s">
        <v>1032</v>
      </c>
      <c r="M1322" s="29">
        <v>1</v>
      </c>
      <c r="N1322" s="29">
        <v>1</v>
      </c>
      <c r="O1322" s="29">
        <v>1</v>
      </c>
      <c r="P1322" s="29">
        <v>9.36</v>
      </c>
      <c r="Q1322" s="29" t="s">
        <v>1033</v>
      </c>
    </row>
    <row r="1323" spans="1:17" x14ac:dyDescent="0.3">
      <c r="B1323" s="29">
        <v>2</v>
      </c>
      <c r="C1323" s="29" t="s">
        <v>1063</v>
      </c>
      <c r="D1323" s="29" t="s">
        <v>1095</v>
      </c>
      <c r="E1323" s="29">
        <v>1039</v>
      </c>
      <c r="G1323" s="29" t="s">
        <v>1035</v>
      </c>
      <c r="H1323" s="29">
        <v>1</v>
      </c>
      <c r="I1323" s="29">
        <v>9.36</v>
      </c>
      <c r="J1323" s="29">
        <v>9.7250399999999981</v>
      </c>
      <c r="K1323" s="29">
        <v>9.7250399999999981</v>
      </c>
      <c r="L1323" s="29" t="s">
        <v>1032</v>
      </c>
      <c r="M1323" s="29">
        <v>1</v>
      </c>
      <c r="N1323" s="29">
        <v>1.0389999999999999</v>
      </c>
      <c r="O1323" s="29">
        <v>1</v>
      </c>
      <c r="P1323" s="29">
        <v>9.7250399999999981</v>
      </c>
      <c r="Q1323" s="29" t="s">
        <v>1033</v>
      </c>
    </row>
    <row r="1324" spans="1:17" x14ac:dyDescent="0.3">
      <c r="A1324" s="29" t="s">
        <v>772</v>
      </c>
      <c r="B1324" s="29">
        <v>1</v>
      </c>
      <c r="C1324" s="29" t="s">
        <v>1097</v>
      </c>
      <c r="D1324" s="29">
        <v>6</v>
      </c>
      <c r="E1324" s="29">
        <v>150</v>
      </c>
      <c r="F1324" s="29">
        <v>100</v>
      </c>
      <c r="G1324" s="29" t="s">
        <v>1035</v>
      </c>
      <c r="H1324" s="29">
        <v>1</v>
      </c>
      <c r="J1324" s="29">
        <v>0.70650000000000002</v>
      </c>
      <c r="K1324" s="29">
        <v>0.70650000000000002</v>
      </c>
      <c r="L1324" s="29" t="s">
        <v>1036</v>
      </c>
      <c r="M1324" s="29">
        <v>1</v>
      </c>
      <c r="O1324" s="29">
        <v>1</v>
      </c>
      <c r="P1324" s="29">
        <v>0.70650000000000002</v>
      </c>
      <c r="Q1324" s="29" t="s">
        <v>1037</v>
      </c>
    </row>
    <row r="1325" spans="1:17" x14ac:dyDescent="0.3">
      <c r="A1325" s="29" t="s">
        <v>773</v>
      </c>
      <c r="B1325" s="29">
        <v>1</v>
      </c>
      <c r="C1325" s="29" t="s">
        <v>1097</v>
      </c>
      <c r="D1325" s="29">
        <v>6</v>
      </c>
      <c r="E1325" s="29">
        <v>150</v>
      </c>
      <c r="F1325" s="29">
        <v>100</v>
      </c>
      <c r="G1325" s="29" t="s">
        <v>1035</v>
      </c>
      <c r="H1325" s="29">
        <v>1</v>
      </c>
      <c r="J1325" s="29">
        <v>0.70650000000000002</v>
      </c>
      <c r="K1325" s="29">
        <v>0.70650000000000002</v>
      </c>
      <c r="L1325" s="29" t="s">
        <v>1036</v>
      </c>
      <c r="M1325" s="29">
        <v>1</v>
      </c>
      <c r="O1325" s="29">
        <v>1</v>
      </c>
      <c r="P1325" s="29">
        <v>0.70650000000000002</v>
      </c>
      <c r="Q1325" s="29" t="s">
        <v>1037</v>
      </c>
    </row>
    <row r="1326" spans="1:17" x14ac:dyDescent="0.3">
      <c r="A1326" s="29" t="s">
        <v>773</v>
      </c>
      <c r="B1326" s="29">
        <v>1</v>
      </c>
      <c r="C1326" s="29" t="s">
        <v>1097</v>
      </c>
      <c r="D1326" s="29">
        <v>6</v>
      </c>
      <c r="E1326" s="29">
        <v>150</v>
      </c>
      <c r="F1326" s="29">
        <v>100</v>
      </c>
      <c r="G1326" s="29" t="s">
        <v>1035</v>
      </c>
      <c r="H1326" s="29">
        <v>1</v>
      </c>
      <c r="J1326" s="29">
        <v>0.70650000000000002</v>
      </c>
      <c r="K1326" s="29">
        <v>0.70650000000000002</v>
      </c>
      <c r="L1326" s="29" t="s">
        <v>1036</v>
      </c>
      <c r="M1326" s="29">
        <v>1</v>
      </c>
      <c r="O1326" s="29">
        <v>1</v>
      </c>
      <c r="P1326" s="29">
        <v>0.70650000000000002</v>
      </c>
      <c r="Q1326" s="29" t="s">
        <v>1037</v>
      </c>
    </row>
    <row r="1327" spans="1:17" x14ac:dyDescent="0.3">
      <c r="A1327" s="29" t="s">
        <v>774</v>
      </c>
      <c r="B1327" s="29">
        <v>1</v>
      </c>
      <c r="C1327" s="29" t="s">
        <v>1097</v>
      </c>
      <c r="D1327" s="29">
        <v>6</v>
      </c>
      <c r="E1327" s="29">
        <v>150</v>
      </c>
      <c r="F1327" s="29">
        <v>100</v>
      </c>
      <c r="G1327" s="29" t="s">
        <v>1035</v>
      </c>
      <c r="H1327" s="29">
        <v>1</v>
      </c>
      <c r="J1327" s="29">
        <v>0.70650000000000002</v>
      </c>
      <c r="K1327" s="29">
        <v>0.70650000000000002</v>
      </c>
      <c r="L1327" s="29" t="s">
        <v>1036</v>
      </c>
      <c r="M1327" s="29">
        <v>1</v>
      </c>
      <c r="O1327" s="29">
        <v>1</v>
      </c>
      <c r="P1327" s="29">
        <v>0.70650000000000002</v>
      </c>
      <c r="Q1327" s="29" t="s">
        <v>1037</v>
      </c>
    </row>
    <row r="1328" spans="1:17" x14ac:dyDescent="0.3">
      <c r="A1328" s="29" t="s">
        <v>775</v>
      </c>
      <c r="B1328" s="29">
        <v>1</v>
      </c>
      <c r="C1328" s="29" t="s">
        <v>1050</v>
      </c>
      <c r="D1328" s="29" t="s">
        <v>1098</v>
      </c>
      <c r="E1328" s="29">
        <v>150</v>
      </c>
      <c r="G1328" s="29" t="s">
        <v>1035</v>
      </c>
      <c r="H1328" s="29">
        <v>1</v>
      </c>
      <c r="I1328" s="29">
        <v>5.91</v>
      </c>
      <c r="J1328" s="29">
        <v>0.88649999999999995</v>
      </c>
      <c r="K1328" s="29">
        <v>0.88649999999999995</v>
      </c>
      <c r="L1328" s="29" t="s">
        <v>1032</v>
      </c>
      <c r="M1328" s="29">
        <v>1</v>
      </c>
      <c r="N1328" s="29">
        <v>0.15</v>
      </c>
      <c r="O1328" s="29">
        <v>1</v>
      </c>
      <c r="P1328" s="29">
        <v>0.88649999999999995</v>
      </c>
      <c r="Q1328" s="29" t="s">
        <v>1033</v>
      </c>
    </row>
    <row r="1329" spans="1:17" x14ac:dyDescent="0.3">
      <c r="A1329" s="29" t="s">
        <v>776</v>
      </c>
      <c r="B1329" s="29">
        <v>1</v>
      </c>
      <c r="C1329" s="29" t="s">
        <v>1050</v>
      </c>
      <c r="D1329" s="29" t="s">
        <v>1051</v>
      </c>
      <c r="E1329" s="29">
        <v>150</v>
      </c>
      <c r="G1329" s="29" t="s">
        <v>1035</v>
      </c>
      <c r="H1329" s="29">
        <v>1</v>
      </c>
      <c r="I1329" s="29">
        <v>2.95</v>
      </c>
      <c r="J1329" s="29">
        <v>0.4425</v>
      </c>
      <c r="K1329" s="29">
        <v>0.4425</v>
      </c>
      <c r="L1329" s="29" t="s">
        <v>1032</v>
      </c>
      <c r="M1329" s="29">
        <v>1</v>
      </c>
      <c r="N1329" s="29">
        <v>0.15</v>
      </c>
      <c r="O1329" s="29">
        <v>1</v>
      </c>
      <c r="P1329" s="29">
        <v>0.4425</v>
      </c>
      <c r="Q1329" s="29" t="s">
        <v>1033</v>
      </c>
    </row>
    <row r="1330" spans="1:17" x14ac:dyDescent="0.3">
      <c r="B1330" s="29">
        <v>2</v>
      </c>
      <c r="C1330" s="29" t="s">
        <v>1089</v>
      </c>
      <c r="D1330" s="29" t="s">
        <v>1099</v>
      </c>
      <c r="E1330" s="29">
        <v>150</v>
      </c>
      <c r="G1330" s="29" t="s">
        <v>1035</v>
      </c>
      <c r="H1330" s="29">
        <v>1</v>
      </c>
      <c r="I1330" s="29">
        <v>20.9</v>
      </c>
      <c r="J1330" s="29">
        <v>3.1349999999999998</v>
      </c>
      <c r="K1330" s="29">
        <v>3.1349999999999998</v>
      </c>
      <c r="L1330" s="29" t="s">
        <v>1032</v>
      </c>
      <c r="M1330" s="29">
        <v>1</v>
      </c>
      <c r="N1330" s="29">
        <v>0.15</v>
      </c>
      <c r="O1330" s="29">
        <v>1</v>
      </c>
      <c r="P1330" s="29">
        <v>3.1349999999999998</v>
      </c>
      <c r="Q1330" s="29" t="s">
        <v>1033</v>
      </c>
    </row>
    <row r="1331" spans="1:17" x14ac:dyDescent="0.3">
      <c r="A1331" s="29" t="s">
        <v>776</v>
      </c>
      <c r="B1331" s="29">
        <v>1</v>
      </c>
      <c r="C1331" s="29" t="s">
        <v>1050</v>
      </c>
      <c r="D1331" s="29" t="s">
        <v>1051</v>
      </c>
      <c r="E1331" s="29">
        <v>150</v>
      </c>
      <c r="G1331" s="29" t="s">
        <v>1035</v>
      </c>
      <c r="H1331" s="29">
        <v>1</v>
      </c>
      <c r="I1331" s="29">
        <v>2.95</v>
      </c>
      <c r="J1331" s="29">
        <v>0.4425</v>
      </c>
      <c r="K1331" s="29">
        <v>0.4425</v>
      </c>
      <c r="L1331" s="29" t="s">
        <v>1032</v>
      </c>
      <c r="M1331" s="29">
        <v>1</v>
      </c>
      <c r="N1331" s="29">
        <v>0.15</v>
      </c>
      <c r="O1331" s="29">
        <v>1</v>
      </c>
      <c r="P1331" s="29">
        <v>0.4425</v>
      </c>
      <c r="Q1331" s="29" t="s">
        <v>1033</v>
      </c>
    </row>
    <row r="1332" spans="1:17" x14ac:dyDescent="0.3">
      <c r="B1332" s="29">
        <v>2</v>
      </c>
      <c r="C1332" s="29" t="s">
        <v>1089</v>
      </c>
      <c r="D1332" s="29" t="s">
        <v>1099</v>
      </c>
      <c r="E1332" s="29">
        <v>150</v>
      </c>
      <c r="G1332" s="29" t="s">
        <v>1035</v>
      </c>
      <c r="H1332" s="29">
        <v>1</v>
      </c>
      <c r="I1332" s="29">
        <v>20.9</v>
      </c>
      <c r="J1332" s="29">
        <v>3.1349999999999998</v>
      </c>
      <c r="K1332" s="29">
        <v>3.1349999999999998</v>
      </c>
      <c r="L1332" s="29" t="s">
        <v>1032</v>
      </c>
      <c r="M1332" s="29">
        <v>1</v>
      </c>
      <c r="N1332" s="29">
        <v>0.15</v>
      </c>
      <c r="O1332" s="29">
        <v>1</v>
      </c>
      <c r="P1332" s="29">
        <v>3.1349999999999998</v>
      </c>
      <c r="Q1332" s="29" t="s">
        <v>1033</v>
      </c>
    </row>
    <row r="1333" spans="1:17" x14ac:dyDescent="0.3">
      <c r="A1333" s="29" t="s">
        <v>776</v>
      </c>
      <c r="B1333" s="29">
        <v>1</v>
      </c>
      <c r="C1333" s="29" t="s">
        <v>1050</v>
      </c>
      <c r="D1333" s="29" t="s">
        <v>1051</v>
      </c>
      <c r="E1333" s="29">
        <v>150</v>
      </c>
      <c r="G1333" s="29" t="s">
        <v>1035</v>
      </c>
      <c r="H1333" s="29">
        <v>1</v>
      </c>
      <c r="I1333" s="29">
        <v>2.95</v>
      </c>
      <c r="J1333" s="29">
        <v>0.4425</v>
      </c>
      <c r="K1333" s="29">
        <v>0.4425</v>
      </c>
      <c r="L1333" s="29" t="s">
        <v>1032</v>
      </c>
      <c r="M1333" s="29">
        <v>1</v>
      </c>
      <c r="N1333" s="29">
        <v>0.15</v>
      </c>
      <c r="O1333" s="29">
        <v>1</v>
      </c>
      <c r="P1333" s="29">
        <v>0.4425</v>
      </c>
      <c r="Q1333" s="29" t="s">
        <v>1033</v>
      </c>
    </row>
    <row r="1334" spans="1:17" x14ac:dyDescent="0.3">
      <c r="B1334" s="29">
        <v>2</v>
      </c>
      <c r="C1334" s="29" t="s">
        <v>1089</v>
      </c>
      <c r="D1334" s="29" t="s">
        <v>1099</v>
      </c>
      <c r="E1334" s="29">
        <v>150</v>
      </c>
      <c r="G1334" s="29" t="s">
        <v>1035</v>
      </c>
      <c r="H1334" s="29">
        <v>1</v>
      </c>
      <c r="I1334" s="29">
        <v>20.9</v>
      </c>
      <c r="J1334" s="29">
        <v>3.1349999999999998</v>
      </c>
      <c r="K1334" s="29">
        <v>3.1349999999999998</v>
      </c>
      <c r="L1334" s="29" t="s">
        <v>1032</v>
      </c>
      <c r="M1334" s="29">
        <v>1</v>
      </c>
      <c r="N1334" s="29">
        <v>0.15</v>
      </c>
      <c r="O1334" s="29">
        <v>1</v>
      </c>
      <c r="P1334" s="29">
        <v>3.1349999999999998</v>
      </c>
      <c r="Q1334" s="29" t="s">
        <v>1033</v>
      </c>
    </row>
    <row r="1335" spans="1:17" x14ac:dyDescent="0.3">
      <c r="A1335" s="29" t="s">
        <v>776</v>
      </c>
      <c r="B1335" s="29">
        <v>1</v>
      </c>
      <c r="C1335" s="29" t="s">
        <v>1050</v>
      </c>
      <c r="D1335" s="29" t="s">
        <v>1051</v>
      </c>
      <c r="E1335" s="29">
        <v>150</v>
      </c>
      <c r="G1335" s="29" t="s">
        <v>1035</v>
      </c>
      <c r="H1335" s="29">
        <v>1</v>
      </c>
      <c r="I1335" s="29">
        <v>2.95</v>
      </c>
      <c r="J1335" s="29">
        <v>0.4425</v>
      </c>
      <c r="K1335" s="29">
        <v>0.4425</v>
      </c>
      <c r="L1335" s="29" t="s">
        <v>1032</v>
      </c>
      <c r="M1335" s="29">
        <v>1</v>
      </c>
      <c r="N1335" s="29">
        <v>0.15</v>
      </c>
      <c r="O1335" s="29">
        <v>1</v>
      </c>
      <c r="P1335" s="29">
        <v>0.4425</v>
      </c>
      <c r="Q1335" s="29" t="s">
        <v>1033</v>
      </c>
    </row>
    <row r="1336" spans="1:17" x14ac:dyDescent="0.3">
      <c r="B1336" s="29">
        <v>2</v>
      </c>
      <c r="C1336" s="29" t="s">
        <v>1089</v>
      </c>
      <c r="D1336" s="29" t="s">
        <v>1099</v>
      </c>
      <c r="E1336" s="29">
        <v>150</v>
      </c>
      <c r="G1336" s="29" t="s">
        <v>1035</v>
      </c>
      <c r="H1336" s="29">
        <v>1</v>
      </c>
      <c r="I1336" s="29">
        <v>20.9</v>
      </c>
      <c r="J1336" s="29">
        <v>3.1349999999999998</v>
      </c>
      <c r="K1336" s="29">
        <v>3.1349999999999998</v>
      </c>
      <c r="L1336" s="29" t="s">
        <v>1032</v>
      </c>
      <c r="M1336" s="29">
        <v>1</v>
      </c>
      <c r="N1336" s="29">
        <v>0.15</v>
      </c>
      <c r="O1336" s="29">
        <v>1</v>
      </c>
      <c r="P1336" s="29">
        <v>3.1349999999999998</v>
      </c>
      <c r="Q1336" s="29" t="s">
        <v>1033</v>
      </c>
    </row>
    <row r="1337" spans="1:17" x14ac:dyDescent="0.3">
      <c r="A1337" s="29" t="s">
        <v>776</v>
      </c>
      <c r="B1337" s="29">
        <v>1</v>
      </c>
      <c r="C1337" s="29" t="s">
        <v>1050</v>
      </c>
      <c r="D1337" s="29" t="s">
        <v>1051</v>
      </c>
      <c r="E1337" s="29">
        <v>150</v>
      </c>
      <c r="G1337" s="29" t="s">
        <v>1035</v>
      </c>
      <c r="H1337" s="29">
        <v>1</v>
      </c>
      <c r="I1337" s="29">
        <v>2.95</v>
      </c>
      <c r="J1337" s="29">
        <v>0.4425</v>
      </c>
      <c r="K1337" s="29">
        <v>0.4425</v>
      </c>
      <c r="L1337" s="29" t="s">
        <v>1032</v>
      </c>
      <c r="M1337" s="29">
        <v>1</v>
      </c>
      <c r="N1337" s="29">
        <v>0.15</v>
      </c>
      <c r="O1337" s="29">
        <v>1</v>
      </c>
      <c r="P1337" s="29">
        <v>0.4425</v>
      </c>
      <c r="Q1337" s="29" t="s">
        <v>1033</v>
      </c>
    </row>
    <row r="1338" spans="1:17" x14ac:dyDescent="0.3">
      <c r="B1338" s="29">
        <v>2</v>
      </c>
      <c r="C1338" s="29" t="s">
        <v>1089</v>
      </c>
      <c r="D1338" s="29" t="s">
        <v>1099</v>
      </c>
      <c r="E1338" s="29">
        <v>150</v>
      </c>
      <c r="G1338" s="29" t="s">
        <v>1035</v>
      </c>
      <c r="H1338" s="29">
        <v>1</v>
      </c>
      <c r="I1338" s="29">
        <v>20.9</v>
      </c>
      <c r="J1338" s="29">
        <v>3.1349999999999998</v>
      </c>
      <c r="K1338" s="29">
        <v>3.1349999999999998</v>
      </c>
      <c r="L1338" s="29" t="s">
        <v>1032</v>
      </c>
      <c r="M1338" s="29">
        <v>1</v>
      </c>
      <c r="N1338" s="29">
        <v>0.15</v>
      </c>
      <c r="O1338" s="29">
        <v>1</v>
      </c>
      <c r="P1338" s="29">
        <v>3.1349999999999998</v>
      </c>
      <c r="Q1338" s="29" t="s">
        <v>1033</v>
      </c>
    </row>
    <row r="1339" spans="1:17" x14ac:dyDescent="0.3">
      <c r="A1339" s="29" t="s">
        <v>776</v>
      </c>
      <c r="B1339" s="29">
        <v>1</v>
      </c>
      <c r="C1339" s="29" t="s">
        <v>1050</v>
      </c>
      <c r="D1339" s="29" t="s">
        <v>1051</v>
      </c>
      <c r="E1339" s="29">
        <v>150</v>
      </c>
      <c r="G1339" s="29" t="s">
        <v>1035</v>
      </c>
      <c r="H1339" s="29">
        <v>1</v>
      </c>
      <c r="I1339" s="29">
        <v>2.95</v>
      </c>
      <c r="J1339" s="29">
        <v>0.4425</v>
      </c>
      <c r="K1339" s="29">
        <v>0.4425</v>
      </c>
      <c r="L1339" s="29" t="s">
        <v>1032</v>
      </c>
      <c r="M1339" s="29">
        <v>1</v>
      </c>
      <c r="N1339" s="29">
        <v>0.15</v>
      </c>
      <c r="O1339" s="29">
        <v>1</v>
      </c>
      <c r="P1339" s="29">
        <v>0.4425</v>
      </c>
      <c r="Q1339" s="29" t="s">
        <v>1033</v>
      </c>
    </row>
    <row r="1340" spans="1:17" x14ac:dyDescent="0.3">
      <c r="B1340" s="29">
        <v>2</v>
      </c>
      <c r="C1340" s="29" t="s">
        <v>1089</v>
      </c>
      <c r="D1340" s="29" t="s">
        <v>1099</v>
      </c>
      <c r="E1340" s="29">
        <v>150</v>
      </c>
      <c r="G1340" s="29" t="s">
        <v>1035</v>
      </c>
      <c r="H1340" s="29">
        <v>1</v>
      </c>
      <c r="I1340" s="29">
        <v>20.9</v>
      </c>
      <c r="J1340" s="29">
        <v>3.1349999999999998</v>
      </c>
      <c r="K1340" s="29">
        <v>3.1349999999999998</v>
      </c>
      <c r="L1340" s="29" t="s">
        <v>1032</v>
      </c>
      <c r="M1340" s="29">
        <v>1</v>
      </c>
      <c r="N1340" s="29">
        <v>0.15</v>
      </c>
      <c r="O1340" s="29">
        <v>1</v>
      </c>
      <c r="P1340" s="29">
        <v>3.1349999999999998</v>
      </c>
      <c r="Q1340" s="29" t="s">
        <v>1033</v>
      </c>
    </row>
    <row r="1341" spans="1:17" x14ac:dyDescent="0.3">
      <c r="A1341" s="29" t="s">
        <v>776</v>
      </c>
      <c r="B1341" s="29">
        <v>1</v>
      </c>
      <c r="C1341" s="29" t="s">
        <v>1050</v>
      </c>
      <c r="D1341" s="29" t="s">
        <v>1051</v>
      </c>
      <c r="E1341" s="29">
        <v>150</v>
      </c>
      <c r="G1341" s="29" t="s">
        <v>1035</v>
      </c>
      <c r="H1341" s="29">
        <v>1</v>
      </c>
      <c r="I1341" s="29">
        <v>2.95</v>
      </c>
      <c r="J1341" s="29">
        <v>0.4425</v>
      </c>
      <c r="K1341" s="29">
        <v>0.4425</v>
      </c>
      <c r="L1341" s="29" t="s">
        <v>1032</v>
      </c>
      <c r="M1341" s="29">
        <v>1</v>
      </c>
      <c r="N1341" s="29">
        <v>0.15</v>
      </c>
      <c r="O1341" s="29">
        <v>1</v>
      </c>
      <c r="P1341" s="29">
        <v>0.4425</v>
      </c>
      <c r="Q1341" s="29" t="s">
        <v>1033</v>
      </c>
    </row>
    <row r="1342" spans="1:17" x14ac:dyDescent="0.3">
      <c r="B1342" s="29">
        <v>2</v>
      </c>
      <c r="C1342" s="29" t="s">
        <v>1089</v>
      </c>
      <c r="D1342" s="29" t="s">
        <v>1099</v>
      </c>
      <c r="E1342" s="29">
        <v>150</v>
      </c>
      <c r="G1342" s="29" t="s">
        <v>1035</v>
      </c>
      <c r="H1342" s="29">
        <v>1</v>
      </c>
      <c r="I1342" s="29">
        <v>20.9</v>
      </c>
      <c r="J1342" s="29">
        <v>3.1349999999999998</v>
      </c>
      <c r="K1342" s="29">
        <v>3.1349999999999998</v>
      </c>
      <c r="L1342" s="29" t="s">
        <v>1032</v>
      </c>
      <c r="M1342" s="29">
        <v>1</v>
      </c>
      <c r="N1342" s="29">
        <v>0.15</v>
      </c>
      <c r="O1342" s="29">
        <v>1</v>
      </c>
      <c r="P1342" s="29">
        <v>3.1349999999999998</v>
      </c>
      <c r="Q1342" s="29" t="s">
        <v>1033</v>
      </c>
    </row>
    <row r="1343" spans="1:17" x14ac:dyDescent="0.3">
      <c r="A1343" s="29" t="s">
        <v>776</v>
      </c>
      <c r="B1343" s="29">
        <v>1</v>
      </c>
      <c r="C1343" s="29" t="s">
        <v>1050</v>
      </c>
      <c r="D1343" s="29" t="s">
        <v>1051</v>
      </c>
      <c r="E1343" s="29">
        <v>150</v>
      </c>
      <c r="G1343" s="29" t="s">
        <v>1035</v>
      </c>
      <c r="H1343" s="29">
        <v>1</v>
      </c>
      <c r="I1343" s="29">
        <v>2.95</v>
      </c>
      <c r="J1343" s="29">
        <v>0.4425</v>
      </c>
      <c r="K1343" s="29">
        <v>0.4425</v>
      </c>
      <c r="L1343" s="29" t="s">
        <v>1032</v>
      </c>
      <c r="M1343" s="29">
        <v>1</v>
      </c>
      <c r="N1343" s="29">
        <v>0.15</v>
      </c>
      <c r="O1343" s="29">
        <v>1</v>
      </c>
      <c r="P1343" s="29">
        <v>0.4425</v>
      </c>
      <c r="Q1343" s="29" t="s">
        <v>1033</v>
      </c>
    </row>
    <row r="1344" spans="1:17" x14ac:dyDescent="0.3">
      <c r="B1344" s="29">
        <v>2</v>
      </c>
      <c r="C1344" s="29" t="s">
        <v>1089</v>
      </c>
      <c r="D1344" s="29" t="s">
        <v>1099</v>
      </c>
      <c r="E1344" s="29">
        <v>150</v>
      </c>
      <c r="G1344" s="29" t="s">
        <v>1035</v>
      </c>
      <c r="H1344" s="29">
        <v>1</v>
      </c>
      <c r="I1344" s="29">
        <v>20.9</v>
      </c>
      <c r="J1344" s="29">
        <v>3.1349999999999998</v>
      </c>
      <c r="K1344" s="29">
        <v>3.1349999999999998</v>
      </c>
      <c r="L1344" s="29" t="s">
        <v>1032</v>
      </c>
      <c r="M1344" s="29">
        <v>1</v>
      </c>
      <c r="N1344" s="29">
        <v>0.15</v>
      </c>
      <c r="O1344" s="29">
        <v>1</v>
      </c>
      <c r="P1344" s="29">
        <v>3.1349999999999998</v>
      </c>
      <c r="Q1344" s="29" t="s">
        <v>1033</v>
      </c>
    </row>
    <row r="1345" spans="1:17" x14ac:dyDescent="0.3">
      <c r="A1345" s="29" t="s">
        <v>777</v>
      </c>
      <c r="B1345" s="29">
        <v>1</v>
      </c>
      <c r="C1345" s="29" t="s">
        <v>1050</v>
      </c>
      <c r="D1345" s="29" t="s">
        <v>1051</v>
      </c>
      <c r="E1345" s="29">
        <v>150</v>
      </c>
      <c r="G1345" s="29" t="s">
        <v>1031</v>
      </c>
      <c r="H1345" s="29">
        <v>1</v>
      </c>
      <c r="I1345" s="29">
        <v>2.95</v>
      </c>
      <c r="J1345" s="29">
        <v>0.4425</v>
      </c>
      <c r="K1345" s="29">
        <v>0.4425</v>
      </c>
      <c r="L1345" s="29" t="s">
        <v>1032</v>
      </c>
      <c r="M1345" s="29">
        <v>1</v>
      </c>
      <c r="N1345" s="29">
        <v>0.15</v>
      </c>
      <c r="O1345" s="29">
        <v>1</v>
      </c>
      <c r="P1345" s="29">
        <v>0.4425</v>
      </c>
      <c r="Q1345" s="29" t="s">
        <v>1033</v>
      </c>
    </row>
    <row r="1346" spans="1:17" x14ac:dyDescent="0.3">
      <c r="B1346" s="29">
        <v>2</v>
      </c>
      <c r="C1346" s="29" t="s">
        <v>1089</v>
      </c>
      <c r="D1346" s="29" t="s">
        <v>1099</v>
      </c>
      <c r="E1346" s="29">
        <v>150</v>
      </c>
      <c r="G1346" s="29" t="s">
        <v>1031</v>
      </c>
      <c r="H1346" s="29">
        <v>1</v>
      </c>
      <c r="I1346" s="29">
        <v>20.9</v>
      </c>
      <c r="J1346" s="29">
        <v>3.1349999999999998</v>
      </c>
      <c r="K1346" s="29">
        <v>3.1349999999999998</v>
      </c>
      <c r="L1346" s="29" t="s">
        <v>1032</v>
      </c>
      <c r="M1346" s="29">
        <v>1</v>
      </c>
      <c r="N1346" s="29">
        <v>0.15</v>
      </c>
      <c r="O1346" s="29">
        <v>1</v>
      </c>
      <c r="P1346" s="29">
        <v>3.1349999999999998</v>
      </c>
      <c r="Q1346" s="29" t="s">
        <v>1033</v>
      </c>
    </row>
    <row r="1347" spans="1:17" x14ac:dyDescent="0.3">
      <c r="A1347" s="29" t="s">
        <v>777</v>
      </c>
      <c r="B1347" s="29">
        <v>1</v>
      </c>
      <c r="C1347" s="29" t="s">
        <v>1050</v>
      </c>
      <c r="D1347" s="29" t="s">
        <v>1051</v>
      </c>
      <c r="E1347" s="29">
        <v>150</v>
      </c>
      <c r="G1347" s="29" t="s">
        <v>1031</v>
      </c>
      <c r="H1347" s="29">
        <v>1</v>
      </c>
      <c r="I1347" s="29">
        <v>2.95</v>
      </c>
      <c r="J1347" s="29">
        <v>0.4425</v>
      </c>
      <c r="K1347" s="29">
        <v>0.4425</v>
      </c>
      <c r="L1347" s="29" t="s">
        <v>1032</v>
      </c>
      <c r="M1347" s="29">
        <v>1</v>
      </c>
      <c r="N1347" s="29">
        <v>0.15</v>
      </c>
      <c r="O1347" s="29">
        <v>1</v>
      </c>
      <c r="P1347" s="29">
        <v>0.4425</v>
      </c>
      <c r="Q1347" s="29" t="s">
        <v>1033</v>
      </c>
    </row>
    <row r="1348" spans="1:17" x14ac:dyDescent="0.3">
      <c r="B1348" s="29">
        <v>2</v>
      </c>
      <c r="C1348" s="29" t="s">
        <v>1089</v>
      </c>
      <c r="D1348" s="29" t="s">
        <v>1099</v>
      </c>
      <c r="E1348" s="29">
        <v>150</v>
      </c>
      <c r="G1348" s="29" t="s">
        <v>1031</v>
      </c>
      <c r="H1348" s="29">
        <v>1</v>
      </c>
      <c r="I1348" s="29">
        <v>20.9</v>
      </c>
      <c r="J1348" s="29">
        <v>3.1349999999999998</v>
      </c>
      <c r="K1348" s="29">
        <v>3.1349999999999998</v>
      </c>
      <c r="L1348" s="29" t="s">
        <v>1032</v>
      </c>
      <c r="M1348" s="29">
        <v>1</v>
      </c>
      <c r="N1348" s="29">
        <v>0.15</v>
      </c>
      <c r="O1348" s="29">
        <v>1</v>
      </c>
      <c r="P1348" s="29">
        <v>3.1349999999999998</v>
      </c>
      <c r="Q1348" s="29" t="s">
        <v>1033</v>
      </c>
    </row>
    <row r="1349" spans="1:17" x14ac:dyDescent="0.3">
      <c r="A1349" s="29" t="s">
        <v>778</v>
      </c>
      <c r="B1349" s="29">
        <v>1</v>
      </c>
      <c r="C1349" s="29" t="s">
        <v>1050</v>
      </c>
      <c r="D1349" s="29" t="s">
        <v>1051</v>
      </c>
      <c r="E1349" s="29">
        <v>150</v>
      </c>
      <c r="G1349" s="29" t="s">
        <v>1035</v>
      </c>
      <c r="H1349" s="29">
        <v>1</v>
      </c>
      <c r="I1349" s="29">
        <v>2.95</v>
      </c>
      <c r="J1349" s="29">
        <v>0.4425</v>
      </c>
      <c r="K1349" s="29">
        <v>0.4425</v>
      </c>
      <c r="L1349" s="29" t="s">
        <v>1032</v>
      </c>
      <c r="M1349" s="29">
        <v>1</v>
      </c>
      <c r="N1349" s="29">
        <v>0.15</v>
      </c>
      <c r="O1349" s="29">
        <v>1</v>
      </c>
      <c r="P1349" s="29">
        <v>0.4425</v>
      </c>
      <c r="Q1349" s="29" t="s">
        <v>1033</v>
      </c>
    </row>
    <row r="1350" spans="1:17" x14ac:dyDescent="0.3">
      <c r="B1350" s="29">
        <v>2</v>
      </c>
      <c r="C1350" s="29" t="s">
        <v>1089</v>
      </c>
      <c r="D1350" s="29" t="s">
        <v>1099</v>
      </c>
      <c r="E1350" s="29">
        <v>150</v>
      </c>
      <c r="G1350" s="29" t="s">
        <v>1035</v>
      </c>
      <c r="H1350" s="29">
        <v>1</v>
      </c>
      <c r="I1350" s="29">
        <v>20.9</v>
      </c>
      <c r="J1350" s="29">
        <v>3.1349999999999998</v>
      </c>
      <c r="K1350" s="29">
        <v>3.1349999999999998</v>
      </c>
      <c r="L1350" s="29" t="s">
        <v>1032</v>
      </c>
      <c r="M1350" s="29">
        <v>1</v>
      </c>
      <c r="N1350" s="29">
        <v>0.15</v>
      </c>
      <c r="O1350" s="29">
        <v>1</v>
      </c>
      <c r="P1350" s="29">
        <v>3.1349999999999998</v>
      </c>
      <c r="Q1350" s="29" t="s">
        <v>1033</v>
      </c>
    </row>
    <row r="1351" spans="1:17" x14ac:dyDescent="0.3">
      <c r="A1351" s="29" t="s">
        <v>779</v>
      </c>
      <c r="B1351" s="29">
        <v>1</v>
      </c>
      <c r="C1351" s="29" t="s">
        <v>1050</v>
      </c>
      <c r="D1351" s="29" t="s">
        <v>1051</v>
      </c>
      <c r="E1351" s="29">
        <v>150</v>
      </c>
      <c r="G1351" s="29" t="s">
        <v>1035</v>
      </c>
      <c r="H1351" s="29">
        <v>1</v>
      </c>
      <c r="I1351" s="29">
        <v>2.95</v>
      </c>
      <c r="J1351" s="29">
        <v>0.4425</v>
      </c>
      <c r="K1351" s="29">
        <v>0.4425</v>
      </c>
      <c r="L1351" s="29" t="s">
        <v>1032</v>
      </c>
      <c r="M1351" s="29">
        <v>1</v>
      </c>
      <c r="N1351" s="29">
        <v>0.15</v>
      </c>
      <c r="O1351" s="29">
        <v>1</v>
      </c>
      <c r="P1351" s="29">
        <v>0.4425</v>
      </c>
      <c r="Q1351" s="29" t="s">
        <v>1033</v>
      </c>
    </row>
    <row r="1352" spans="1:17" x14ac:dyDescent="0.3">
      <c r="B1352" s="29">
        <v>2</v>
      </c>
      <c r="C1352" s="29" t="s">
        <v>1089</v>
      </c>
      <c r="D1352" s="29" t="s">
        <v>1099</v>
      </c>
      <c r="E1352" s="29">
        <v>150</v>
      </c>
      <c r="G1352" s="29" t="s">
        <v>1035</v>
      </c>
      <c r="H1352" s="29">
        <v>1</v>
      </c>
      <c r="I1352" s="29">
        <v>20.9</v>
      </c>
      <c r="J1352" s="29">
        <v>3.1349999999999998</v>
      </c>
      <c r="K1352" s="29">
        <v>3.1349999999999998</v>
      </c>
      <c r="L1352" s="29" t="s">
        <v>1032</v>
      </c>
      <c r="M1352" s="29">
        <v>1</v>
      </c>
      <c r="N1352" s="29">
        <v>0.15</v>
      </c>
      <c r="O1352" s="29">
        <v>1</v>
      </c>
      <c r="P1352" s="29">
        <v>3.1349999999999998</v>
      </c>
      <c r="Q1352" s="29" t="s">
        <v>1033</v>
      </c>
    </row>
    <row r="1353" spans="1:17" x14ac:dyDescent="0.3">
      <c r="A1353" s="29" t="s">
        <v>780</v>
      </c>
      <c r="B1353" s="29">
        <v>1</v>
      </c>
      <c r="C1353" s="29" t="s">
        <v>1050</v>
      </c>
      <c r="D1353" s="29" t="s">
        <v>1051</v>
      </c>
      <c r="E1353" s="29">
        <v>150</v>
      </c>
      <c r="G1353" s="29" t="s">
        <v>1035</v>
      </c>
      <c r="H1353" s="29">
        <v>1</v>
      </c>
      <c r="I1353" s="29">
        <v>2.95</v>
      </c>
      <c r="J1353" s="29">
        <v>0.4425</v>
      </c>
      <c r="K1353" s="29">
        <v>0.4425</v>
      </c>
      <c r="L1353" s="29" t="s">
        <v>1032</v>
      </c>
      <c r="M1353" s="29">
        <v>1</v>
      </c>
      <c r="N1353" s="29">
        <v>0.15</v>
      </c>
      <c r="O1353" s="29">
        <v>1</v>
      </c>
      <c r="P1353" s="29">
        <v>0.4425</v>
      </c>
      <c r="Q1353" s="29" t="s">
        <v>1033</v>
      </c>
    </row>
    <row r="1354" spans="1:17" x14ac:dyDescent="0.3">
      <c r="B1354" s="29">
        <v>2</v>
      </c>
      <c r="C1354" s="29" t="s">
        <v>1089</v>
      </c>
      <c r="D1354" s="29" t="s">
        <v>1099</v>
      </c>
      <c r="E1354" s="29">
        <v>150</v>
      </c>
      <c r="G1354" s="29" t="s">
        <v>1035</v>
      </c>
      <c r="H1354" s="29">
        <v>1</v>
      </c>
      <c r="I1354" s="29">
        <v>20.9</v>
      </c>
      <c r="J1354" s="29">
        <v>3.1349999999999998</v>
      </c>
      <c r="K1354" s="29">
        <v>3.1349999999999998</v>
      </c>
      <c r="L1354" s="29" t="s">
        <v>1032</v>
      </c>
      <c r="M1354" s="29">
        <v>1</v>
      </c>
      <c r="N1354" s="29">
        <v>0.15</v>
      </c>
      <c r="O1354" s="29">
        <v>1</v>
      </c>
      <c r="P1354" s="29">
        <v>3.1349999999999998</v>
      </c>
      <c r="Q1354" s="29" t="s">
        <v>1033</v>
      </c>
    </row>
    <row r="1355" spans="1:17" x14ac:dyDescent="0.3">
      <c r="A1355" s="29" t="s">
        <v>780</v>
      </c>
      <c r="B1355" s="29">
        <v>1</v>
      </c>
      <c r="C1355" s="29" t="s">
        <v>1050</v>
      </c>
      <c r="D1355" s="29" t="s">
        <v>1051</v>
      </c>
      <c r="E1355" s="29">
        <v>150</v>
      </c>
      <c r="G1355" s="29" t="s">
        <v>1035</v>
      </c>
      <c r="H1355" s="29">
        <v>1</v>
      </c>
      <c r="I1355" s="29">
        <v>2.95</v>
      </c>
      <c r="J1355" s="29">
        <v>0.4425</v>
      </c>
      <c r="K1355" s="29">
        <v>0.4425</v>
      </c>
      <c r="L1355" s="29" t="s">
        <v>1032</v>
      </c>
      <c r="M1355" s="29">
        <v>1</v>
      </c>
      <c r="N1355" s="29">
        <v>0.15</v>
      </c>
      <c r="O1355" s="29">
        <v>1</v>
      </c>
      <c r="P1355" s="29">
        <v>0.4425</v>
      </c>
      <c r="Q1355" s="29" t="s">
        <v>1033</v>
      </c>
    </row>
    <row r="1356" spans="1:17" x14ac:dyDescent="0.3">
      <c r="B1356" s="29">
        <v>2</v>
      </c>
      <c r="C1356" s="29" t="s">
        <v>1089</v>
      </c>
      <c r="D1356" s="29" t="s">
        <v>1099</v>
      </c>
      <c r="E1356" s="29">
        <v>150</v>
      </c>
      <c r="G1356" s="29" t="s">
        <v>1035</v>
      </c>
      <c r="H1356" s="29">
        <v>1</v>
      </c>
      <c r="I1356" s="29">
        <v>20.9</v>
      </c>
      <c r="J1356" s="29">
        <v>3.1349999999999998</v>
      </c>
      <c r="K1356" s="29">
        <v>3.1349999999999998</v>
      </c>
      <c r="L1356" s="29" t="s">
        <v>1032</v>
      </c>
      <c r="M1356" s="29">
        <v>1</v>
      </c>
      <c r="N1356" s="29">
        <v>0.15</v>
      </c>
      <c r="O1356" s="29">
        <v>1</v>
      </c>
      <c r="P1356" s="29">
        <v>3.1349999999999998</v>
      </c>
      <c r="Q1356" s="29" t="s">
        <v>1033</v>
      </c>
    </row>
    <row r="1357" spans="1:17" x14ac:dyDescent="0.3">
      <c r="A1357" s="29" t="s">
        <v>780</v>
      </c>
      <c r="B1357" s="29">
        <v>1</v>
      </c>
      <c r="C1357" s="29" t="s">
        <v>1050</v>
      </c>
      <c r="D1357" s="29" t="s">
        <v>1051</v>
      </c>
      <c r="E1357" s="29">
        <v>150</v>
      </c>
      <c r="G1357" s="29" t="s">
        <v>1035</v>
      </c>
      <c r="H1357" s="29">
        <v>1</v>
      </c>
      <c r="I1357" s="29">
        <v>2.95</v>
      </c>
      <c r="J1357" s="29">
        <v>0.4425</v>
      </c>
      <c r="K1357" s="29">
        <v>0.4425</v>
      </c>
      <c r="L1357" s="29" t="s">
        <v>1032</v>
      </c>
      <c r="M1357" s="29">
        <v>1</v>
      </c>
      <c r="N1357" s="29">
        <v>0.15</v>
      </c>
      <c r="O1357" s="29">
        <v>1</v>
      </c>
      <c r="P1357" s="29">
        <v>0.4425</v>
      </c>
      <c r="Q1357" s="29" t="s">
        <v>1033</v>
      </c>
    </row>
    <row r="1358" spans="1:17" x14ac:dyDescent="0.3">
      <c r="B1358" s="29">
        <v>2</v>
      </c>
      <c r="C1358" s="29" t="s">
        <v>1089</v>
      </c>
      <c r="D1358" s="29" t="s">
        <v>1099</v>
      </c>
      <c r="E1358" s="29">
        <v>150</v>
      </c>
      <c r="G1358" s="29" t="s">
        <v>1035</v>
      </c>
      <c r="H1358" s="29">
        <v>1</v>
      </c>
      <c r="I1358" s="29">
        <v>20.9</v>
      </c>
      <c r="J1358" s="29">
        <v>3.1349999999999998</v>
      </c>
      <c r="K1358" s="29">
        <v>3.1349999999999998</v>
      </c>
      <c r="L1358" s="29" t="s">
        <v>1032</v>
      </c>
      <c r="M1358" s="29">
        <v>1</v>
      </c>
      <c r="N1358" s="29">
        <v>0.15</v>
      </c>
      <c r="O1358" s="29">
        <v>1</v>
      </c>
      <c r="P1358" s="29">
        <v>3.1349999999999998</v>
      </c>
      <c r="Q1358" s="29" t="s">
        <v>1033</v>
      </c>
    </row>
    <row r="1359" spans="1:17" x14ac:dyDescent="0.3">
      <c r="A1359" s="29" t="s">
        <v>781</v>
      </c>
      <c r="B1359" s="29">
        <v>1</v>
      </c>
      <c r="C1359" s="29" t="s">
        <v>1050</v>
      </c>
      <c r="D1359" s="29" t="s">
        <v>1051</v>
      </c>
      <c r="E1359" s="29">
        <v>150</v>
      </c>
      <c r="G1359" s="29" t="s">
        <v>1035</v>
      </c>
      <c r="H1359" s="29">
        <v>1</v>
      </c>
      <c r="I1359" s="29">
        <v>2.95</v>
      </c>
      <c r="J1359" s="29">
        <v>0.4425</v>
      </c>
      <c r="K1359" s="29">
        <v>0.4425</v>
      </c>
      <c r="L1359" s="29" t="s">
        <v>1032</v>
      </c>
      <c r="M1359" s="29">
        <v>1</v>
      </c>
      <c r="N1359" s="29">
        <v>0.15</v>
      </c>
      <c r="O1359" s="29">
        <v>1</v>
      </c>
      <c r="P1359" s="29">
        <v>0.4425</v>
      </c>
      <c r="Q1359" s="29" t="s">
        <v>1033</v>
      </c>
    </row>
    <row r="1360" spans="1:17" x14ac:dyDescent="0.3">
      <c r="B1360" s="29">
        <v>2</v>
      </c>
      <c r="C1360" s="29" t="s">
        <v>1089</v>
      </c>
      <c r="D1360" s="29" t="s">
        <v>1099</v>
      </c>
      <c r="E1360" s="29">
        <v>100</v>
      </c>
      <c r="G1360" s="29" t="s">
        <v>1035</v>
      </c>
      <c r="H1360" s="29">
        <v>1</v>
      </c>
      <c r="I1360" s="29">
        <v>20.9</v>
      </c>
      <c r="J1360" s="29">
        <v>2.09</v>
      </c>
      <c r="K1360" s="29">
        <v>2.09</v>
      </c>
      <c r="L1360" s="29" t="s">
        <v>1032</v>
      </c>
      <c r="M1360" s="29">
        <v>1</v>
      </c>
      <c r="N1360" s="29">
        <v>0.1</v>
      </c>
      <c r="O1360" s="29">
        <v>1</v>
      </c>
      <c r="P1360" s="29">
        <v>2.09</v>
      </c>
      <c r="Q1360" s="29" t="s">
        <v>1033</v>
      </c>
    </row>
    <row r="1361" spans="1:17" x14ac:dyDescent="0.3">
      <c r="A1361" s="29" t="s">
        <v>782</v>
      </c>
      <c r="B1361" s="29">
        <v>1</v>
      </c>
      <c r="C1361" s="29" t="s">
        <v>1050</v>
      </c>
      <c r="D1361" s="29" t="s">
        <v>1051</v>
      </c>
      <c r="E1361" s="29">
        <v>150</v>
      </c>
      <c r="G1361" s="29" t="s">
        <v>1035</v>
      </c>
      <c r="H1361" s="29">
        <v>1</v>
      </c>
      <c r="I1361" s="29">
        <v>2.95</v>
      </c>
      <c r="J1361" s="29">
        <v>0.4425</v>
      </c>
      <c r="K1361" s="29">
        <v>0.4425</v>
      </c>
      <c r="L1361" s="29" t="s">
        <v>1032</v>
      </c>
      <c r="M1361" s="29">
        <v>1</v>
      </c>
      <c r="N1361" s="29">
        <v>0.15</v>
      </c>
      <c r="O1361" s="29">
        <v>1</v>
      </c>
      <c r="P1361" s="29">
        <v>0.4425</v>
      </c>
      <c r="Q1361" s="29" t="s">
        <v>1033</v>
      </c>
    </row>
    <row r="1362" spans="1:17" x14ac:dyDescent="0.3">
      <c r="B1362" s="29">
        <v>2</v>
      </c>
      <c r="C1362" s="29" t="s">
        <v>1089</v>
      </c>
      <c r="D1362" s="29" t="s">
        <v>1099</v>
      </c>
      <c r="E1362" s="29">
        <v>150</v>
      </c>
      <c r="G1362" s="29" t="s">
        <v>1035</v>
      </c>
      <c r="H1362" s="29">
        <v>1</v>
      </c>
      <c r="I1362" s="29">
        <v>20.9</v>
      </c>
      <c r="J1362" s="29">
        <v>3.1349999999999998</v>
      </c>
      <c r="K1362" s="29">
        <v>3.1349999999999998</v>
      </c>
      <c r="L1362" s="29" t="s">
        <v>1032</v>
      </c>
      <c r="M1362" s="29">
        <v>1</v>
      </c>
      <c r="N1362" s="29">
        <v>0.15</v>
      </c>
      <c r="O1362" s="29">
        <v>1</v>
      </c>
      <c r="P1362" s="29">
        <v>3.1349999999999998</v>
      </c>
      <c r="Q1362" s="29" t="s">
        <v>1033</v>
      </c>
    </row>
    <row r="1363" spans="1:17" x14ac:dyDescent="0.3">
      <c r="A1363" s="29" t="s">
        <v>783</v>
      </c>
      <c r="B1363" s="29">
        <v>1</v>
      </c>
      <c r="C1363" s="29" t="s">
        <v>1050</v>
      </c>
      <c r="D1363" s="29" t="s">
        <v>1051</v>
      </c>
      <c r="E1363" s="29">
        <v>150</v>
      </c>
      <c r="G1363" s="29" t="s">
        <v>1035</v>
      </c>
      <c r="H1363" s="29">
        <v>1</v>
      </c>
      <c r="I1363" s="29">
        <v>2.95</v>
      </c>
      <c r="J1363" s="29">
        <v>0.4425</v>
      </c>
      <c r="K1363" s="29">
        <v>0.4425</v>
      </c>
      <c r="L1363" s="29" t="s">
        <v>1032</v>
      </c>
      <c r="M1363" s="29">
        <v>1</v>
      </c>
      <c r="N1363" s="29">
        <v>0.15</v>
      </c>
      <c r="O1363" s="29">
        <v>1</v>
      </c>
      <c r="P1363" s="29">
        <v>0.4425</v>
      </c>
      <c r="Q1363" s="29" t="s">
        <v>1033</v>
      </c>
    </row>
    <row r="1364" spans="1:17" x14ac:dyDescent="0.3">
      <c r="B1364" s="29">
        <v>2</v>
      </c>
      <c r="C1364" s="29" t="s">
        <v>1089</v>
      </c>
      <c r="D1364" s="29" t="s">
        <v>1099</v>
      </c>
      <c r="E1364" s="29">
        <v>150</v>
      </c>
      <c r="G1364" s="29" t="s">
        <v>1035</v>
      </c>
      <c r="H1364" s="29">
        <v>1</v>
      </c>
      <c r="I1364" s="29">
        <v>20.9</v>
      </c>
      <c r="J1364" s="29">
        <v>3.1349999999999998</v>
      </c>
      <c r="K1364" s="29">
        <v>3.1349999999999998</v>
      </c>
      <c r="L1364" s="29" t="s">
        <v>1032</v>
      </c>
      <c r="M1364" s="29">
        <v>1</v>
      </c>
      <c r="N1364" s="29">
        <v>0.15</v>
      </c>
      <c r="O1364" s="29">
        <v>1</v>
      </c>
      <c r="P1364" s="29">
        <v>3.1349999999999998</v>
      </c>
      <c r="Q1364" s="29" t="s">
        <v>1033</v>
      </c>
    </row>
    <row r="1365" spans="1:17" x14ac:dyDescent="0.3">
      <c r="A1365" s="29" t="s">
        <v>784</v>
      </c>
      <c r="B1365" s="29">
        <v>1</v>
      </c>
      <c r="C1365" s="29" t="s">
        <v>1050</v>
      </c>
      <c r="D1365" s="29" t="s">
        <v>1051</v>
      </c>
      <c r="E1365" s="29">
        <v>150</v>
      </c>
      <c r="G1365" s="29" t="s">
        <v>1035</v>
      </c>
      <c r="H1365" s="29">
        <v>1</v>
      </c>
      <c r="I1365" s="29">
        <v>2.95</v>
      </c>
      <c r="J1365" s="29">
        <v>0.4425</v>
      </c>
      <c r="K1365" s="29">
        <v>0.4425</v>
      </c>
      <c r="L1365" s="29" t="s">
        <v>1032</v>
      </c>
      <c r="M1365" s="29">
        <v>1</v>
      </c>
      <c r="N1365" s="29">
        <v>0.15</v>
      </c>
      <c r="O1365" s="29">
        <v>1</v>
      </c>
      <c r="P1365" s="29">
        <v>0.4425</v>
      </c>
      <c r="Q1365" s="29" t="s">
        <v>1033</v>
      </c>
    </row>
    <row r="1366" spans="1:17" x14ac:dyDescent="0.3">
      <c r="B1366" s="29">
        <v>2</v>
      </c>
      <c r="C1366" s="29" t="s">
        <v>1089</v>
      </c>
      <c r="D1366" s="29" t="s">
        <v>1099</v>
      </c>
      <c r="E1366" s="29">
        <v>150</v>
      </c>
      <c r="G1366" s="29" t="s">
        <v>1035</v>
      </c>
      <c r="H1366" s="29">
        <v>1</v>
      </c>
      <c r="I1366" s="29">
        <v>20.9</v>
      </c>
      <c r="J1366" s="29">
        <v>3.1349999999999998</v>
      </c>
      <c r="K1366" s="29">
        <v>3.1349999999999998</v>
      </c>
      <c r="L1366" s="29" t="s">
        <v>1032</v>
      </c>
      <c r="M1366" s="29">
        <v>1</v>
      </c>
      <c r="N1366" s="29">
        <v>0.15</v>
      </c>
      <c r="O1366" s="29">
        <v>1</v>
      </c>
      <c r="P1366" s="29">
        <v>3.1349999999999998</v>
      </c>
      <c r="Q1366" s="29" t="s">
        <v>1033</v>
      </c>
    </row>
    <row r="1367" spans="1:17" x14ac:dyDescent="0.3">
      <c r="A1367" s="29" t="s">
        <v>785</v>
      </c>
      <c r="B1367" s="29">
        <v>1</v>
      </c>
      <c r="C1367" s="29" t="s">
        <v>1050</v>
      </c>
      <c r="D1367" s="29" t="s">
        <v>1051</v>
      </c>
      <c r="E1367" s="29">
        <v>150</v>
      </c>
      <c r="G1367" s="29" t="s">
        <v>1035</v>
      </c>
      <c r="H1367" s="29">
        <v>1</v>
      </c>
      <c r="I1367" s="29">
        <v>2.95</v>
      </c>
      <c r="J1367" s="29">
        <v>0.4425</v>
      </c>
      <c r="K1367" s="29">
        <v>0.4425</v>
      </c>
      <c r="L1367" s="29" t="s">
        <v>1032</v>
      </c>
      <c r="M1367" s="29">
        <v>1</v>
      </c>
      <c r="N1367" s="29">
        <v>0.15</v>
      </c>
      <c r="O1367" s="29">
        <v>1</v>
      </c>
      <c r="P1367" s="29">
        <v>0.4425</v>
      </c>
      <c r="Q1367" s="29" t="s">
        <v>1033</v>
      </c>
    </row>
    <row r="1368" spans="1:17" x14ac:dyDescent="0.3">
      <c r="B1368" s="29">
        <v>2</v>
      </c>
      <c r="C1368" s="29" t="s">
        <v>1089</v>
      </c>
      <c r="D1368" s="29" t="s">
        <v>1099</v>
      </c>
      <c r="E1368" s="29">
        <v>150</v>
      </c>
      <c r="G1368" s="29" t="s">
        <v>1035</v>
      </c>
      <c r="H1368" s="29">
        <v>1</v>
      </c>
      <c r="I1368" s="29">
        <v>20.9</v>
      </c>
      <c r="J1368" s="29">
        <v>3.1349999999999998</v>
      </c>
      <c r="K1368" s="29">
        <v>3.1349999999999998</v>
      </c>
      <c r="L1368" s="29" t="s">
        <v>1032</v>
      </c>
      <c r="M1368" s="29">
        <v>1</v>
      </c>
      <c r="N1368" s="29">
        <v>0.15</v>
      </c>
      <c r="O1368" s="29">
        <v>1</v>
      </c>
      <c r="P1368" s="29">
        <v>3.1349999999999998</v>
      </c>
      <c r="Q1368" s="29" t="s">
        <v>1033</v>
      </c>
    </row>
    <row r="1369" spans="1:17" x14ac:dyDescent="0.3">
      <c r="A1369" s="29" t="s">
        <v>786</v>
      </c>
      <c r="B1369" s="29">
        <v>1</v>
      </c>
      <c r="C1369" s="29" t="s">
        <v>1050</v>
      </c>
      <c r="D1369" s="29" t="s">
        <v>1051</v>
      </c>
      <c r="E1369" s="29">
        <v>150</v>
      </c>
      <c r="G1369" s="29" t="s">
        <v>1035</v>
      </c>
      <c r="H1369" s="29">
        <v>1</v>
      </c>
      <c r="I1369" s="29">
        <v>2.95</v>
      </c>
      <c r="J1369" s="29">
        <v>0.4425</v>
      </c>
      <c r="K1369" s="29">
        <v>0.4425</v>
      </c>
      <c r="L1369" s="29" t="s">
        <v>1032</v>
      </c>
      <c r="M1369" s="29">
        <v>1</v>
      </c>
      <c r="N1369" s="29">
        <v>0.15</v>
      </c>
      <c r="O1369" s="29">
        <v>1</v>
      </c>
      <c r="P1369" s="29">
        <v>0.4425</v>
      </c>
      <c r="Q1369" s="29" t="s">
        <v>1033</v>
      </c>
    </row>
    <row r="1370" spans="1:17" x14ac:dyDescent="0.3">
      <c r="B1370" s="29">
        <v>2</v>
      </c>
      <c r="C1370" s="29" t="s">
        <v>1089</v>
      </c>
      <c r="D1370" s="29" t="s">
        <v>1099</v>
      </c>
      <c r="E1370" s="29">
        <v>150</v>
      </c>
      <c r="G1370" s="29" t="s">
        <v>1035</v>
      </c>
      <c r="H1370" s="29">
        <v>1</v>
      </c>
      <c r="I1370" s="29">
        <v>20.9</v>
      </c>
      <c r="J1370" s="29">
        <v>3.1349999999999998</v>
      </c>
      <c r="K1370" s="29">
        <v>3.1349999999999998</v>
      </c>
      <c r="L1370" s="29" t="s">
        <v>1032</v>
      </c>
      <c r="M1370" s="29">
        <v>1</v>
      </c>
      <c r="N1370" s="29">
        <v>0.15</v>
      </c>
      <c r="O1370" s="29">
        <v>1</v>
      </c>
      <c r="P1370" s="29">
        <v>3.1349999999999998</v>
      </c>
      <c r="Q1370" s="29" t="s">
        <v>1033</v>
      </c>
    </row>
    <row r="1371" spans="1:17" x14ac:dyDescent="0.3">
      <c r="A1371" s="29" t="s">
        <v>787</v>
      </c>
      <c r="B1371" s="29">
        <v>1</v>
      </c>
      <c r="C1371" s="29" t="s">
        <v>1050</v>
      </c>
      <c r="D1371" s="29" t="s">
        <v>1051</v>
      </c>
      <c r="E1371" s="29">
        <v>150</v>
      </c>
      <c r="G1371" s="29" t="s">
        <v>1035</v>
      </c>
      <c r="H1371" s="29">
        <v>1</v>
      </c>
      <c r="I1371" s="29">
        <v>2.95</v>
      </c>
      <c r="J1371" s="29">
        <v>0.4425</v>
      </c>
      <c r="K1371" s="29">
        <v>0.4425</v>
      </c>
      <c r="L1371" s="29" t="s">
        <v>1032</v>
      </c>
      <c r="M1371" s="29">
        <v>1</v>
      </c>
      <c r="N1371" s="29">
        <v>0.15</v>
      </c>
      <c r="O1371" s="29">
        <v>1</v>
      </c>
      <c r="P1371" s="29">
        <v>0.4425</v>
      </c>
      <c r="Q1371" s="29" t="s">
        <v>1033</v>
      </c>
    </row>
    <row r="1372" spans="1:17" x14ac:dyDescent="0.3">
      <c r="B1372" s="29">
        <v>2</v>
      </c>
      <c r="C1372" s="29" t="s">
        <v>1089</v>
      </c>
      <c r="D1372" s="29" t="s">
        <v>1100</v>
      </c>
      <c r="E1372" s="29">
        <v>250</v>
      </c>
      <c r="G1372" s="29" t="s">
        <v>1035</v>
      </c>
      <c r="H1372" s="29">
        <v>1</v>
      </c>
      <c r="I1372" s="29">
        <v>49.9</v>
      </c>
      <c r="J1372" s="29">
        <v>12.475</v>
      </c>
      <c r="K1372" s="29">
        <v>12.475</v>
      </c>
      <c r="L1372" s="29" t="s">
        <v>1032</v>
      </c>
      <c r="M1372" s="29">
        <v>1</v>
      </c>
      <c r="N1372" s="29">
        <v>0.25</v>
      </c>
      <c r="O1372" s="29">
        <v>1</v>
      </c>
      <c r="P1372" s="29">
        <v>12.475</v>
      </c>
      <c r="Q1372" s="29" t="s">
        <v>1033</v>
      </c>
    </row>
    <row r="1373" spans="1:17" x14ac:dyDescent="0.3">
      <c r="B1373" s="29">
        <v>3</v>
      </c>
      <c r="C1373" s="29" t="s">
        <v>1101</v>
      </c>
      <c r="D1373" s="29">
        <v>9</v>
      </c>
      <c r="E1373" s="29">
        <v>168.25</v>
      </c>
      <c r="F1373" s="29">
        <v>300</v>
      </c>
      <c r="G1373" s="29" t="s">
        <v>1035</v>
      </c>
      <c r="H1373" s="29">
        <v>1</v>
      </c>
      <c r="J1373" s="29">
        <v>3.5660587499999998</v>
      </c>
      <c r="K1373" s="29">
        <v>3.5660587499999998</v>
      </c>
      <c r="L1373" s="29" t="s">
        <v>1036</v>
      </c>
      <c r="M1373" s="29">
        <v>1</v>
      </c>
      <c r="O1373" s="29">
        <v>1</v>
      </c>
      <c r="P1373" s="29">
        <v>3.5660587499999998</v>
      </c>
      <c r="Q1373" s="29" t="s">
        <v>1037</v>
      </c>
    </row>
    <row r="1374" spans="1:17" x14ac:dyDescent="0.3">
      <c r="A1374" s="29" t="s">
        <v>787</v>
      </c>
      <c r="B1374" s="29">
        <v>1</v>
      </c>
      <c r="C1374" s="29" t="s">
        <v>1050</v>
      </c>
      <c r="D1374" s="29" t="s">
        <v>1051</v>
      </c>
      <c r="E1374" s="29">
        <v>150</v>
      </c>
      <c r="G1374" s="29" t="s">
        <v>1035</v>
      </c>
      <c r="H1374" s="29">
        <v>1</v>
      </c>
      <c r="I1374" s="29">
        <v>2.95</v>
      </c>
      <c r="J1374" s="29">
        <v>0.4425</v>
      </c>
      <c r="K1374" s="29">
        <v>0.4425</v>
      </c>
      <c r="L1374" s="29" t="s">
        <v>1032</v>
      </c>
      <c r="M1374" s="29">
        <v>1</v>
      </c>
      <c r="N1374" s="29">
        <v>0.15</v>
      </c>
      <c r="O1374" s="29">
        <v>1</v>
      </c>
      <c r="P1374" s="29">
        <v>0.4425</v>
      </c>
      <c r="Q1374" s="29" t="s">
        <v>1033</v>
      </c>
    </row>
    <row r="1375" spans="1:17" x14ac:dyDescent="0.3">
      <c r="B1375" s="29">
        <v>2</v>
      </c>
      <c r="C1375" s="29" t="s">
        <v>1089</v>
      </c>
      <c r="D1375" s="29" t="s">
        <v>1100</v>
      </c>
      <c r="E1375" s="29">
        <v>250</v>
      </c>
      <c r="G1375" s="29" t="s">
        <v>1035</v>
      </c>
      <c r="H1375" s="29">
        <v>1</v>
      </c>
      <c r="I1375" s="29">
        <v>49.9</v>
      </c>
      <c r="J1375" s="29">
        <v>12.475</v>
      </c>
      <c r="K1375" s="29">
        <v>12.475</v>
      </c>
      <c r="L1375" s="29" t="s">
        <v>1032</v>
      </c>
      <c r="M1375" s="29">
        <v>1</v>
      </c>
      <c r="N1375" s="29">
        <v>0.25</v>
      </c>
      <c r="O1375" s="29">
        <v>1</v>
      </c>
      <c r="P1375" s="29">
        <v>12.475</v>
      </c>
      <c r="Q1375" s="29" t="s">
        <v>1033</v>
      </c>
    </row>
    <row r="1376" spans="1:17" x14ac:dyDescent="0.3">
      <c r="B1376" s="29">
        <v>3</v>
      </c>
      <c r="C1376" s="29" t="s">
        <v>1101</v>
      </c>
      <c r="D1376" s="29">
        <v>9</v>
      </c>
      <c r="E1376" s="29">
        <v>168.25</v>
      </c>
      <c r="F1376" s="29">
        <v>300</v>
      </c>
      <c r="G1376" s="29" t="s">
        <v>1035</v>
      </c>
      <c r="H1376" s="29">
        <v>1</v>
      </c>
      <c r="J1376" s="29">
        <v>3.5660587499999998</v>
      </c>
      <c r="K1376" s="29">
        <v>3.5660587499999998</v>
      </c>
      <c r="L1376" s="29" t="s">
        <v>1036</v>
      </c>
      <c r="M1376" s="29">
        <v>1</v>
      </c>
      <c r="O1376" s="29">
        <v>1</v>
      </c>
      <c r="P1376" s="29">
        <v>3.5660587499999998</v>
      </c>
      <c r="Q1376" s="29" t="s">
        <v>1037</v>
      </c>
    </row>
    <row r="1377" spans="1:17" x14ac:dyDescent="0.3">
      <c r="A1377" s="29" t="s">
        <v>788</v>
      </c>
      <c r="B1377" s="29">
        <v>1</v>
      </c>
      <c r="C1377" s="29" t="s">
        <v>1050</v>
      </c>
      <c r="D1377" s="29" t="s">
        <v>1051</v>
      </c>
      <c r="E1377" s="29">
        <v>150</v>
      </c>
      <c r="G1377" s="29" t="s">
        <v>1035</v>
      </c>
      <c r="H1377" s="29">
        <v>1</v>
      </c>
      <c r="I1377" s="29">
        <v>2.95</v>
      </c>
      <c r="J1377" s="29">
        <v>0.4425</v>
      </c>
      <c r="K1377" s="29">
        <v>0.4425</v>
      </c>
      <c r="L1377" s="29" t="s">
        <v>1032</v>
      </c>
      <c r="M1377" s="29">
        <v>1</v>
      </c>
      <c r="N1377" s="29">
        <v>0.15</v>
      </c>
      <c r="O1377" s="29">
        <v>1</v>
      </c>
      <c r="P1377" s="29">
        <v>0.4425</v>
      </c>
      <c r="Q1377" s="29" t="s">
        <v>1033</v>
      </c>
    </row>
    <row r="1378" spans="1:17" x14ac:dyDescent="0.3">
      <c r="B1378" s="29">
        <v>2</v>
      </c>
      <c r="C1378" s="29" t="s">
        <v>1089</v>
      </c>
      <c r="D1378" s="29" t="s">
        <v>1100</v>
      </c>
      <c r="E1378" s="29">
        <v>300</v>
      </c>
      <c r="G1378" s="29" t="s">
        <v>1035</v>
      </c>
      <c r="H1378" s="29">
        <v>1</v>
      </c>
      <c r="I1378" s="29">
        <v>49.9</v>
      </c>
      <c r="J1378" s="29">
        <v>14.969999999999999</v>
      </c>
      <c r="K1378" s="29">
        <v>14.969999999999999</v>
      </c>
      <c r="L1378" s="29" t="s">
        <v>1032</v>
      </c>
      <c r="M1378" s="29">
        <v>1</v>
      </c>
      <c r="N1378" s="29">
        <v>0.3</v>
      </c>
      <c r="O1378" s="29">
        <v>1</v>
      </c>
      <c r="P1378" s="29">
        <v>14.969999999999999</v>
      </c>
      <c r="Q1378" s="29" t="s">
        <v>1033</v>
      </c>
    </row>
    <row r="1379" spans="1:17" x14ac:dyDescent="0.3">
      <c r="B1379" s="29">
        <v>3</v>
      </c>
      <c r="C1379" s="29" t="s">
        <v>1101</v>
      </c>
      <c r="D1379" s="29">
        <v>9</v>
      </c>
      <c r="E1379" s="29">
        <v>168.25</v>
      </c>
      <c r="F1379" s="29">
        <v>350</v>
      </c>
      <c r="G1379" s="29" t="s">
        <v>1035</v>
      </c>
      <c r="H1379" s="29">
        <v>1</v>
      </c>
      <c r="J1379" s="29">
        <v>4.1604018749999998</v>
      </c>
      <c r="K1379" s="29">
        <v>4.1604018749999998</v>
      </c>
      <c r="L1379" s="29" t="s">
        <v>1036</v>
      </c>
      <c r="M1379" s="29">
        <v>1</v>
      </c>
      <c r="O1379" s="29">
        <v>1</v>
      </c>
      <c r="P1379" s="29">
        <v>4.1604018749999998</v>
      </c>
      <c r="Q1379" s="29" t="s">
        <v>1037</v>
      </c>
    </row>
    <row r="1380" spans="1:17" x14ac:dyDescent="0.3">
      <c r="A1380" s="29" t="s">
        <v>789</v>
      </c>
      <c r="B1380" s="29">
        <v>1</v>
      </c>
      <c r="C1380" s="29" t="s">
        <v>1050</v>
      </c>
      <c r="D1380" s="29" t="s">
        <v>1051</v>
      </c>
      <c r="E1380" s="29">
        <v>150</v>
      </c>
      <c r="G1380" s="29" t="s">
        <v>1035</v>
      </c>
      <c r="H1380" s="29">
        <v>1</v>
      </c>
      <c r="I1380" s="29">
        <v>2.95</v>
      </c>
      <c r="J1380" s="29">
        <v>0.4425</v>
      </c>
      <c r="K1380" s="29">
        <v>0.4425</v>
      </c>
      <c r="L1380" s="29" t="s">
        <v>1032</v>
      </c>
      <c r="M1380" s="29">
        <v>1</v>
      </c>
      <c r="N1380" s="29">
        <v>0.15</v>
      </c>
      <c r="O1380" s="29">
        <v>1</v>
      </c>
      <c r="P1380" s="29">
        <v>0.4425</v>
      </c>
      <c r="Q1380" s="29" t="s">
        <v>1033</v>
      </c>
    </row>
    <row r="1381" spans="1:17" x14ac:dyDescent="0.3">
      <c r="B1381" s="29">
        <v>2</v>
      </c>
      <c r="C1381" s="29" t="s">
        <v>1089</v>
      </c>
      <c r="D1381" s="29" t="s">
        <v>1100</v>
      </c>
      <c r="E1381" s="29">
        <v>250</v>
      </c>
      <c r="G1381" s="29" t="s">
        <v>1035</v>
      </c>
      <c r="H1381" s="29">
        <v>1</v>
      </c>
      <c r="I1381" s="29">
        <v>49.9</v>
      </c>
      <c r="J1381" s="29">
        <v>12.475</v>
      </c>
      <c r="K1381" s="29">
        <v>12.475</v>
      </c>
      <c r="L1381" s="29" t="s">
        <v>1032</v>
      </c>
      <c r="M1381" s="29">
        <v>1</v>
      </c>
      <c r="N1381" s="29">
        <v>0.25</v>
      </c>
      <c r="O1381" s="29">
        <v>1</v>
      </c>
      <c r="P1381" s="29">
        <v>12.475</v>
      </c>
      <c r="Q1381" s="29" t="s">
        <v>1033</v>
      </c>
    </row>
    <row r="1382" spans="1:17" x14ac:dyDescent="0.3">
      <c r="B1382" s="29">
        <v>3</v>
      </c>
      <c r="C1382" s="29" t="s">
        <v>1101</v>
      </c>
      <c r="D1382" s="29">
        <v>9</v>
      </c>
      <c r="E1382" s="29">
        <v>176.2</v>
      </c>
      <c r="F1382" s="29">
        <v>300</v>
      </c>
      <c r="G1382" s="29" t="s">
        <v>1035</v>
      </c>
      <c r="H1382" s="29">
        <v>1</v>
      </c>
      <c r="J1382" s="29">
        <v>3.7345589999999995</v>
      </c>
      <c r="K1382" s="29">
        <v>3.7345589999999995</v>
      </c>
      <c r="L1382" s="29" t="s">
        <v>1036</v>
      </c>
      <c r="M1382" s="29">
        <v>1</v>
      </c>
      <c r="O1382" s="29">
        <v>1</v>
      </c>
      <c r="P1382" s="29">
        <v>3.7345589999999995</v>
      </c>
      <c r="Q1382" s="29" t="s">
        <v>1037</v>
      </c>
    </row>
    <row r="1383" spans="1:17" x14ac:dyDescent="0.3">
      <c r="A1383" s="29" t="s">
        <v>790</v>
      </c>
      <c r="B1383" s="29">
        <v>1</v>
      </c>
      <c r="C1383" s="29" t="s">
        <v>1050</v>
      </c>
      <c r="D1383" s="29" t="s">
        <v>1051</v>
      </c>
      <c r="E1383" s="29">
        <v>150</v>
      </c>
      <c r="G1383" s="29" t="s">
        <v>1031</v>
      </c>
      <c r="H1383" s="29">
        <v>1</v>
      </c>
      <c r="I1383" s="29">
        <v>2.95</v>
      </c>
      <c r="J1383" s="29">
        <v>0.4425</v>
      </c>
      <c r="K1383" s="29">
        <v>0.4425</v>
      </c>
      <c r="L1383" s="29" t="s">
        <v>1032</v>
      </c>
      <c r="M1383" s="29">
        <v>1</v>
      </c>
      <c r="N1383" s="29">
        <v>0.15</v>
      </c>
      <c r="O1383" s="29">
        <v>1</v>
      </c>
      <c r="P1383" s="29">
        <v>0.4425</v>
      </c>
      <c r="Q1383" s="29" t="s">
        <v>1033</v>
      </c>
    </row>
    <row r="1384" spans="1:17" x14ac:dyDescent="0.3">
      <c r="B1384" s="29">
        <v>2</v>
      </c>
      <c r="C1384" s="29" t="s">
        <v>1089</v>
      </c>
      <c r="D1384" s="29" t="s">
        <v>1100</v>
      </c>
      <c r="E1384" s="29">
        <v>250</v>
      </c>
      <c r="G1384" s="29" t="s">
        <v>1031</v>
      </c>
      <c r="H1384" s="29">
        <v>1</v>
      </c>
      <c r="I1384" s="29">
        <v>49.9</v>
      </c>
      <c r="J1384" s="29">
        <v>12.475</v>
      </c>
      <c r="K1384" s="29">
        <v>12.475</v>
      </c>
      <c r="L1384" s="29" t="s">
        <v>1032</v>
      </c>
      <c r="M1384" s="29">
        <v>1</v>
      </c>
      <c r="N1384" s="29">
        <v>0.25</v>
      </c>
      <c r="O1384" s="29">
        <v>1</v>
      </c>
      <c r="P1384" s="29">
        <v>12.475</v>
      </c>
      <c r="Q1384" s="29" t="s">
        <v>1033</v>
      </c>
    </row>
    <row r="1385" spans="1:17" x14ac:dyDescent="0.3">
      <c r="B1385" s="29">
        <v>3</v>
      </c>
      <c r="C1385" s="29" t="s">
        <v>1101</v>
      </c>
      <c r="D1385" s="29">
        <v>9</v>
      </c>
      <c r="E1385" s="29">
        <v>176.2</v>
      </c>
      <c r="F1385" s="29">
        <v>300</v>
      </c>
      <c r="G1385" s="29" t="s">
        <v>1035</v>
      </c>
      <c r="H1385" s="29">
        <v>1</v>
      </c>
      <c r="J1385" s="29">
        <v>3.7345589999999995</v>
      </c>
      <c r="K1385" s="29">
        <v>3.7345589999999995</v>
      </c>
      <c r="L1385" s="29" t="s">
        <v>1036</v>
      </c>
      <c r="M1385" s="29">
        <v>1</v>
      </c>
      <c r="O1385" s="29">
        <v>1</v>
      </c>
      <c r="P1385" s="29">
        <v>3.7345589999999995</v>
      </c>
      <c r="Q1385" s="29" t="s">
        <v>1037</v>
      </c>
    </row>
    <row r="1386" spans="1:17" x14ac:dyDescent="0.3">
      <c r="A1386" s="29" t="s">
        <v>791</v>
      </c>
      <c r="B1386" s="29">
        <v>1</v>
      </c>
      <c r="C1386" s="29" t="s">
        <v>1050</v>
      </c>
      <c r="D1386" s="29" t="s">
        <v>1051</v>
      </c>
      <c r="E1386" s="29">
        <v>150</v>
      </c>
      <c r="G1386" s="29" t="s">
        <v>1035</v>
      </c>
      <c r="H1386" s="29">
        <v>1</v>
      </c>
      <c r="I1386" s="29">
        <v>2.95</v>
      </c>
      <c r="J1386" s="29">
        <v>0.4425</v>
      </c>
      <c r="K1386" s="29">
        <v>0.4425</v>
      </c>
      <c r="L1386" s="29" t="s">
        <v>1032</v>
      </c>
      <c r="M1386" s="29">
        <v>1</v>
      </c>
      <c r="N1386" s="29">
        <v>0.15</v>
      </c>
      <c r="O1386" s="29">
        <v>1</v>
      </c>
      <c r="P1386" s="29">
        <v>0.4425</v>
      </c>
      <c r="Q1386" s="29" t="s">
        <v>1033</v>
      </c>
    </row>
    <row r="1387" spans="1:17" x14ac:dyDescent="0.3">
      <c r="B1387" s="29">
        <v>2</v>
      </c>
      <c r="C1387" s="29" t="s">
        <v>1089</v>
      </c>
      <c r="D1387" s="29" t="s">
        <v>1100</v>
      </c>
      <c r="E1387" s="29">
        <v>300</v>
      </c>
      <c r="G1387" s="29" t="s">
        <v>1035</v>
      </c>
      <c r="H1387" s="29">
        <v>1</v>
      </c>
      <c r="I1387" s="29">
        <v>49.9</v>
      </c>
      <c r="J1387" s="29">
        <v>14.969999999999999</v>
      </c>
      <c r="K1387" s="29">
        <v>14.969999999999999</v>
      </c>
      <c r="L1387" s="29" t="s">
        <v>1032</v>
      </c>
      <c r="M1387" s="29">
        <v>1</v>
      </c>
      <c r="N1387" s="29">
        <v>0.3</v>
      </c>
      <c r="O1387" s="29">
        <v>1</v>
      </c>
      <c r="P1387" s="29">
        <v>14.969999999999999</v>
      </c>
      <c r="Q1387" s="29" t="s">
        <v>1033</v>
      </c>
    </row>
    <row r="1388" spans="1:17" x14ac:dyDescent="0.3">
      <c r="B1388" s="29">
        <v>3</v>
      </c>
      <c r="C1388" s="29" t="s">
        <v>1101</v>
      </c>
      <c r="D1388" s="29">
        <v>9</v>
      </c>
      <c r="E1388" s="29">
        <v>176.2</v>
      </c>
      <c r="F1388" s="29">
        <v>350</v>
      </c>
      <c r="G1388" s="29" t="s">
        <v>1035</v>
      </c>
      <c r="H1388" s="29">
        <v>1</v>
      </c>
      <c r="J1388" s="29">
        <v>4.3569854999999995</v>
      </c>
      <c r="K1388" s="29">
        <v>4.3569854999999995</v>
      </c>
      <c r="L1388" s="29" t="s">
        <v>1036</v>
      </c>
      <c r="M1388" s="29">
        <v>1</v>
      </c>
      <c r="O1388" s="29">
        <v>1</v>
      </c>
      <c r="P1388" s="29">
        <v>4.3569854999999995</v>
      </c>
      <c r="Q1388" s="29" t="s">
        <v>1037</v>
      </c>
    </row>
    <row r="1389" spans="1:17" x14ac:dyDescent="0.3">
      <c r="A1389" s="29" t="s">
        <v>792</v>
      </c>
      <c r="B1389" s="29">
        <v>1</v>
      </c>
      <c r="C1389" s="29" t="s">
        <v>1050</v>
      </c>
      <c r="D1389" s="29" t="s">
        <v>1051</v>
      </c>
      <c r="E1389" s="29">
        <v>150</v>
      </c>
      <c r="G1389" s="29" t="s">
        <v>1035</v>
      </c>
      <c r="H1389" s="29">
        <v>1</v>
      </c>
      <c r="I1389" s="29">
        <v>2.95</v>
      </c>
      <c r="J1389" s="29">
        <v>0.4425</v>
      </c>
      <c r="K1389" s="29">
        <v>0.4425</v>
      </c>
      <c r="L1389" s="29" t="s">
        <v>1032</v>
      </c>
      <c r="M1389" s="29">
        <v>1</v>
      </c>
      <c r="N1389" s="29">
        <v>0.15</v>
      </c>
      <c r="O1389" s="29">
        <v>1</v>
      </c>
      <c r="P1389" s="29">
        <v>0.4425</v>
      </c>
      <c r="Q1389" s="29" t="s">
        <v>1033</v>
      </c>
    </row>
    <row r="1390" spans="1:17" x14ac:dyDescent="0.3">
      <c r="B1390" s="29">
        <v>2</v>
      </c>
      <c r="C1390" s="29" t="s">
        <v>1089</v>
      </c>
      <c r="D1390" s="29" t="s">
        <v>1099</v>
      </c>
      <c r="E1390" s="29">
        <v>150</v>
      </c>
      <c r="G1390" s="29" t="s">
        <v>1035</v>
      </c>
      <c r="H1390" s="29">
        <v>1</v>
      </c>
      <c r="I1390" s="29">
        <v>20.9</v>
      </c>
      <c r="J1390" s="29">
        <v>3.1349999999999998</v>
      </c>
      <c r="K1390" s="29">
        <v>3.1349999999999998</v>
      </c>
      <c r="L1390" s="29" t="s">
        <v>1032</v>
      </c>
      <c r="M1390" s="29">
        <v>1</v>
      </c>
      <c r="N1390" s="29">
        <v>0.15</v>
      </c>
      <c r="O1390" s="29">
        <v>1</v>
      </c>
      <c r="P1390" s="29">
        <v>3.1349999999999998</v>
      </c>
      <c r="Q1390" s="29" t="s">
        <v>1033</v>
      </c>
    </row>
    <row r="1391" spans="1:17" x14ac:dyDescent="0.3">
      <c r="A1391" s="29" t="s">
        <v>792</v>
      </c>
      <c r="B1391" s="29">
        <v>1</v>
      </c>
      <c r="C1391" s="29" t="s">
        <v>1050</v>
      </c>
      <c r="D1391" s="29" t="s">
        <v>1051</v>
      </c>
      <c r="E1391" s="29">
        <v>150</v>
      </c>
      <c r="G1391" s="29" t="s">
        <v>1035</v>
      </c>
      <c r="H1391" s="29">
        <v>1</v>
      </c>
      <c r="I1391" s="29">
        <v>2.95</v>
      </c>
      <c r="J1391" s="29">
        <v>0.4425</v>
      </c>
      <c r="K1391" s="29">
        <v>0.4425</v>
      </c>
      <c r="L1391" s="29" t="s">
        <v>1032</v>
      </c>
      <c r="M1391" s="29">
        <v>1</v>
      </c>
      <c r="N1391" s="29">
        <v>0.15</v>
      </c>
      <c r="O1391" s="29">
        <v>1</v>
      </c>
      <c r="P1391" s="29">
        <v>0.4425</v>
      </c>
      <c r="Q1391" s="29" t="s">
        <v>1033</v>
      </c>
    </row>
    <row r="1392" spans="1:17" x14ac:dyDescent="0.3">
      <c r="B1392" s="29">
        <v>2</v>
      </c>
      <c r="C1392" s="29" t="s">
        <v>1089</v>
      </c>
      <c r="D1392" s="29" t="s">
        <v>1099</v>
      </c>
      <c r="E1392" s="29">
        <v>150</v>
      </c>
      <c r="G1392" s="29" t="s">
        <v>1035</v>
      </c>
      <c r="H1392" s="29">
        <v>1</v>
      </c>
      <c r="I1392" s="29">
        <v>20.9</v>
      </c>
      <c r="J1392" s="29">
        <v>3.1349999999999998</v>
      </c>
      <c r="K1392" s="29">
        <v>3.1349999999999998</v>
      </c>
      <c r="L1392" s="29" t="s">
        <v>1032</v>
      </c>
      <c r="M1392" s="29">
        <v>1</v>
      </c>
      <c r="N1392" s="29">
        <v>0.15</v>
      </c>
      <c r="O1392" s="29">
        <v>1</v>
      </c>
      <c r="P1392" s="29">
        <v>3.1349999999999998</v>
      </c>
      <c r="Q1392" s="29" t="s">
        <v>1033</v>
      </c>
    </row>
    <row r="1393" spans="1:17" x14ac:dyDescent="0.3">
      <c r="A1393" s="29" t="s">
        <v>792</v>
      </c>
      <c r="B1393" s="29">
        <v>1</v>
      </c>
      <c r="C1393" s="29" t="s">
        <v>1050</v>
      </c>
      <c r="D1393" s="29" t="s">
        <v>1051</v>
      </c>
      <c r="E1393" s="29">
        <v>150</v>
      </c>
      <c r="G1393" s="29" t="s">
        <v>1035</v>
      </c>
      <c r="H1393" s="29">
        <v>1</v>
      </c>
      <c r="I1393" s="29">
        <v>2.95</v>
      </c>
      <c r="J1393" s="29">
        <v>0.4425</v>
      </c>
      <c r="K1393" s="29">
        <v>0.4425</v>
      </c>
      <c r="L1393" s="29" t="s">
        <v>1032</v>
      </c>
      <c r="M1393" s="29">
        <v>1</v>
      </c>
      <c r="N1393" s="29">
        <v>0.15</v>
      </c>
      <c r="O1393" s="29">
        <v>1</v>
      </c>
      <c r="P1393" s="29">
        <v>0.4425</v>
      </c>
      <c r="Q1393" s="29" t="s">
        <v>1033</v>
      </c>
    </row>
    <row r="1394" spans="1:17" x14ac:dyDescent="0.3">
      <c r="B1394" s="29">
        <v>2</v>
      </c>
      <c r="C1394" s="29" t="s">
        <v>1089</v>
      </c>
      <c r="D1394" s="29" t="s">
        <v>1099</v>
      </c>
      <c r="E1394" s="29">
        <v>150</v>
      </c>
      <c r="G1394" s="29" t="s">
        <v>1035</v>
      </c>
      <c r="H1394" s="29">
        <v>1</v>
      </c>
      <c r="I1394" s="29">
        <v>20.9</v>
      </c>
      <c r="J1394" s="29">
        <v>3.1349999999999998</v>
      </c>
      <c r="K1394" s="29">
        <v>3.1349999999999998</v>
      </c>
      <c r="L1394" s="29" t="s">
        <v>1032</v>
      </c>
      <c r="M1394" s="29">
        <v>1</v>
      </c>
      <c r="N1394" s="29">
        <v>0.15</v>
      </c>
      <c r="O1394" s="29">
        <v>1</v>
      </c>
      <c r="P1394" s="29">
        <v>3.1349999999999998</v>
      </c>
      <c r="Q1394" s="29" t="s">
        <v>1033</v>
      </c>
    </row>
    <row r="1395" spans="1:17" x14ac:dyDescent="0.3">
      <c r="A1395" s="29" t="s">
        <v>792</v>
      </c>
      <c r="B1395" s="29">
        <v>1</v>
      </c>
      <c r="C1395" s="29" t="s">
        <v>1050</v>
      </c>
      <c r="D1395" s="29" t="s">
        <v>1051</v>
      </c>
      <c r="E1395" s="29">
        <v>150</v>
      </c>
      <c r="G1395" s="29" t="s">
        <v>1035</v>
      </c>
      <c r="H1395" s="29">
        <v>1</v>
      </c>
      <c r="I1395" s="29">
        <v>2.95</v>
      </c>
      <c r="J1395" s="29">
        <v>0.4425</v>
      </c>
      <c r="K1395" s="29">
        <v>0.4425</v>
      </c>
      <c r="L1395" s="29" t="s">
        <v>1032</v>
      </c>
      <c r="M1395" s="29">
        <v>1</v>
      </c>
      <c r="N1395" s="29">
        <v>0.15</v>
      </c>
      <c r="O1395" s="29">
        <v>1</v>
      </c>
      <c r="P1395" s="29">
        <v>0.4425</v>
      </c>
      <c r="Q1395" s="29" t="s">
        <v>1033</v>
      </c>
    </row>
    <row r="1396" spans="1:17" x14ac:dyDescent="0.3">
      <c r="B1396" s="29">
        <v>2</v>
      </c>
      <c r="C1396" s="29" t="s">
        <v>1089</v>
      </c>
      <c r="D1396" s="29" t="s">
        <v>1099</v>
      </c>
      <c r="E1396" s="29">
        <v>150</v>
      </c>
      <c r="G1396" s="29" t="s">
        <v>1035</v>
      </c>
      <c r="H1396" s="29">
        <v>1</v>
      </c>
      <c r="I1396" s="29">
        <v>20.9</v>
      </c>
      <c r="J1396" s="29">
        <v>3.1349999999999998</v>
      </c>
      <c r="K1396" s="29">
        <v>3.1349999999999998</v>
      </c>
      <c r="L1396" s="29" t="s">
        <v>1032</v>
      </c>
      <c r="M1396" s="29">
        <v>1</v>
      </c>
      <c r="N1396" s="29">
        <v>0.15</v>
      </c>
      <c r="O1396" s="29">
        <v>1</v>
      </c>
      <c r="P1396" s="29">
        <v>3.1349999999999998</v>
      </c>
      <c r="Q1396" s="29" t="s">
        <v>1033</v>
      </c>
    </row>
    <row r="1397" spans="1:17" x14ac:dyDescent="0.3">
      <c r="A1397" s="29" t="s">
        <v>792</v>
      </c>
      <c r="B1397" s="29">
        <v>1</v>
      </c>
      <c r="C1397" s="29" t="s">
        <v>1050</v>
      </c>
      <c r="D1397" s="29" t="s">
        <v>1051</v>
      </c>
      <c r="E1397" s="29">
        <v>150</v>
      </c>
      <c r="G1397" s="29" t="s">
        <v>1035</v>
      </c>
      <c r="H1397" s="29">
        <v>1</v>
      </c>
      <c r="I1397" s="29">
        <v>2.95</v>
      </c>
      <c r="J1397" s="29">
        <v>0.4425</v>
      </c>
      <c r="K1397" s="29">
        <v>0.4425</v>
      </c>
      <c r="L1397" s="29" t="s">
        <v>1032</v>
      </c>
      <c r="M1397" s="29">
        <v>1</v>
      </c>
      <c r="N1397" s="29">
        <v>0.15</v>
      </c>
      <c r="O1397" s="29">
        <v>1</v>
      </c>
      <c r="P1397" s="29">
        <v>0.4425</v>
      </c>
      <c r="Q1397" s="29" t="s">
        <v>1033</v>
      </c>
    </row>
    <row r="1398" spans="1:17" x14ac:dyDescent="0.3">
      <c r="B1398" s="29">
        <v>2</v>
      </c>
      <c r="C1398" s="29" t="s">
        <v>1089</v>
      </c>
      <c r="D1398" s="29" t="s">
        <v>1099</v>
      </c>
      <c r="E1398" s="29">
        <v>150</v>
      </c>
      <c r="G1398" s="29" t="s">
        <v>1035</v>
      </c>
      <c r="H1398" s="29">
        <v>1</v>
      </c>
      <c r="I1398" s="29">
        <v>20.9</v>
      </c>
      <c r="J1398" s="29">
        <v>3.1349999999999998</v>
      </c>
      <c r="K1398" s="29">
        <v>3.1349999999999998</v>
      </c>
      <c r="L1398" s="29" t="s">
        <v>1032</v>
      </c>
      <c r="M1398" s="29">
        <v>1</v>
      </c>
      <c r="N1398" s="29">
        <v>0.15</v>
      </c>
      <c r="O1398" s="29">
        <v>1</v>
      </c>
      <c r="P1398" s="29">
        <v>3.1349999999999998</v>
      </c>
      <c r="Q1398" s="29" t="s">
        <v>1033</v>
      </c>
    </row>
    <row r="1399" spans="1:17" x14ac:dyDescent="0.3">
      <c r="A1399" s="29" t="s">
        <v>792</v>
      </c>
      <c r="B1399" s="29">
        <v>1</v>
      </c>
      <c r="C1399" s="29" t="s">
        <v>1050</v>
      </c>
      <c r="D1399" s="29" t="s">
        <v>1051</v>
      </c>
      <c r="E1399" s="29">
        <v>150</v>
      </c>
      <c r="G1399" s="29" t="s">
        <v>1035</v>
      </c>
      <c r="H1399" s="29">
        <v>1</v>
      </c>
      <c r="I1399" s="29">
        <v>2.95</v>
      </c>
      <c r="J1399" s="29">
        <v>0.4425</v>
      </c>
      <c r="K1399" s="29">
        <v>0.4425</v>
      </c>
      <c r="L1399" s="29" t="s">
        <v>1032</v>
      </c>
      <c r="M1399" s="29">
        <v>1</v>
      </c>
      <c r="N1399" s="29">
        <v>0.15</v>
      </c>
      <c r="O1399" s="29">
        <v>1</v>
      </c>
      <c r="P1399" s="29">
        <v>0.4425</v>
      </c>
      <c r="Q1399" s="29" t="s">
        <v>1033</v>
      </c>
    </row>
    <row r="1400" spans="1:17" x14ac:dyDescent="0.3">
      <c r="B1400" s="29">
        <v>2</v>
      </c>
      <c r="C1400" s="29" t="s">
        <v>1089</v>
      </c>
      <c r="D1400" s="29" t="s">
        <v>1099</v>
      </c>
      <c r="E1400" s="29">
        <v>150</v>
      </c>
      <c r="G1400" s="29" t="s">
        <v>1035</v>
      </c>
      <c r="H1400" s="29">
        <v>1</v>
      </c>
      <c r="I1400" s="29">
        <v>20.9</v>
      </c>
      <c r="J1400" s="29">
        <v>3.1349999999999998</v>
      </c>
      <c r="K1400" s="29">
        <v>3.1349999999999998</v>
      </c>
      <c r="L1400" s="29" t="s">
        <v>1032</v>
      </c>
      <c r="M1400" s="29">
        <v>1</v>
      </c>
      <c r="N1400" s="29">
        <v>0.15</v>
      </c>
      <c r="O1400" s="29">
        <v>1</v>
      </c>
      <c r="P1400" s="29">
        <v>3.1349999999999998</v>
      </c>
      <c r="Q1400" s="29" t="s">
        <v>1033</v>
      </c>
    </row>
    <row r="1401" spans="1:17" x14ac:dyDescent="0.3">
      <c r="A1401" s="29" t="s">
        <v>792</v>
      </c>
      <c r="B1401" s="29">
        <v>1</v>
      </c>
      <c r="C1401" s="29" t="s">
        <v>1050</v>
      </c>
      <c r="D1401" s="29" t="s">
        <v>1051</v>
      </c>
      <c r="E1401" s="29">
        <v>150</v>
      </c>
      <c r="G1401" s="29" t="s">
        <v>1035</v>
      </c>
      <c r="H1401" s="29">
        <v>1</v>
      </c>
      <c r="I1401" s="29">
        <v>2.95</v>
      </c>
      <c r="J1401" s="29">
        <v>0.4425</v>
      </c>
      <c r="K1401" s="29">
        <v>0.4425</v>
      </c>
      <c r="L1401" s="29" t="s">
        <v>1032</v>
      </c>
      <c r="M1401" s="29">
        <v>1</v>
      </c>
      <c r="N1401" s="29">
        <v>0.15</v>
      </c>
      <c r="O1401" s="29">
        <v>1</v>
      </c>
      <c r="P1401" s="29">
        <v>0.4425</v>
      </c>
      <c r="Q1401" s="29" t="s">
        <v>1033</v>
      </c>
    </row>
    <row r="1402" spans="1:17" x14ac:dyDescent="0.3">
      <c r="B1402" s="29">
        <v>2</v>
      </c>
      <c r="C1402" s="29" t="s">
        <v>1089</v>
      </c>
      <c r="D1402" s="29" t="s">
        <v>1099</v>
      </c>
      <c r="E1402" s="29">
        <v>150</v>
      </c>
      <c r="G1402" s="29" t="s">
        <v>1035</v>
      </c>
      <c r="H1402" s="29">
        <v>1</v>
      </c>
      <c r="I1402" s="29">
        <v>20.9</v>
      </c>
      <c r="J1402" s="29">
        <v>3.1349999999999998</v>
      </c>
      <c r="K1402" s="29">
        <v>3.1349999999999998</v>
      </c>
      <c r="L1402" s="29" t="s">
        <v>1032</v>
      </c>
      <c r="M1402" s="29">
        <v>1</v>
      </c>
      <c r="N1402" s="29">
        <v>0.15</v>
      </c>
      <c r="O1402" s="29">
        <v>1</v>
      </c>
      <c r="P1402" s="29">
        <v>3.1349999999999998</v>
      </c>
      <c r="Q1402" s="29" t="s">
        <v>1033</v>
      </c>
    </row>
    <row r="1403" spans="1:17" x14ac:dyDescent="0.3">
      <c r="A1403" s="29" t="s">
        <v>792</v>
      </c>
      <c r="B1403" s="29">
        <v>1</v>
      </c>
      <c r="C1403" s="29" t="s">
        <v>1050</v>
      </c>
      <c r="D1403" s="29" t="s">
        <v>1051</v>
      </c>
      <c r="E1403" s="29">
        <v>150</v>
      </c>
      <c r="G1403" s="29" t="s">
        <v>1035</v>
      </c>
      <c r="H1403" s="29">
        <v>1</v>
      </c>
      <c r="I1403" s="29">
        <v>2.95</v>
      </c>
      <c r="J1403" s="29">
        <v>0.4425</v>
      </c>
      <c r="K1403" s="29">
        <v>0.4425</v>
      </c>
      <c r="L1403" s="29" t="s">
        <v>1032</v>
      </c>
      <c r="M1403" s="29">
        <v>1</v>
      </c>
      <c r="N1403" s="29">
        <v>0.15</v>
      </c>
      <c r="O1403" s="29">
        <v>1</v>
      </c>
      <c r="P1403" s="29">
        <v>0.4425</v>
      </c>
      <c r="Q1403" s="29" t="s">
        <v>1033</v>
      </c>
    </row>
    <row r="1404" spans="1:17" x14ac:dyDescent="0.3">
      <c r="B1404" s="29">
        <v>2</v>
      </c>
      <c r="C1404" s="29" t="s">
        <v>1089</v>
      </c>
      <c r="D1404" s="29" t="s">
        <v>1099</v>
      </c>
      <c r="E1404" s="29">
        <v>150</v>
      </c>
      <c r="G1404" s="29" t="s">
        <v>1035</v>
      </c>
      <c r="H1404" s="29">
        <v>1</v>
      </c>
      <c r="I1404" s="29">
        <v>20.9</v>
      </c>
      <c r="J1404" s="29">
        <v>3.1349999999999998</v>
      </c>
      <c r="K1404" s="29">
        <v>3.1349999999999998</v>
      </c>
      <c r="L1404" s="29" t="s">
        <v>1032</v>
      </c>
      <c r="M1404" s="29">
        <v>1</v>
      </c>
      <c r="N1404" s="29">
        <v>0.15</v>
      </c>
      <c r="O1404" s="29">
        <v>1</v>
      </c>
      <c r="P1404" s="29">
        <v>3.1349999999999998</v>
      </c>
      <c r="Q1404" s="29" t="s">
        <v>1033</v>
      </c>
    </row>
    <row r="1405" spans="1:17" x14ac:dyDescent="0.3">
      <c r="A1405" s="29" t="s">
        <v>792</v>
      </c>
      <c r="B1405" s="29">
        <v>1</v>
      </c>
      <c r="C1405" s="29" t="s">
        <v>1050</v>
      </c>
      <c r="D1405" s="29" t="s">
        <v>1051</v>
      </c>
      <c r="E1405" s="29">
        <v>150</v>
      </c>
      <c r="G1405" s="29" t="s">
        <v>1035</v>
      </c>
      <c r="H1405" s="29">
        <v>1</v>
      </c>
      <c r="I1405" s="29">
        <v>2.95</v>
      </c>
      <c r="J1405" s="29">
        <v>0.4425</v>
      </c>
      <c r="K1405" s="29">
        <v>0.4425</v>
      </c>
      <c r="L1405" s="29" t="s">
        <v>1032</v>
      </c>
      <c r="M1405" s="29">
        <v>1</v>
      </c>
      <c r="N1405" s="29">
        <v>0.15</v>
      </c>
      <c r="O1405" s="29">
        <v>1</v>
      </c>
      <c r="P1405" s="29">
        <v>0.4425</v>
      </c>
      <c r="Q1405" s="29" t="s">
        <v>1033</v>
      </c>
    </row>
    <row r="1406" spans="1:17" x14ac:dyDescent="0.3">
      <c r="B1406" s="29">
        <v>2</v>
      </c>
      <c r="C1406" s="29" t="s">
        <v>1089</v>
      </c>
      <c r="D1406" s="29" t="s">
        <v>1099</v>
      </c>
      <c r="E1406" s="29">
        <v>150</v>
      </c>
      <c r="G1406" s="29" t="s">
        <v>1035</v>
      </c>
      <c r="H1406" s="29">
        <v>1</v>
      </c>
      <c r="I1406" s="29">
        <v>20.9</v>
      </c>
      <c r="J1406" s="29">
        <v>3.1349999999999998</v>
      </c>
      <c r="K1406" s="29">
        <v>3.1349999999999998</v>
      </c>
      <c r="L1406" s="29" t="s">
        <v>1032</v>
      </c>
      <c r="M1406" s="29">
        <v>1</v>
      </c>
      <c r="N1406" s="29">
        <v>0.15</v>
      </c>
      <c r="O1406" s="29">
        <v>1</v>
      </c>
      <c r="P1406" s="29">
        <v>3.1349999999999998</v>
      </c>
      <c r="Q1406" s="29" t="s">
        <v>1033</v>
      </c>
    </row>
    <row r="1407" spans="1:17" x14ac:dyDescent="0.3">
      <c r="A1407" s="29" t="s">
        <v>792</v>
      </c>
      <c r="B1407" s="29">
        <v>1</v>
      </c>
      <c r="C1407" s="29" t="s">
        <v>1050</v>
      </c>
      <c r="D1407" s="29" t="s">
        <v>1051</v>
      </c>
      <c r="E1407" s="29">
        <v>150</v>
      </c>
      <c r="G1407" s="29" t="s">
        <v>1035</v>
      </c>
      <c r="H1407" s="29">
        <v>1</v>
      </c>
      <c r="I1407" s="29">
        <v>2.95</v>
      </c>
      <c r="J1407" s="29">
        <v>0.4425</v>
      </c>
      <c r="K1407" s="29">
        <v>0.4425</v>
      </c>
      <c r="L1407" s="29" t="s">
        <v>1032</v>
      </c>
      <c r="M1407" s="29">
        <v>1</v>
      </c>
      <c r="N1407" s="29">
        <v>0.15</v>
      </c>
      <c r="O1407" s="29">
        <v>1</v>
      </c>
      <c r="P1407" s="29">
        <v>0.4425</v>
      </c>
      <c r="Q1407" s="29" t="s">
        <v>1033</v>
      </c>
    </row>
    <row r="1408" spans="1:17" x14ac:dyDescent="0.3">
      <c r="B1408" s="29">
        <v>2</v>
      </c>
      <c r="C1408" s="29" t="s">
        <v>1089</v>
      </c>
      <c r="D1408" s="29" t="s">
        <v>1099</v>
      </c>
      <c r="E1408" s="29">
        <v>150</v>
      </c>
      <c r="G1408" s="29" t="s">
        <v>1035</v>
      </c>
      <c r="H1408" s="29">
        <v>1</v>
      </c>
      <c r="I1408" s="29">
        <v>20.9</v>
      </c>
      <c r="J1408" s="29">
        <v>3.1349999999999998</v>
      </c>
      <c r="K1408" s="29">
        <v>3.1349999999999998</v>
      </c>
      <c r="L1408" s="29" t="s">
        <v>1032</v>
      </c>
      <c r="M1408" s="29">
        <v>1</v>
      </c>
      <c r="N1408" s="29">
        <v>0.15</v>
      </c>
      <c r="O1408" s="29">
        <v>1</v>
      </c>
      <c r="P1408" s="29">
        <v>3.1349999999999998</v>
      </c>
      <c r="Q1408" s="29" t="s">
        <v>1033</v>
      </c>
    </row>
    <row r="1409" spans="1:17" x14ac:dyDescent="0.3">
      <c r="A1409" s="29" t="s">
        <v>793</v>
      </c>
      <c r="B1409" s="29">
        <v>1</v>
      </c>
      <c r="C1409" s="29" t="s">
        <v>1050</v>
      </c>
      <c r="D1409" s="29" t="s">
        <v>1051</v>
      </c>
      <c r="E1409" s="29">
        <v>150</v>
      </c>
      <c r="G1409" s="29" t="s">
        <v>1035</v>
      </c>
      <c r="H1409" s="29">
        <v>1</v>
      </c>
      <c r="I1409" s="29">
        <v>2.95</v>
      </c>
      <c r="J1409" s="29">
        <v>0.4425</v>
      </c>
      <c r="K1409" s="29">
        <v>0.4425</v>
      </c>
      <c r="L1409" s="29" t="s">
        <v>1032</v>
      </c>
      <c r="M1409" s="29">
        <v>1</v>
      </c>
      <c r="N1409" s="29">
        <v>0.15</v>
      </c>
      <c r="O1409" s="29">
        <v>1</v>
      </c>
      <c r="P1409" s="29">
        <v>0.4425</v>
      </c>
      <c r="Q1409" s="29" t="s">
        <v>1033</v>
      </c>
    </row>
    <row r="1410" spans="1:17" x14ac:dyDescent="0.3">
      <c r="B1410" s="29">
        <v>2</v>
      </c>
      <c r="C1410" s="29" t="s">
        <v>1089</v>
      </c>
      <c r="D1410" s="29" t="s">
        <v>1099</v>
      </c>
      <c r="E1410" s="29">
        <v>100</v>
      </c>
      <c r="G1410" s="29" t="s">
        <v>1035</v>
      </c>
      <c r="H1410" s="29">
        <v>1</v>
      </c>
      <c r="I1410" s="29">
        <v>20.9</v>
      </c>
      <c r="J1410" s="29">
        <v>2.09</v>
      </c>
      <c r="K1410" s="29">
        <v>2.09</v>
      </c>
      <c r="L1410" s="29" t="s">
        <v>1032</v>
      </c>
      <c r="M1410" s="29">
        <v>1</v>
      </c>
      <c r="N1410" s="29">
        <v>0.1</v>
      </c>
      <c r="O1410" s="29">
        <v>1</v>
      </c>
      <c r="P1410" s="29">
        <v>2.09</v>
      </c>
      <c r="Q1410" s="29" t="s">
        <v>1033</v>
      </c>
    </row>
    <row r="1411" spans="1:17" x14ac:dyDescent="0.3">
      <c r="A1411" s="29" t="s">
        <v>794</v>
      </c>
      <c r="B1411" s="29">
        <v>1</v>
      </c>
      <c r="C1411" s="29" t="s">
        <v>1050</v>
      </c>
      <c r="D1411" s="29" t="s">
        <v>1051</v>
      </c>
      <c r="E1411" s="29">
        <v>150</v>
      </c>
      <c r="G1411" s="29" t="s">
        <v>1035</v>
      </c>
      <c r="H1411" s="29">
        <v>1</v>
      </c>
      <c r="I1411" s="29">
        <v>2.95</v>
      </c>
      <c r="J1411" s="29">
        <v>0.4425</v>
      </c>
      <c r="K1411" s="29">
        <v>0.4425</v>
      </c>
      <c r="L1411" s="29" t="s">
        <v>1032</v>
      </c>
      <c r="M1411" s="29">
        <v>1</v>
      </c>
      <c r="N1411" s="29">
        <v>0.15</v>
      </c>
      <c r="O1411" s="29">
        <v>1</v>
      </c>
      <c r="P1411" s="29">
        <v>0.4425</v>
      </c>
      <c r="Q1411" s="29" t="s">
        <v>1033</v>
      </c>
    </row>
    <row r="1412" spans="1:17" x14ac:dyDescent="0.3">
      <c r="B1412" s="29">
        <v>2</v>
      </c>
      <c r="C1412" s="29" t="s">
        <v>1089</v>
      </c>
      <c r="D1412" s="29" t="s">
        <v>1099</v>
      </c>
      <c r="E1412" s="29">
        <v>150</v>
      </c>
      <c r="G1412" s="29" t="s">
        <v>1035</v>
      </c>
      <c r="H1412" s="29">
        <v>1</v>
      </c>
      <c r="I1412" s="29">
        <v>20.9</v>
      </c>
      <c r="J1412" s="29">
        <v>3.1349999999999998</v>
      </c>
      <c r="K1412" s="29">
        <v>3.1349999999999998</v>
      </c>
      <c r="L1412" s="29" t="s">
        <v>1032</v>
      </c>
      <c r="M1412" s="29">
        <v>1</v>
      </c>
      <c r="N1412" s="29">
        <v>0.15</v>
      </c>
      <c r="O1412" s="29">
        <v>1</v>
      </c>
      <c r="P1412" s="29">
        <v>3.1349999999999998</v>
      </c>
      <c r="Q1412" s="29" t="s">
        <v>1033</v>
      </c>
    </row>
    <row r="1413" spans="1:17" x14ac:dyDescent="0.3">
      <c r="A1413" s="29" t="s">
        <v>795</v>
      </c>
      <c r="B1413" s="29">
        <v>1</v>
      </c>
      <c r="C1413" s="29" t="s">
        <v>1050</v>
      </c>
      <c r="D1413" s="29" t="s">
        <v>1051</v>
      </c>
      <c r="E1413" s="29">
        <v>150</v>
      </c>
      <c r="G1413" s="29" t="s">
        <v>1035</v>
      </c>
      <c r="H1413" s="29">
        <v>1</v>
      </c>
      <c r="I1413" s="29">
        <v>2.95</v>
      </c>
      <c r="J1413" s="29">
        <v>0.4425</v>
      </c>
      <c r="K1413" s="29">
        <v>0.4425</v>
      </c>
      <c r="L1413" s="29" t="s">
        <v>1032</v>
      </c>
      <c r="M1413" s="29">
        <v>1</v>
      </c>
      <c r="N1413" s="29">
        <v>0.15</v>
      </c>
      <c r="O1413" s="29">
        <v>1</v>
      </c>
      <c r="P1413" s="29">
        <v>0.4425</v>
      </c>
      <c r="Q1413" s="29" t="s">
        <v>1033</v>
      </c>
    </row>
    <row r="1414" spans="1:17" x14ac:dyDescent="0.3">
      <c r="B1414" s="29">
        <v>2</v>
      </c>
      <c r="C1414" s="29" t="s">
        <v>1089</v>
      </c>
      <c r="D1414" s="29" t="s">
        <v>1099</v>
      </c>
      <c r="E1414" s="29">
        <v>150</v>
      </c>
      <c r="G1414" s="29" t="s">
        <v>1035</v>
      </c>
      <c r="H1414" s="29">
        <v>1</v>
      </c>
      <c r="I1414" s="29">
        <v>20.9</v>
      </c>
      <c r="J1414" s="29">
        <v>3.1349999999999998</v>
      </c>
      <c r="K1414" s="29">
        <v>3.1349999999999998</v>
      </c>
      <c r="L1414" s="29" t="s">
        <v>1032</v>
      </c>
      <c r="M1414" s="29">
        <v>1</v>
      </c>
      <c r="N1414" s="29">
        <v>0.15</v>
      </c>
      <c r="O1414" s="29">
        <v>1</v>
      </c>
      <c r="P1414" s="29">
        <v>3.1349999999999998</v>
      </c>
      <c r="Q1414" s="29" t="s">
        <v>1033</v>
      </c>
    </row>
    <row r="1415" spans="1:17" x14ac:dyDescent="0.3">
      <c r="A1415" s="29" t="s">
        <v>796</v>
      </c>
      <c r="B1415" s="29">
        <v>1</v>
      </c>
      <c r="C1415" s="29" t="s">
        <v>1050</v>
      </c>
      <c r="D1415" s="29" t="s">
        <v>1051</v>
      </c>
      <c r="E1415" s="29">
        <v>150</v>
      </c>
      <c r="G1415" s="29" t="s">
        <v>1035</v>
      </c>
      <c r="H1415" s="29">
        <v>1</v>
      </c>
      <c r="I1415" s="29">
        <v>2.95</v>
      </c>
      <c r="J1415" s="29">
        <v>0.4425</v>
      </c>
      <c r="K1415" s="29">
        <v>0.4425</v>
      </c>
      <c r="L1415" s="29" t="s">
        <v>1032</v>
      </c>
      <c r="M1415" s="29">
        <v>1</v>
      </c>
      <c r="N1415" s="29">
        <v>0.15</v>
      </c>
      <c r="O1415" s="29">
        <v>1</v>
      </c>
      <c r="P1415" s="29">
        <v>0.4425</v>
      </c>
      <c r="Q1415" s="29" t="s">
        <v>1033</v>
      </c>
    </row>
    <row r="1416" spans="1:17" x14ac:dyDescent="0.3">
      <c r="B1416" s="29">
        <v>2</v>
      </c>
      <c r="C1416" s="29" t="s">
        <v>1089</v>
      </c>
      <c r="D1416" s="29" t="s">
        <v>1099</v>
      </c>
      <c r="E1416" s="29">
        <v>150</v>
      </c>
      <c r="G1416" s="29" t="s">
        <v>1035</v>
      </c>
      <c r="H1416" s="29">
        <v>1</v>
      </c>
      <c r="I1416" s="29">
        <v>20.9</v>
      </c>
      <c r="J1416" s="29">
        <v>3.1349999999999998</v>
      </c>
      <c r="K1416" s="29">
        <v>3.1349999999999998</v>
      </c>
      <c r="L1416" s="29" t="s">
        <v>1032</v>
      </c>
      <c r="M1416" s="29">
        <v>1</v>
      </c>
      <c r="N1416" s="29">
        <v>0.15</v>
      </c>
      <c r="O1416" s="29">
        <v>1</v>
      </c>
      <c r="P1416" s="29">
        <v>3.1349999999999998</v>
      </c>
      <c r="Q1416" s="29" t="s">
        <v>1033</v>
      </c>
    </row>
    <row r="1417" spans="1:17" x14ac:dyDescent="0.3">
      <c r="A1417" s="29" t="s">
        <v>797</v>
      </c>
      <c r="B1417" s="29">
        <v>1</v>
      </c>
      <c r="C1417" s="29" t="s">
        <v>1050</v>
      </c>
      <c r="D1417" s="29" t="s">
        <v>1051</v>
      </c>
      <c r="E1417" s="29">
        <v>150</v>
      </c>
      <c r="G1417" s="29" t="s">
        <v>1031</v>
      </c>
      <c r="H1417" s="29">
        <v>1</v>
      </c>
      <c r="I1417" s="29">
        <v>2.95</v>
      </c>
      <c r="J1417" s="29">
        <v>0.4425</v>
      </c>
      <c r="K1417" s="29">
        <v>0.4425</v>
      </c>
      <c r="L1417" s="29" t="s">
        <v>1032</v>
      </c>
      <c r="M1417" s="29">
        <v>1</v>
      </c>
      <c r="N1417" s="29">
        <v>0.15</v>
      </c>
      <c r="O1417" s="29">
        <v>1</v>
      </c>
      <c r="P1417" s="29">
        <v>0.4425</v>
      </c>
      <c r="Q1417" s="29" t="s">
        <v>1033</v>
      </c>
    </row>
    <row r="1418" spans="1:17" x14ac:dyDescent="0.3">
      <c r="B1418" s="29">
        <v>2</v>
      </c>
      <c r="C1418" s="29" t="s">
        <v>1089</v>
      </c>
      <c r="D1418" s="29" t="s">
        <v>1099</v>
      </c>
      <c r="E1418" s="29">
        <v>150</v>
      </c>
      <c r="G1418" s="29" t="s">
        <v>1031</v>
      </c>
      <c r="H1418" s="29">
        <v>1</v>
      </c>
      <c r="I1418" s="29">
        <v>20.9</v>
      </c>
      <c r="J1418" s="29">
        <v>3.1349999999999998</v>
      </c>
      <c r="K1418" s="29">
        <v>3.1349999999999998</v>
      </c>
      <c r="L1418" s="29" t="s">
        <v>1032</v>
      </c>
      <c r="M1418" s="29">
        <v>1</v>
      </c>
      <c r="N1418" s="29">
        <v>0.15</v>
      </c>
      <c r="O1418" s="29">
        <v>1</v>
      </c>
      <c r="P1418" s="29">
        <v>3.1349999999999998</v>
      </c>
      <c r="Q1418" s="29" t="s">
        <v>1033</v>
      </c>
    </row>
    <row r="1419" spans="1:17" x14ac:dyDescent="0.3">
      <c r="A1419" s="29" t="s">
        <v>797</v>
      </c>
      <c r="B1419" s="29">
        <v>1</v>
      </c>
      <c r="C1419" s="29" t="s">
        <v>1050</v>
      </c>
      <c r="D1419" s="29" t="s">
        <v>1051</v>
      </c>
      <c r="E1419" s="29">
        <v>150</v>
      </c>
      <c r="G1419" s="29" t="s">
        <v>1031</v>
      </c>
      <c r="H1419" s="29">
        <v>1</v>
      </c>
      <c r="I1419" s="29">
        <v>2.95</v>
      </c>
      <c r="J1419" s="29">
        <v>0.4425</v>
      </c>
      <c r="K1419" s="29">
        <v>0.4425</v>
      </c>
      <c r="L1419" s="29" t="s">
        <v>1032</v>
      </c>
      <c r="M1419" s="29">
        <v>1</v>
      </c>
      <c r="N1419" s="29">
        <v>0.15</v>
      </c>
      <c r="O1419" s="29">
        <v>1</v>
      </c>
      <c r="P1419" s="29">
        <v>0.4425</v>
      </c>
      <c r="Q1419" s="29" t="s">
        <v>1033</v>
      </c>
    </row>
    <row r="1420" spans="1:17" x14ac:dyDescent="0.3">
      <c r="B1420" s="29">
        <v>2</v>
      </c>
      <c r="C1420" s="29" t="s">
        <v>1089</v>
      </c>
      <c r="D1420" s="29" t="s">
        <v>1099</v>
      </c>
      <c r="E1420" s="29">
        <v>150</v>
      </c>
      <c r="G1420" s="29" t="s">
        <v>1031</v>
      </c>
      <c r="H1420" s="29">
        <v>1</v>
      </c>
      <c r="I1420" s="29">
        <v>20.9</v>
      </c>
      <c r="J1420" s="29">
        <v>3.1349999999999998</v>
      </c>
      <c r="K1420" s="29">
        <v>3.1349999999999998</v>
      </c>
      <c r="L1420" s="29" t="s">
        <v>1032</v>
      </c>
      <c r="M1420" s="29">
        <v>1</v>
      </c>
      <c r="N1420" s="29">
        <v>0.15</v>
      </c>
      <c r="O1420" s="29">
        <v>1</v>
      </c>
      <c r="P1420" s="29">
        <v>3.1349999999999998</v>
      </c>
      <c r="Q1420" s="29" t="s">
        <v>1033</v>
      </c>
    </row>
    <row r="1421" spans="1:17" x14ac:dyDescent="0.3">
      <c r="A1421" s="29" t="s">
        <v>797</v>
      </c>
      <c r="B1421" s="29">
        <v>1</v>
      </c>
      <c r="C1421" s="29" t="s">
        <v>1050</v>
      </c>
      <c r="D1421" s="29" t="s">
        <v>1051</v>
      </c>
      <c r="E1421" s="29">
        <v>150</v>
      </c>
      <c r="G1421" s="29" t="s">
        <v>1031</v>
      </c>
      <c r="H1421" s="29">
        <v>1</v>
      </c>
      <c r="I1421" s="29">
        <v>2.95</v>
      </c>
      <c r="J1421" s="29">
        <v>0.4425</v>
      </c>
      <c r="K1421" s="29">
        <v>0.4425</v>
      </c>
      <c r="L1421" s="29" t="s">
        <v>1032</v>
      </c>
      <c r="M1421" s="29">
        <v>1</v>
      </c>
      <c r="N1421" s="29">
        <v>0.15</v>
      </c>
      <c r="O1421" s="29">
        <v>1</v>
      </c>
      <c r="P1421" s="29">
        <v>0.4425</v>
      </c>
      <c r="Q1421" s="29" t="s">
        <v>1033</v>
      </c>
    </row>
    <row r="1422" spans="1:17" x14ac:dyDescent="0.3">
      <c r="B1422" s="29">
        <v>2</v>
      </c>
      <c r="C1422" s="29" t="s">
        <v>1089</v>
      </c>
      <c r="D1422" s="29" t="s">
        <v>1099</v>
      </c>
      <c r="E1422" s="29">
        <v>150</v>
      </c>
      <c r="G1422" s="29" t="s">
        <v>1031</v>
      </c>
      <c r="H1422" s="29">
        <v>1</v>
      </c>
      <c r="I1422" s="29">
        <v>20.9</v>
      </c>
      <c r="J1422" s="29">
        <v>3.1349999999999998</v>
      </c>
      <c r="K1422" s="29">
        <v>3.1349999999999998</v>
      </c>
      <c r="L1422" s="29" t="s">
        <v>1032</v>
      </c>
      <c r="M1422" s="29">
        <v>1</v>
      </c>
      <c r="N1422" s="29">
        <v>0.15</v>
      </c>
      <c r="O1422" s="29">
        <v>1</v>
      </c>
      <c r="P1422" s="29">
        <v>3.1349999999999998</v>
      </c>
      <c r="Q1422" s="29" t="s">
        <v>1033</v>
      </c>
    </row>
    <row r="1423" spans="1:17" x14ac:dyDescent="0.3">
      <c r="A1423" s="29" t="s">
        <v>797</v>
      </c>
      <c r="B1423" s="29">
        <v>1</v>
      </c>
      <c r="C1423" s="29" t="s">
        <v>1050</v>
      </c>
      <c r="D1423" s="29" t="s">
        <v>1051</v>
      </c>
      <c r="E1423" s="29">
        <v>150</v>
      </c>
      <c r="G1423" s="29" t="s">
        <v>1031</v>
      </c>
      <c r="H1423" s="29">
        <v>1</v>
      </c>
      <c r="I1423" s="29">
        <v>2.95</v>
      </c>
      <c r="J1423" s="29">
        <v>0.4425</v>
      </c>
      <c r="K1423" s="29">
        <v>0.4425</v>
      </c>
      <c r="L1423" s="29" t="s">
        <v>1032</v>
      </c>
      <c r="M1423" s="29">
        <v>1</v>
      </c>
      <c r="N1423" s="29">
        <v>0.15</v>
      </c>
      <c r="O1423" s="29">
        <v>1</v>
      </c>
      <c r="P1423" s="29">
        <v>0.4425</v>
      </c>
      <c r="Q1423" s="29" t="s">
        <v>1033</v>
      </c>
    </row>
    <row r="1424" spans="1:17" x14ac:dyDescent="0.3">
      <c r="B1424" s="29">
        <v>2</v>
      </c>
      <c r="C1424" s="29" t="s">
        <v>1089</v>
      </c>
      <c r="D1424" s="29" t="s">
        <v>1099</v>
      </c>
      <c r="E1424" s="29">
        <v>150</v>
      </c>
      <c r="G1424" s="29" t="s">
        <v>1031</v>
      </c>
      <c r="H1424" s="29">
        <v>1</v>
      </c>
      <c r="I1424" s="29">
        <v>20.9</v>
      </c>
      <c r="J1424" s="29">
        <v>3.1349999999999998</v>
      </c>
      <c r="K1424" s="29">
        <v>3.1349999999999998</v>
      </c>
      <c r="L1424" s="29" t="s">
        <v>1032</v>
      </c>
      <c r="M1424" s="29">
        <v>1</v>
      </c>
      <c r="N1424" s="29">
        <v>0.15</v>
      </c>
      <c r="O1424" s="29">
        <v>1</v>
      </c>
      <c r="P1424" s="29">
        <v>3.1349999999999998</v>
      </c>
      <c r="Q1424" s="29" t="s">
        <v>1033</v>
      </c>
    </row>
    <row r="1425" spans="1:17" x14ac:dyDescent="0.3">
      <c r="A1425" s="29" t="s">
        <v>798</v>
      </c>
      <c r="B1425" s="29">
        <v>1</v>
      </c>
      <c r="C1425" s="29" t="s">
        <v>1050</v>
      </c>
      <c r="D1425" s="29" t="s">
        <v>1051</v>
      </c>
      <c r="E1425" s="29">
        <v>150</v>
      </c>
      <c r="G1425" s="29" t="s">
        <v>1035</v>
      </c>
      <c r="H1425" s="29">
        <v>1</v>
      </c>
      <c r="I1425" s="29">
        <v>2.95</v>
      </c>
      <c r="J1425" s="29">
        <v>0.4425</v>
      </c>
      <c r="K1425" s="29">
        <v>0.4425</v>
      </c>
      <c r="L1425" s="29" t="s">
        <v>1032</v>
      </c>
      <c r="M1425" s="29">
        <v>1</v>
      </c>
      <c r="N1425" s="29">
        <v>0.15</v>
      </c>
      <c r="O1425" s="29">
        <v>1</v>
      </c>
      <c r="P1425" s="29">
        <v>0.4425</v>
      </c>
      <c r="Q1425" s="29" t="s">
        <v>1033</v>
      </c>
    </row>
    <row r="1426" spans="1:17" x14ac:dyDescent="0.3">
      <c r="B1426" s="29">
        <v>2</v>
      </c>
      <c r="C1426" s="29" t="s">
        <v>1089</v>
      </c>
      <c r="D1426" s="29" t="s">
        <v>1099</v>
      </c>
      <c r="E1426" s="29">
        <v>150</v>
      </c>
      <c r="G1426" s="29" t="s">
        <v>1035</v>
      </c>
      <c r="H1426" s="29">
        <v>1</v>
      </c>
      <c r="I1426" s="29">
        <v>20.9</v>
      </c>
      <c r="J1426" s="29">
        <v>3.1349999999999998</v>
      </c>
      <c r="K1426" s="29">
        <v>3.1349999999999998</v>
      </c>
      <c r="L1426" s="29" t="s">
        <v>1032</v>
      </c>
      <c r="M1426" s="29">
        <v>1</v>
      </c>
      <c r="N1426" s="29">
        <v>0.15</v>
      </c>
      <c r="O1426" s="29">
        <v>1</v>
      </c>
      <c r="P1426" s="29">
        <v>3.1349999999999998</v>
      </c>
      <c r="Q1426" s="29" t="s">
        <v>1033</v>
      </c>
    </row>
    <row r="1427" spans="1:17" x14ac:dyDescent="0.3">
      <c r="A1427" s="29" t="s">
        <v>798</v>
      </c>
      <c r="B1427" s="29">
        <v>1</v>
      </c>
      <c r="C1427" s="29" t="s">
        <v>1050</v>
      </c>
      <c r="D1427" s="29" t="s">
        <v>1051</v>
      </c>
      <c r="E1427" s="29">
        <v>150</v>
      </c>
      <c r="G1427" s="29" t="s">
        <v>1035</v>
      </c>
      <c r="H1427" s="29">
        <v>1</v>
      </c>
      <c r="I1427" s="29">
        <v>2.95</v>
      </c>
      <c r="J1427" s="29">
        <v>0.4425</v>
      </c>
      <c r="K1427" s="29">
        <v>0.4425</v>
      </c>
      <c r="L1427" s="29" t="s">
        <v>1032</v>
      </c>
      <c r="M1427" s="29">
        <v>1</v>
      </c>
      <c r="N1427" s="29">
        <v>0.15</v>
      </c>
      <c r="O1427" s="29">
        <v>1</v>
      </c>
      <c r="P1427" s="29">
        <v>0.4425</v>
      </c>
      <c r="Q1427" s="29" t="s">
        <v>1033</v>
      </c>
    </row>
    <row r="1428" spans="1:17" x14ac:dyDescent="0.3">
      <c r="B1428" s="29">
        <v>2</v>
      </c>
      <c r="C1428" s="29" t="s">
        <v>1089</v>
      </c>
      <c r="D1428" s="29" t="s">
        <v>1099</v>
      </c>
      <c r="E1428" s="29">
        <v>150</v>
      </c>
      <c r="G1428" s="29" t="s">
        <v>1035</v>
      </c>
      <c r="H1428" s="29">
        <v>1</v>
      </c>
      <c r="I1428" s="29">
        <v>20.9</v>
      </c>
      <c r="J1428" s="29">
        <v>3.1349999999999998</v>
      </c>
      <c r="K1428" s="29">
        <v>3.1349999999999998</v>
      </c>
      <c r="L1428" s="29" t="s">
        <v>1032</v>
      </c>
      <c r="M1428" s="29">
        <v>1</v>
      </c>
      <c r="N1428" s="29">
        <v>0.15</v>
      </c>
      <c r="O1428" s="29">
        <v>1</v>
      </c>
      <c r="P1428" s="29">
        <v>3.1349999999999998</v>
      </c>
      <c r="Q1428" s="29" t="s">
        <v>1033</v>
      </c>
    </row>
    <row r="1429" spans="1:17" x14ac:dyDescent="0.3">
      <c r="A1429" s="29" t="s">
        <v>798</v>
      </c>
      <c r="B1429" s="29">
        <v>1</v>
      </c>
      <c r="C1429" s="29" t="s">
        <v>1050</v>
      </c>
      <c r="D1429" s="29" t="s">
        <v>1051</v>
      </c>
      <c r="E1429" s="29">
        <v>150</v>
      </c>
      <c r="G1429" s="29" t="s">
        <v>1035</v>
      </c>
      <c r="H1429" s="29">
        <v>1</v>
      </c>
      <c r="I1429" s="29">
        <v>2.95</v>
      </c>
      <c r="J1429" s="29">
        <v>0.4425</v>
      </c>
      <c r="K1429" s="29">
        <v>0.4425</v>
      </c>
      <c r="L1429" s="29" t="s">
        <v>1032</v>
      </c>
      <c r="M1429" s="29">
        <v>1</v>
      </c>
      <c r="N1429" s="29">
        <v>0.15</v>
      </c>
      <c r="O1429" s="29">
        <v>1</v>
      </c>
      <c r="P1429" s="29">
        <v>0.4425</v>
      </c>
      <c r="Q1429" s="29" t="s">
        <v>1033</v>
      </c>
    </row>
    <row r="1430" spans="1:17" x14ac:dyDescent="0.3">
      <c r="B1430" s="29">
        <v>2</v>
      </c>
      <c r="C1430" s="29" t="s">
        <v>1089</v>
      </c>
      <c r="D1430" s="29" t="s">
        <v>1099</v>
      </c>
      <c r="E1430" s="29">
        <v>150</v>
      </c>
      <c r="G1430" s="29" t="s">
        <v>1035</v>
      </c>
      <c r="H1430" s="29">
        <v>1</v>
      </c>
      <c r="I1430" s="29">
        <v>20.9</v>
      </c>
      <c r="J1430" s="29">
        <v>3.1349999999999998</v>
      </c>
      <c r="K1430" s="29">
        <v>3.1349999999999998</v>
      </c>
      <c r="L1430" s="29" t="s">
        <v>1032</v>
      </c>
      <c r="M1430" s="29">
        <v>1</v>
      </c>
      <c r="N1430" s="29">
        <v>0.15</v>
      </c>
      <c r="O1430" s="29">
        <v>1</v>
      </c>
      <c r="P1430" s="29">
        <v>3.1349999999999998</v>
      </c>
      <c r="Q1430" s="29" t="s">
        <v>1033</v>
      </c>
    </row>
    <row r="1431" spans="1:17" x14ac:dyDescent="0.3">
      <c r="A1431" s="29" t="s">
        <v>798</v>
      </c>
      <c r="B1431" s="29">
        <v>1</v>
      </c>
      <c r="C1431" s="29" t="s">
        <v>1050</v>
      </c>
      <c r="D1431" s="29" t="s">
        <v>1051</v>
      </c>
      <c r="E1431" s="29">
        <v>150</v>
      </c>
      <c r="G1431" s="29" t="s">
        <v>1035</v>
      </c>
      <c r="H1431" s="29">
        <v>1</v>
      </c>
      <c r="I1431" s="29">
        <v>2.95</v>
      </c>
      <c r="J1431" s="29">
        <v>0.4425</v>
      </c>
      <c r="K1431" s="29">
        <v>0.4425</v>
      </c>
      <c r="L1431" s="29" t="s">
        <v>1032</v>
      </c>
      <c r="M1431" s="29">
        <v>1</v>
      </c>
      <c r="N1431" s="29">
        <v>0.15</v>
      </c>
      <c r="O1431" s="29">
        <v>1</v>
      </c>
      <c r="P1431" s="29">
        <v>0.4425</v>
      </c>
      <c r="Q1431" s="29" t="s">
        <v>1033</v>
      </c>
    </row>
    <row r="1432" spans="1:17" x14ac:dyDescent="0.3">
      <c r="B1432" s="29">
        <v>2</v>
      </c>
      <c r="C1432" s="29" t="s">
        <v>1089</v>
      </c>
      <c r="D1432" s="29" t="s">
        <v>1099</v>
      </c>
      <c r="E1432" s="29">
        <v>150</v>
      </c>
      <c r="G1432" s="29" t="s">
        <v>1035</v>
      </c>
      <c r="H1432" s="29">
        <v>1</v>
      </c>
      <c r="I1432" s="29">
        <v>20.9</v>
      </c>
      <c r="J1432" s="29">
        <v>3.1349999999999998</v>
      </c>
      <c r="K1432" s="29">
        <v>3.1349999999999998</v>
      </c>
      <c r="L1432" s="29" t="s">
        <v>1032</v>
      </c>
      <c r="M1432" s="29">
        <v>1</v>
      </c>
      <c r="N1432" s="29">
        <v>0.15</v>
      </c>
      <c r="O1432" s="29">
        <v>1</v>
      </c>
      <c r="P1432" s="29">
        <v>3.1349999999999998</v>
      </c>
      <c r="Q1432" s="29" t="s">
        <v>1033</v>
      </c>
    </row>
    <row r="1433" spans="1:17" x14ac:dyDescent="0.3">
      <c r="A1433" s="29" t="s">
        <v>799</v>
      </c>
      <c r="B1433" s="29">
        <v>1</v>
      </c>
      <c r="C1433" s="29" t="s">
        <v>1050</v>
      </c>
      <c r="D1433" s="29" t="s">
        <v>1051</v>
      </c>
      <c r="E1433" s="29">
        <v>150</v>
      </c>
      <c r="G1433" s="29" t="s">
        <v>1035</v>
      </c>
      <c r="H1433" s="29">
        <v>1</v>
      </c>
      <c r="I1433" s="29">
        <v>2.95</v>
      </c>
      <c r="J1433" s="29">
        <v>0.4425</v>
      </c>
      <c r="K1433" s="29">
        <v>0.4425</v>
      </c>
      <c r="L1433" s="29" t="s">
        <v>1032</v>
      </c>
      <c r="M1433" s="29">
        <v>1</v>
      </c>
      <c r="N1433" s="29">
        <v>0.15</v>
      </c>
      <c r="O1433" s="29">
        <v>1</v>
      </c>
      <c r="P1433" s="29">
        <v>0.4425</v>
      </c>
      <c r="Q1433" s="29" t="s">
        <v>1033</v>
      </c>
    </row>
    <row r="1434" spans="1:17" x14ac:dyDescent="0.3">
      <c r="B1434" s="29">
        <v>2</v>
      </c>
      <c r="C1434" s="29" t="s">
        <v>1089</v>
      </c>
      <c r="D1434" s="29" t="s">
        <v>1099</v>
      </c>
      <c r="E1434" s="29">
        <v>150</v>
      </c>
      <c r="G1434" s="29" t="s">
        <v>1035</v>
      </c>
      <c r="H1434" s="29">
        <v>1</v>
      </c>
      <c r="I1434" s="29">
        <v>20.9</v>
      </c>
      <c r="J1434" s="29">
        <v>3.1349999999999998</v>
      </c>
      <c r="K1434" s="29">
        <v>3.1349999999999998</v>
      </c>
      <c r="L1434" s="29" t="s">
        <v>1032</v>
      </c>
      <c r="M1434" s="29">
        <v>1</v>
      </c>
      <c r="N1434" s="29">
        <v>0.15</v>
      </c>
      <c r="O1434" s="29">
        <v>1</v>
      </c>
      <c r="P1434" s="29">
        <v>3.1349999999999998</v>
      </c>
      <c r="Q1434" s="29" t="s">
        <v>1033</v>
      </c>
    </row>
    <row r="1435" spans="1:17" x14ac:dyDescent="0.3">
      <c r="A1435" s="29" t="s">
        <v>800</v>
      </c>
      <c r="B1435" s="29">
        <v>1</v>
      </c>
      <c r="C1435" s="29" t="s">
        <v>1050</v>
      </c>
      <c r="D1435" s="29" t="s">
        <v>1051</v>
      </c>
      <c r="E1435" s="29">
        <v>150</v>
      </c>
      <c r="G1435" s="29" t="s">
        <v>1035</v>
      </c>
      <c r="H1435" s="29">
        <v>1</v>
      </c>
      <c r="I1435" s="29">
        <v>2.95</v>
      </c>
      <c r="J1435" s="29">
        <v>0.4425</v>
      </c>
      <c r="K1435" s="29">
        <v>0.4425</v>
      </c>
      <c r="L1435" s="29" t="s">
        <v>1032</v>
      </c>
      <c r="M1435" s="29">
        <v>1</v>
      </c>
      <c r="N1435" s="29">
        <v>0.15</v>
      </c>
      <c r="O1435" s="29">
        <v>1</v>
      </c>
      <c r="P1435" s="29">
        <v>0.4425</v>
      </c>
      <c r="Q1435" s="29" t="s">
        <v>1033</v>
      </c>
    </row>
    <row r="1436" spans="1:17" x14ac:dyDescent="0.3">
      <c r="B1436" s="29">
        <v>2</v>
      </c>
      <c r="C1436" s="29" t="s">
        <v>1089</v>
      </c>
      <c r="D1436" s="29" t="s">
        <v>1099</v>
      </c>
      <c r="E1436" s="29">
        <v>150</v>
      </c>
      <c r="G1436" s="29" t="s">
        <v>1035</v>
      </c>
      <c r="H1436" s="29">
        <v>1</v>
      </c>
      <c r="I1436" s="29">
        <v>20.9</v>
      </c>
      <c r="J1436" s="29">
        <v>3.1349999999999998</v>
      </c>
      <c r="K1436" s="29">
        <v>3.1349999999999998</v>
      </c>
      <c r="L1436" s="29" t="s">
        <v>1032</v>
      </c>
      <c r="M1436" s="29">
        <v>1</v>
      </c>
      <c r="N1436" s="29">
        <v>0.15</v>
      </c>
      <c r="O1436" s="29">
        <v>1</v>
      </c>
      <c r="P1436" s="29">
        <v>3.1349999999999998</v>
      </c>
      <c r="Q1436" s="29" t="s">
        <v>1033</v>
      </c>
    </row>
    <row r="1437" spans="1:17" x14ac:dyDescent="0.3">
      <c r="A1437" s="29" t="s">
        <v>800</v>
      </c>
      <c r="B1437" s="29">
        <v>1</v>
      </c>
      <c r="C1437" s="29" t="s">
        <v>1050</v>
      </c>
      <c r="D1437" s="29" t="s">
        <v>1051</v>
      </c>
      <c r="E1437" s="29">
        <v>150</v>
      </c>
      <c r="G1437" s="29" t="s">
        <v>1035</v>
      </c>
      <c r="H1437" s="29">
        <v>1</v>
      </c>
      <c r="I1437" s="29">
        <v>2.95</v>
      </c>
      <c r="J1437" s="29">
        <v>0.4425</v>
      </c>
      <c r="K1437" s="29">
        <v>0.4425</v>
      </c>
      <c r="L1437" s="29" t="s">
        <v>1032</v>
      </c>
      <c r="M1437" s="29">
        <v>1</v>
      </c>
      <c r="N1437" s="29">
        <v>0.15</v>
      </c>
      <c r="O1437" s="29">
        <v>1</v>
      </c>
      <c r="P1437" s="29">
        <v>0.4425</v>
      </c>
      <c r="Q1437" s="29" t="s">
        <v>1033</v>
      </c>
    </row>
    <row r="1438" spans="1:17" x14ac:dyDescent="0.3">
      <c r="B1438" s="29">
        <v>2</v>
      </c>
      <c r="C1438" s="29" t="s">
        <v>1089</v>
      </c>
      <c r="D1438" s="29" t="s">
        <v>1099</v>
      </c>
      <c r="E1438" s="29">
        <v>150</v>
      </c>
      <c r="G1438" s="29" t="s">
        <v>1035</v>
      </c>
      <c r="H1438" s="29">
        <v>1</v>
      </c>
      <c r="I1438" s="29">
        <v>20.9</v>
      </c>
      <c r="J1438" s="29">
        <v>3.1349999999999998</v>
      </c>
      <c r="K1438" s="29">
        <v>3.1349999999999998</v>
      </c>
      <c r="L1438" s="29" t="s">
        <v>1032</v>
      </c>
      <c r="M1438" s="29">
        <v>1</v>
      </c>
      <c r="N1438" s="29">
        <v>0.15</v>
      </c>
      <c r="O1438" s="29">
        <v>1</v>
      </c>
      <c r="P1438" s="29">
        <v>3.1349999999999998</v>
      </c>
      <c r="Q1438" s="29" t="s">
        <v>1033</v>
      </c>
    </row>
    <row r="1439" spans="1:17" x14ac:dyDescent="0.3">
      <c r="A1439" s="29" t="s">
        <v>800</v>
      </c>
      <c r="B1439" s="29">
        <v>1</v>
      </c>
      <c r="C1439" s="29" t="s">
        <v>1050</v>
      </c>
      <c r="D1439" s="29" t="s">
        <v>1051</v>
      </c>
      <c r="E1439" s="29">
        <v>150</v>
      </c>
      <c r="G1439" s="29" t="s">
        <v>1035</v>
      </c>
      <c r="H1439" s="29">
        <v>1</v>
      </c>
      <c r="I1439" s="29">
        <v>2.95</v>
      </c>
      <c r="J1439" s="29">
        <v>0.4425</v>
      </c>
      <c r="K1439" s="29">
        <v>0.4425</v>
      </c>
      <c r="L1439" s="29" t="s">
        <v>1032</v>
      </c>
      <c r="M1439" s="29">
        <v>1</v>
      </c>
      <c r="N1439" s="29">
        <v>0.15</v>
      </c>
      <c r="O1439" s="29">
        <v>1</v>
      </c>
      <c r="P1439" s="29">
        <v>0.4425</v>
      </c>
      <c r="Q1439" s="29" t="s">
        <v>1033</v>
      </c>
    </row>
    <row r="1440" spans="1:17" x14ac:dyDescent="0.3">
      <c r="B1440" s="29">
        <v>2</v>
      </c>
      <c r="C1440" s="29" t="s">
        <v>1089</v>
      </c>
      <c r="D1440" s="29" t="s">
        <v>1099</v>
      </c>
      <c r="E1440" s="29">
        <v>150</v>
      </c>
      <c r="G1440" s="29" t="s">
        <v>1035</v>
      </c>
      <c r="H1440" s="29">
        <v>1</v>
      </c>
      <c r="I1440" s="29">
        <v>20.9</v>
      </c>
      <c r="J1440" s="29">
        <v>3.1349999999999998</v>
      </c>
      <c r="K1440" s="29">
        <v>3.1349999999999998</v>
      </c>
      <c r="L1440" s="29" t="s">
        <v>1032</v>
      </c>
      <c r="M1440" s="29">
        <v>1</v>
      </c>
      <c r="N1440" s="29">
        <v>0.15</v>
      </c>
      <c r="O1440" s="29">
        <v>1</v>
      </c>
      <c r="P1440" s="29">
        <v>3.1349999999999998</v>
      </c>
      <c r="Q1440" s="29" t="s">
        <v>1033</v>
      </c>
    </row>
    <row r="1441" spans="1:17" x14ac:dyDescent="0.3">
      <c r="A1441" s="29" t="s">
        <v>800</v>
      </c>
      <c r="B1441" s="29">
        <v>1</v>
      </c>
      <c r="C1441" s="29" t="s">
        <v>1050</v>
      </c>
      <c r="D1441" s="29" t="s">
        <v>1051</v>
      </c>
      <c r="E1441" s="29">
        <v>150</v>
      </c>
      <c r="G1441" s="29" t="s">
        <v>1035</v>
      </c>
      <c r="H1441" s="29">
        <v>1</v>
      </c>
      <c r="I1441" s="29">
        <v>2.95</v>
      </c>
      <c r="J1441" s="29">
        <v>0.4425</v>
      </c>
      <c r="K1441" s="29">
        <v>0.4425</v>
      </c>
      <c r="L1441" s="29" t="s">
        <v>1032</v>
      </c>
      <c r="M1441" s="29">
        <v>1</v>
      </c>
      <c r="N1441" s="29">
        <v>0.15</v>
      </c>
      <c r="O1441" s="29">
        <v>1</v>
      </c>
      <c r="P1441" s="29">
        <v>0.4425</v>
      </c>
      <c r="Q1441" s="29" t="s">
        <v>1033</v>
      </c>
    </row>
    <row r="1442" spans="1:17" x14ac:dyDescent="0.3">
      <c r="B1442" s="29">
        <v>2</v>
      </c>
      <c r="C1442" s="29" t="s">
        <v>1089</v>
      </c>
      <c r="D1442" s="29" t="s">
        <v>1099</v>
      </c>
      <c r="E1442" s="29">
        <v>150</v>
      </c>
      <c r="G1442" s="29" t="s">
        <v>1035</v>
      </c>
      <c r="H1442" s="29">
        <v>1</v>
      </c>
      <c r="I1442" s="29">
        <v>20.9</v>
      </c>
      <c r="J1442" s="29">
        <v>3.1349999999999998</v>
      </c>
      <c r="K1442" s="29">
        <v>3.1349999999999998</v>
      </c>
      <c r="L1442" s="29" t="s">
        <v>1032</v>
      </c>
      <c r="M1442" s="29">
        <v>1</v>
      </c>
      <c r="N1442" s="29">
        <v>0.15</v>
      </c>
      <c r="O1442" s="29">
        <v>1</v>
      </c>
      <c r="P1442" s="29">
        <v>3.1349999999999998</v>
      </c>
      <c r="Q1442" s="29" t="s">
        <v>1033</v>
      </c>
    </row>
    <row r="1443" spans="1:17" x14ac:dyDescent="0.3">
      <c r="A1443" s="29" t="s">
        <v>800</v>
      </c>
      <c r="B1443" s="29">
        <v>1</v>
      </c>
      <c r="C1443" s="29" t="s">
        <v>1050</v>
      </c>
      <c r="D1443" s="29" t="s">
        <v>1051</v>
      </c>
      <c r="E1443" s="29">
        <v>150</v>
      </c>
      <c r="G1443" s="29" t="s">
        <v>1035</v>
      </c>
      <c r="H1443" s="29">
        <v>1</v>
      </c>
      <c r="I1443" s="29">
        <v>2.95</v>
      </c>
      <c r="J1443" s="29">
        <v>0.4425</v>
      </c>
      <c r="K1443" s="29">
        <v>0.4425</v>
      </c>
      <c r="L1443" s="29" t="s">
        <v>1032</v>
      </c>
      <c r="M1443" s="29">
        <v>1</v>
      </c>
      <c r="N1443" s="29">
        <v>0.15</v>
      </c>
      <c r="O1443" s="29">
        <v>1</v>
      </c>
      <c r="P1443" s="29">
        <v>0.4425</v>
      </c>
      <c r="Q1443" s="29" t="s">
        <v>1033</v>
      </c>
    </row>
    <row r="1444" spans="1:17" x14ac:dyDescent="0.3">
      <c r="B1444" s="29">
        <v>2</v>
      </c>
      <c r="C1444" s="29" t="s">
        <v>1089</v>
      </c>
      <c r="D1444" s="29" t="s">
        <v>1099</v>
      </c>
      <c r="E1444" s="29">
        <v>150</v>
      </c>
      <c r="G1444" s="29" t="s">
        <v>1035</v>
      </c>
      <c r="H1444" s="29">
        <v>1</v>
      </c>
      <c r="I1444" s="29">
        <v>20.9</v>
      </c>
      <c r="J1444" s="29">
        <v>3.1349999999999998</v>
      </c>
      <c r="K1444" s="29">
        <v>3.1349999999999998</v>
      </c>
      <c r="L1444" s="29" t="s">
        <v>1032</v>
      </c>
      <c r="M1444" s="29">
        <v>1</v>
      </c>
      <c r="N1444" s="29">
        <v>0.15</v>
      </c>
      <c r="O1444" s="29">
        <v>1</v>
      </c>
      <c r="P1444" s="29">
        <v>3.1349999999999998</v>
      </c>
      <c r="Q1444" s="29" t="s">
        <v>1033</v>
      </c>
    </row>
    <row r="1445" spans="1:17" x14ac:dyDescent="0.3">
      <c r="A1445" s="29" t="s">
        <v>800</v>
      </c>
      <c r="B1445" s="29">
        <v>1</v>
      </c>
      <c r="C1445" s="29" t="s">
        <v>1050</v>
      </c>
      <c r="D1445" s="29" t="s">
        <v>1051</v>
      </c>
      <c r="E1445" s="29">
        <v>150</v>
      </c>
      <c r="G1445" s="29" t="s">
        <v>1035</v>
      </c>
      <c r="H1445" s="29">
        <v>1</v>
      </c>
      <c r="I1445" s="29">
        <v>2.95</v>
      </c>
      <c r="J1445" s="29">
        <v>0.4425</v>
      </c>
      <c r="K1445" s="29">
        <v>0.4425</v>
      </c>
      <c r="L1445" s="29" t="s">
        <v>1032</v>
      </c>
      <c r="M1445" s="29">
        <v>1</v>
      </c>
      <c r="N1445" s="29">
        <v>0.15</v>
      </c>
      <c r="O1445" s="29">
        <v>1</v>
      </c>
      <c r="P1445" s="29">
        <v>0.4425</v>
      </c>
      <c r="Q1445" s="29" t="s">
        <v>1033</v>
      </c>
    </row>
    <row r="1446" spans="1:17" x14ac:dyDescent="0.3">
      <c r="B1446" s="29">
        <v>2</v>
      </c>
      <c r="C1446" s="29" t="s">
        <v>1089</v>
      </c>
      <c r="D1446" s="29" t="s">
        <v>1099</v>
      </c>
      <c r="E1446" s="29">
        <v>150</v>
      </c>
      <c r="G1446" s="29" t="s">
        <v>1035</v>
      </c>
      <c r="H1446" s="29">
        <v>1</v>
      </c>
      <c r="I1446" s="29">
        <v>20.9</v>
      </c>
      <c r="J1446" s="29">
        <v>3.1349999999999998</v>
      </c>
      <c r="K1446" s="29">
        <v>3.1349999999999998</v>
      </c>
      <c r="L1446" s="29" t="s">
        <v>1032</v>
      </c>
      <c r="M1446" s="29">
        <v>1</v>
      </c>
      <c r="N1446" s="29">
        <v>0.15</v>
      </c>
      <c r="O1446" s="29">
        <v>1</v>
      </c>
      <c r="P1446" s="29">
        <v>3.1349999999999998</v>
      </c>
      <c r="Q1446" s="29" t="s">
        <v>1033</v>
      </c>
    </row>
    <row r="1447" spans="1:17" x14ac:dyDescent="0.3">
      <c r="A1447" s="29" t="s">
        <v>800</v>
      </c>
      <c r="B1447" s="29">
        <v>1</v>
      </c>
      <c r="C1447" s="29" t="s">
        <v>1050</v>
      </c>
      <c r="D1447" s="29" t="s">
        <v>1051</v>
      </c>
      <c r="E1447" s="29">
        <v>150</v>
      </c>
      <c r="G1447" s="29" t="s">
        <v>1035</v>
      </c>
      <c r="H1447" s="29">
        <v>1</v>
      </c>
      <c r="I1447" s="29">
        <v>2.95</v>
      </c>
      <c r="J1447" s="29">
        <v>0.4425</v>
      </c>
      <c r="K1447" s="29">
        <v>0.4425</v>
      </c>
      <c r="L1447" s="29" t="s">
        <v>1032</v>
      </c>
      <c r="M1447" s="29">
        <v>1</v>
      </c>
      <c r="N1447" s="29">
        <v>0.15</v>
      </c>
      <c r="O1447" s="29">
        <v>1</v>
      </c>
      <c r="P1447" s="29">
        <v>0.4425</v>
      </c>
      <c r="Q1447" s="29" t="s">
        <v>1033</v>
      </c>
    </row>
    <row r="1448" spans="1:17" x14ac:dyDescent="0.3">
      <c r="B1448" s="29">
        <v>2</v>
      </c>
      <c r="C1448" s="29" t="s">
        <v>1089</v>
      </c>
      <c r="D1448" s="29" t="s">
        <v>1099</v>
      </c>
      <c r="E1448" s="29">
        <v>150</v>
      </c>
      <c r="G1448" s="29" t="s">
        <v>1035</v>
      </c>
      <c r="H1448" s="29">
        <v>1</v>
      </c>
      <c r="I1448" s="29">
        <v>20.9</v>
      </c>
      <c r="J1448" s="29">
        <v>3.1349999999999998</v>
      </c>
      <c r="K1448" s="29">
        <v>3.1349999999999998</v>
      </c>
      <c r="L1448" s="29" t="s">
        <v>1032</v>
      </c>
      <c r="M1448" s="29">
        <v>1</v>
      </c>
      <c r="N1448" s="29">
        <v>0.15</v>
      </c>
      <c r="O1448" s="29">
        <v>1</v>
      </c>
      <c r="P1448" s="29">
        <v>3.1349999999999998</v>
      </c>
      <c r="Q1448" s="29" t="s">
        <v>1033</v>
      </c>
    </row>
    <row r="1449" spans="1:17" x14ac:dyDescent="0.3">
      <c r="A1449" s="29" t="s">
        <v>800</v>
      </c>
      <c r="B1449" s="29">
        <v>1</v>
      </c>
      <c r="C1449" s="29" t="s">
        <v>1050</v>
      </c>
      <c r="D1449" s="29" t="s">
        <v>1051</v>
      </c>
      <c r="E1449" s="29">
        <v>150</v>
      </c>
      <c r="G1449" s="29" t="s">
        <v>1035</v>
      </c>
      <c r="H1449" s="29">
        <v>1</v>
      </c>
      <c r="I1449" s="29">
        <v>2.95</v>
      </c>
      <c r="J1449" s="29">
        <v>0.4425</v>
      </c>
      <c r="K1449" s="29">
        <v>0.4425</v>
      </c>
      <c r="L1449" s="29" t="s">
        <v>1032</v>
      </c>
      <c r="M1449" s="29">
        <v>1</v>
      </c>
      <c r="N1449" s="29">
        <v>0.15</v>
      </c>
      <c r="O1449" s="29">
        <v>1</v>
      </c>
      <c r="P1449" s="29">
        <v>0.4425</v>
      </c>
      <c r="Q1449" s="29" t="s">
        <v>1033</v>
      </c>
    </row>
    <row r="1450" spans="1:17" x14ac:dyDescent="0.3">
      <c r="B1450" s="29">
        <v>2</v>
      </c>
      <c r="C1450" s="29" t="s">
        <v>1089</v>
      </c>
      <c r="D1450" s="29" t="s">
        <v>1099</v>
      </c>
      <c r="E1450" s="29">
        <v>150</v>
      </c>
      <c r="G1450" s="29" t="s">
        <v>1035</v>
      </c>
      <c r="H1450" s="29">
        <v>1</v>
      </c>
      <c r="I1450" s="29">
        <v>20.9</v>
      </c>
      <c r="J1450" s="29">
        <v>3.1349999999999998</v>
      </c>
      <c r="K1450" s="29">
        <v>3.1349999999999998</v>
      </c>
      <c r="L1450" s="29" t="s">
        <v>1032</v>
      </c>
      <c r="M1450" s="29">
        <v>1</v>
      </c>
      <c r="N1450" s="29">
        <v>0.15</v>
      </c>
      <c r="O1450" s="29">
        <v>1</v>
      </c>
      <c r="P1450" s="29">
        <v>3.1349999999999998</v>
      </c>
      <c r="Q1450" s="29" t="s">
        <v>1033</v>
      </c>
    </row>
    <row r="1451" spans="1:17" x14ac:dyDescent="0.3">
      <c r="A1451" s="29" t="s">
        <v>800</v>
      </c>
      <c r="B1451" s="29">
        <v>1</v>
      </c>
      <c r="C1451" s="29" t="s">
        <v>1050</v>
      </c>
      <c r="D1451" s="29" t="s">
        <v>1051</v>
      </c>
      <c r="E1451" s="29">
        <v>150</v>
      </c>
      <c r="G1451" s="29" t="s">
        <v>1035</v>
      </c>
      <c r="H1451" s="29">
        <v>1</v>
      </c>
      <c r="I1451" s="29">
        <v>2.95</v>
      </c>
      <c r="J1451" s="29">
        <v>0.4425</v>
      </c>
      <c r="K1451" s="29">
        <v>0.4425</v>
      </c>
      <c r="L1451" s="29" t="s">
        <v>1032</v>
      </c>
      <c r="M1451" s="29">
        <v>1</v>
      </c>
      <c r="N1451" s="29">
        <v>0.15</v>
      </c>
      <c r="O1451" s="29">
        <v>1</v>
      </c>
      <c r="P1451" s="29">
        <v>0.4425</v>
      </c>
      <c r="Q1451" s="29" t="s">
        <v>1033</v>
      </c>
    </row>
    <row r="1452" spans="1:17" x14ac:dyDescent="0.3">
      <c r="B1452" s="29">
        <v>2</v>
      </c>
      <c r="C1452" s="29" t="s">
        <v>1089</v>
      </c>
      <c r="D1452" s="29" t="s">
        <v>1099</v>
      </c>
      <c r="E1452" s="29">
        <v>150</v>
      </c>
      <c r="G1452" s="29" t="s">
        <v>1035</v>
      </c>
      <c r="H1452" s="29">
        <v>1</v>
      </c>
      <c r="I1452" s="29">
        <v>20.9</v>
      </c>
      <c r="J1452" s="29">
        <v>3.1349999999999998</v>
      </c>
      <c r="K1452" s="29">
        <v>3.1349999999999998</v>
      </c>
      <c r="L1452" s="29" t="s">
        <v>1032</v>
      </c>
      <c r="M1452" s="29">
        <v>1</v>
      </c>
      <c r="N1452" s="29">
        <v>0.15</v>
      </c>
      <c r="O1452" s="29">
        <v>1</v>
      </c>
      <c r="P1452" s="29">
        <v>3.1349999999999998</v>
      </c>
      <c r="Q1452" s="29" t="s">
        <v>1033</v>
      </c>
    </row>
    <row r="1453" spans="1:17" x14ac:dyDescent="0.3">
      <c r="A1453" s="29" t="s">
        <v>800</v>
      </c>
      <c r="B1453" s="29">
        <v>1</v>
      </c>
      <c r="C1453" s="29" t="s">
        <v>1050</v>
      </c>
      <c r="D1453" s="29" t="s">
        <v>1051</v>
      </c>
      <c r="E1453" s="29">
        <v>150</v>
      </c>
      <c r="G1453" s="29" t="s">
        <v>1035</v>
      </c>
      <c r="H1453" s="29">
        <v>1</v>
      </c>
      <c r="I1453" s="29">
        <v>2.95</v>
      </c>
      <c r="J1453" s="29">
        <v>0.4425</v>
      </c>
      <c r="K1453" s="29">
        <v>0.4425</v>
      </c>
      <c r="L1453" s="29" t="s">
        <v>1032</v>
      </c>
      <c r="M1453" s="29">
        <v>1</v>
      </c>
      <c r="N1453" s="29">
        <v>0.15</v>
      </c>
      <c r="O1453" s="29">
        <v>1</v>
      </c>
      <c r="P1453" s="29">
        <v>0.4425</v>
      </c>
      <c r="Q1453" s="29" t="s">
        <v>1033</v>
      </c>
    </row>
    <row r="1454" spans="1:17" x14ac:dyDescent="0.3">
      <c r="B1454" s="29">
        <v>2</v>
      </c>
      <c r="C1454" s="29" t="s">
        <v>1089</v>
      </c>
      <c r="D1454" s="29" t="s">
        <v>1099</v>
      </c>
      <c r="E1454" s="29">
        <v>150</v>
      </c>
      <c r="G1454" s="29" t="s">
        <v>1035</v>
      </c>
      <c r="H1454" s="29">
        <v>1</v>
      </c>
      <c r="I1454" s="29">
        <v>20.9</v>
      </c>
      <c r="J1454" s="29">
        <v>3.1349999999999998</v>
      </c>
      <c r="K1454" s="29">
        <v>3.1349999999999998</v>
      </c>
      <c r="L1454" s="29" t="s">
        <v>1032</v>
      </c>
      <c r="M1454" s="29">
        <v>1</v>
      </c>
      <c r="N1454" s="29">
        <v>0.15</v>
      </c>
      <c r="O1454" s="29">
        <v>1</v>
      </c>
      <c r="P1454" s="29">
        <v>3.1349999999999998</v>
      </c>
      <c r="Q1454" s="29" t="s">
        <v>1033</v>
      </c>
    </row>
    <row r="1455" spans="1:17" x14ac:dyDescent="0.3">
      <c r="A1455" s="29" t="s">
        <v>800</v>
      </c>
      <c r="B1455" s="29">
        <v>1</v>
      </c>
      <c r="C1455" s="29" t="s">
        <v>1050</v>
      </c>
      <c r="D1455" s="29" t="s">
        <v>1051</v>
      </c>
      <c r="E1455" s="29">
        <v>150</v>
      </c>
      <c r="G1455" s="29" t="s">
        <v>1035</v>
      </c>
      <c r="H1455" s="29">
        <v>1</v>
      </c>
      <c r="I1455" s="29">
        <v>2.95</v>
      </c>
      <c r="J1455" s="29">
        <v>0.4425</v>
      </c>
      <c r="K1455" s="29">
        <v>0.4425</v>
      </c>
      <c r="L1455" s="29" t="s">
        <v>1032</v>
      </c>
      <c r="M1455" s="29">
        <v>1</v>
      </c>
      <c r="N1455" s="29">
        <v>0.15</v>
      </c>
      <c r="O1455" s="29">
        <v>1</v>
      </c>
      <c r="P1455" s="29">
        <v>0.4425</v>
      </c>
      <c r="Q1455" s="29" t="s">
        <v>1033</v>
      </c>
    </row>
    <row r="1456" spans="1:17" x14ac:dyDescent="0.3">
      <c r="B1456" s="29">
        <v>2</v>
      </c>
      <c r="C1456" s="29" t="s">
        <v>1089</v>
      </c>
      <c r="D1456" s="29" t="s">
        <v>1099</v>
      </c>
      <c r="E1456" s="29">
        <v>150</v>
      </c>
      <c r="G1456" s="29" t="s">
        <v>1035</v>
      </c>
      <c r="H1456" s="29">
        <v>1</v>
      </c>
      <c r="I1456" s="29">
        <v>20.9</v>
      </c>
      <c r="J1456" s="29">
        <v>3.1349999999999998</v>
      </c>
      <c r="K1456" s="29">
        <v>3.1349999999999998</v>
      </c>
      <c r="L1456" s="29" t="s">
        <v>1032</v>
      </c>
      <c r="M1456" s="29">
        <v>1</v>
      </c>
      <c r="N1456" s="29">
        <v>0.15</v>
      </c>
      <c r="O1456" s="29">
        <v>1</v>
      </c>
      <c r="P1456" s="29">
        <v>3.1349999999999998</v>
      </c>
      <c r="Q1456" s="29" t="s">
        <v>1033</v>
      </c>
    </row>
    <row r="1457" spans="1:17" x14ac:dyDescent="0.3">
      <c r="A1457" s="29" t="s">
        <v>800</v>
      </c>
      <c r="B1457" s="29">
        <v>1</v>
      </c>
      <c r="C1457" s="29" t="s">
        <v>1050</v>
      </c>
      <c r="D1457" s="29" t="s">
        <v>1051</v>
      </c>
      <c r="E1457" s="29">
        <v>150</v>
      </c>
      <c r="G1457" s="29" t="s">
        <v>1035</v>
      </c>
      <c r="H1457" s="29">
        <v>1</v>
      </c>
      <c r="I1457" s="29">
        <v>2.95</v>
      </c>
      <c r="J1457" s="29">
        <v>0.4425</v>
      </c>
      <c r="K1457" s="29">
        <v>0.4425</v>
      </c>
      <c r="L1457" s="29" t="s">
        <v>1032</v>
      </c>
      <c r="M1457" s="29">
        <v>1</v>
      </c>
      <c r="N1457" s="29">
        <v>0.15</v>
      </c>
      <c r="O1457" s="29">
        <v>1</v>
      </c>
      <c r="P1457" s="29">
        <v>0.4425</v>
      </c>
      <c r="Q1457" s="29" t="s">
        <v>1033</v>
      </c>
    </row>
    <row r="1458" spans="1:17" x14ac:dyDescent="0.3">
      <c r="B1458" s="29">
        <v>2</v>
      </c>
      <c r="C1458" s="29" t="s">
        <v>1089</v>
      </c>
      <c r="D1458" s="29" t="s">
        <v>1099</v>
      </c>
      <c r="E1458" s="29">
        <v>150</v>
      </c>
      <c r="G1458" s="29" t="s">
        <v>1035</v>
      </c>
      <c r="H1458" s="29">
        <v>1</v>
      </c>
      <c r="I1458" s="29">
        <v>20.9</v>
      </c>
      <c r="J1458" s="29">
        <v>3.1349999999999998</v>
      </c>
      <c r="K1458" s="29">
        <v>3.1349999999999998</v>
      </c>
      <c r="L1458" s="29" t="s">
        <v>1032</v>
      </c>
      <c r="M1458" s="29">
        <v>1</v>
      </c>
      <c r="N1458" s="29">
        <v>0.15</v>
      </c>
      <c r="O1458" s="29">
        <v>1</v>
      </c>
      <c r="P1458" s="29">
        <v>3.1349999999999998</v>
      </c>
      <c r="Q1458" s="29" t="s">
        <v>1033</v>
      </c>
    </row>
    <row r="1459" spans="1:17" x14ac:dyDescent="0.3">
      <c r="A1459" s="29" t="s">
        <v>801</v>
      </c>
      <c r="B1459" s="29">
        <v>1</v>
      </c>
      <c r="C1459" s="29" t="s">
        <v>1050</v>
      </c>
      <c r="D1459" s="29" t="s">
        <v>1051</v>
      </c>
      <c r="E1459" s="29">
        <v>150</v>
      </c>
      <c r="G1459" s="29" t="s">
        <v>1035</v>
      </c>
      <c r="H1459" s="29">
        <v>1</v>
      </c>
      <c r="I1459" s="29">
        <v>2.95</v>
      </c>
      <c r="J1459" s="29">
        <v>0.4425</v>
      </c>
      <c r="K1459" s="29">
        <v>0.4425</v>
      </c>
      <c r="L1459" s="29" t="s">
        <v>1032</v>
      </c>
      <c r="M1459" s="29">
        <v>1</v>
      </c>
      <c r="N1459" s="29">
        <v>0.15</v>
      </c>
      <c r="O1459" s="29">
        <v>1</v>
      </c>
      <c r="P1459" s="29">
        <v>0.4425</v>
      </c>
      <c r="Q1459" s="29" t="s">
        <v>1033</v>
      </c>
    </row>
    <row r="1460" spans="1:17" x14ac:dyDescent="0.3">
      <c r="B1460" s="29">
        <v>2</v>
      </c>
      <c r="C1460" s="29" t="s">
        <v>1089</v>
      </c>
      <c r="D1460" s="29" t="s">
        <v>1099</v>
      </c>
      <c r="E1460" s="29">
        <v>150</v>
      </c>
      <c r="G1460" s="29" t="s">
        <v>1035</v>
      </c>
      <c r="H1460" s="29">
        <v>1</v>
      </c>
      <c r="I1460" s="29">
        <v>20.9</v>
      </c>
      <c r="J1460" s="29">
        <v>3.1349999999999998</v>
      </c>
      <c r="K1460" s="29">
        <v>3.1349999999999998</v>
      </c>
      <c r="L1460" s="29" t="s">
        <v>1032</v>
      </c>
      <c r="M1460" s="29">
        <v>1</v>
      </c>
      <c r="N1460" s="29">
        <v>0.15</v>
      </c>
      <c r="O1460" s="29">
        <v>1</v>
      </c>
      <c r="P1460" s="29">
        <v>3.1349999999999998</v>
      </c>
      <c r="Q1460" s="29" t="s">
        <v>1033</v>
      </c>
    </row>
    <row r="1461" spans="1:17" x14ac:dyDescent="0.3">
      <c r="A1461" s="29" t="s">
        <v>802</v>
      </c>
      <c r="B1461" s="29">
        <v>1</v>
      </c>
      <c r="C1461" s="29" t="s">
        <v>1050</v>
      </c>
      <c r="D1461" s="29" t="s">
        <v>1051</v>
      </c>
      <c r="E1461" s="29">
        <v>150</v>
      </c>
      <c r="G1461" s="29" t="s">
        <v>1031</v>
      </c>
      <c r="H1461" s="29">
        <v>1</v>
      </c>
      <c r="I1461" s="29">
        <v>2.95</v>
      </c>
      <c r="J1461" s="29">
        <v>0.4425</v>
      </c>
      <c r="K1461" s="29">
        <v>0.4425</v>
      </c>
      <c r="L1461" s="29" t="s">
        <v>1032</v>
      </c>
      <c r="M1461" s="29">
        <v>1</v>
      </c>
      <c r="N1461" s="29">
        <v>0.15</v>
      </c>
      <c r="O1461" s="29">
        <v>1</v>
      </c>
      <c r="P1461" s="29">
        <v>0.4425</v>
      </c>
      <c r="Q1461" s="29" t="s">
        <v>1033</v>
      </c>
    </row>
    <row r="1462" spans="1:17" x14ac:dyDescent="0.3">
      <c r="B1462" s="29">
        <v>2</v>
      </c>
      <c r="C1462" s="29" t="s">
        <v>1089</v>
      </c>
      <c r="D1462" s="29" t="s">
        <v>1099</v>
      </c>
      <c r="E1462" s="29">
        <v>150</v>
      </c>
      <c r="G1462" s="29" t="s">
        <v>1031</v>
      </c>
      <c r="H1462" s="29">
        <v>1</v>
      </c>
      <c r="I1462" s="29">
        <v>20.9</v>
      </c>
      <c r="J1462" s="29">
        <v>3.1349999999999998</v>
      </c>
      <c r="K1462" s="29">
        <v>3.1349999999999998</v>
      </c>
      <c r="L1462" s="29" t="s">
        <v>1032</v>
      </c>
      <c r="M1462" s="29">
        <v>1</v>
      </c>
      <c r="N1462" s="29">
        <v>0.15</v>
      </c>
      <c r="O1462" s="29">
        <v>1</v>
      </c>
      <c r="P1462" s="29">
        <v>3.1349999999999998</v>
      </c>
      <c r="Q1462" s="29" t="s">
        <v>1033</v>
      </c>
    </row>
    <row r="1463" spans="1:17" x14ac:dyDescent="0.3">
      <c r="A1463" s="29" t="s">
        <v>802</v>
      </c>
      <c r="B1463" s="29">
        <v>1</v>
      </c>
      <c r="C1463" s="29" t="s">
        <v>1050</v>
      </c>
      <c r="D1463" s="29" t="s">
        <v>1051</v>
      </c>
      <c r="E1463" s="29">
        <v>150</v>
      </c>
      <c r="G1463" s="29" t="s">
        <v>1031</v>
      </c>
      <c r="H1463" s="29">
        <v>1</v>
      </c>
      <c r="I1463" s="29">
        <v>2.95</v>
      </c>
      <c r="J1463" s="29">
        <v>0.4425</v>
      </c>
      <c r="K1463" s="29">
        <v>0.4425</v>
      </c>
      <c r="L1463" s="29" t="s">
        <v>1032</v>
      </c>
      <c r="M1463" s="29">
        <v>1</v>
      </c>
      <c r="N1463" s="29">
        <v>0.15</v>
      </c>
      <c r="O1463" s="29">
        <v>1</v>
      </c>
      <c r="P1463" s="29">
        <v>0.4425</v>
      </c>
      <c r="Q1463" s="29" t="s">
        <v>1033</v>
      </c>
    </row>
    <row r="1464" spans="1:17" x14ac:dyDescent="0.3">
      <c r="B1464" s="29">
        <v>2</v>
      </c>
      <c r="C1464" s="29" t="s">
        <v>1089</v>
      </c>
      <c r="D1464" s="29" t="s">
        <v>1099</v>
      </c>
      <c r="E1464" s="29">
        <v>150</v>
      </c>
      <c r="G1464" s="29" t="s">
        <v>1031</v>
      </c>
      <c r="H1464" s="29">
        <v>1</v>
      </c>
      <c r="I1464" s="29">
        <v>20.9</v>
      </c>
      <c r="J1464" s="29">
        <v>3.1349999999999998</v>
      </c>
      <c r="K1464" s="29">
        <v>3.1349999999999998</v>
      </c>
      <c r="L1464" s="29" t="s">
        <v>1032</v>
      </c>
      <c r="M1464" s="29">
        <v>1</v>
      </c>
      <c r="N1464" s="29">
        <v>0.15</v>
      </c>
      <c r="O1464" s="29">
        <v>1</v>
      </c>
      <c r="P1464" s="29">
        <v>3.1349999999999998</v>
      </c>
      <c r="Q1464" s="29" t="s">
        <v>1033</v>
      </c>
    </row>
    <row r="1465" spans="1:17" x14ac:dyDescent="0.3">
      <c r="A1465" s="29" t="s">
        <v>802</v>
      </c>
      <c r="B1465" s="29">
        <v>1</v>
      </c>
      <c r="C1465" s="29" t="s">
        <v>1050</v>
      </c>
      <c r="D1465" s="29" t="s">
        <v>1051</v>
      </c>
      <c r="E1465" s="29">
        <v>150</v>
      </c>
      <c r="G1465" s="29" t="s">
        <v>1031</v>
      </c>
      <c r="H1465" s="29">
        <v>1</v>
      </c>
      <c r="I1465" s="29">
        <v>2.95</v>
      </c>
      <c r="J1465" s="29">
        <v>0.4425</v>
      </c>
      <c r="K1465" s="29">
        <v>0.4425</v>
      </c>
      <c r="L1465" s="29" t="s">
        <v>1032</v>
      </c>
      <c r="M1465" s="29">
        <v>1</v>
      </c>
      <c r="N1465" s="29">
        <v>0.15</v>
      </c>
      <c r="O1465" s="29">
        <v>1</v>
      </c>
      <c r="P1465" s="29">
        <v>0.4425</v>
      </c>
      <c r="Q1465" s="29" t="s">
        <v>1033</v>
      </c>
    </row>
    <row r="1466" spans="1:17" x14ac:dyDescent="0.3">
      <c r="B1466" s="29">
        <v>2</v>
      </c>
      <c r="C1466" s="29" t="s">
        <v>1089</v>
      </c>
      <c r="D1466" s="29" t="s">
        <v>1099</v>
      </c>
      <c r="E1466" s="29">
        <v>150</v>
      </c>
      <c r="G1466" s="29" t="s">
        <v>1031</v>
      </c>
      <c r="H1466" s="29">
        <v>1</v>
      </c>
      <c r="I1466" s="29">
        <v>20.9</v>
      </c>
      <c r="J1466" s="29">
        <v>3.1349999999999998</v>
      </c>
      <c r="K1466" s="29">
        <v>3.1349999999999998</v>
      </c>
      <c r="L1466" s="29" t="s">
        <v>1032</v>
      </c>
      <c r="M1466" s="29">
        <v>1</v>
      </c>
      <c r="N1466" s="29">
        <v>0.15</v>
      </c>
      <c r="O1466" s="29">
        <v>1</v>
      </c>
      <c r="P1466" s="29">
        <v>3.1349999999999998</v>
      </c>
      <c r="Q1466" s="29" t="s">
        <v>1033</v>
      </c>
    </row>
    <row r="1467" spans="1:17" x14ac:dyDescent="0.3">
      <c r="A1467" s="29" t="s">
        <v>803</v>
      </c>
      <c r="B1467" s="29">
        <v>1</v>
      </c>
      <c r="C1467" s="29" t="s">
        <v>1050</v>
      </c>
      <c r="D1467" s="29" t="s">
        <v>1051</v>
      </c>
      <c r="E1467" s="29">
        <v>150</v>
      </c>
      <c r="G1467" s="29" t="s">
        <v>1035</v>
      </c>
      <c r="H1467" s="29">
        <v>1</v>
      </c>
      <c r="I1467" s="29">
        <v>2.95</v>
      </c>
      <c r="J1467" s="29">
        <v>0.4425</v>
      </c>
      <c r="K1467" s="29">
        <v>0.4425</v>
      </c>
      <c r="L1467" s="29" t="s">
        <v>1032</v>
      </c>
      <c r="M1467" s="29">
        <v>1</v>
      </c>
      <c r="N1467" s="29">
        <v>0.15</v>
      </c>
      <c r="O1467" s="29">
        <v>1</v>
      </c>
      <c r="P1467" s="29">
        <v>0.4425</v>
      </c>
      <c r="Q1467" s="29" t="s">
        <v>1033</v>
      </c>
    </row>
    <row r="1468" spans="1:17" x14ac:dyDescent="0.3">
      <c r="B1468" s="29">
        <v>2</v>
      </c>
      <c r="C1468" s="29" t="s">
        <v>1089</v>
      </c>
      <c r="D1468" s="29" t="s">
        <v>1099</v>
      </c>
      <c r="E1468" s="29">
        <v>150</v>
      </c>
      <c r="G1468" s="29" t="s">
        <v>1035</v>
      </c>
      <c r="H1468" s="29">
        <v>1</v>
      </c>
      <c r="I1468" s="29">
        <v>20.9</v>
      </c>
      <c r="J1468" s="29">
        <v>3.1349999999999998</v>
      </c>
      <c r="K1468" s="29">
        <v>3.1349999999999998</v>
      </c>
      <c r="L1468" s="29" t="s">
        <v>1032</v>
      </c>
      <c r="M1468" s="29">
        <v>1</v>
      </c>
      <c r="N1468" s="29">
        <v>0.15</v>
      </c>
      <c r="O1468" s="29">
        <v>1</v>
      </c>
      <c r="P1468" s="29">
        <v>3.1349999999999998</v>
      </c>
      <c r="Q1468" s="29" t="s">
        <v>1033</v>
      </c>
    </row>
    <row r="1469" spans="1:17" x14ac:dyDescent="0.3">
      <c r="A1469" s="29" t="s">
        <v>804</v>
      </c>
      <c r="B1469" s="29">
        <v>1</v>
      </c>
      <c r="C1469" s="29" t="s">
        <v>1050</v>
      </c>
      <c r="D1469" s="29" t="s">
        <v>1051</v>
      </c>
      <c r="E1469" s="29">
        <v>150</v>
      </c>
      <c r="G1469" s="29" t="s">
        <v>1035</v>
      </c>
      <c r="H1469" s="29">
        <v>1</v>
      </c>
      <c r="I1469" s="29">
        <v>2.95</v>
      </c>
      <c r="J1469" s="29">
        <v>0.4425</v>
      </c>
      <c r="K1469" s="29">
        <v>0.4425</v>
      </c>
      <c r="L1469" s="29" t="s">
        <v>1032</v>
      </c>
      <c r="M1469" s="29">
        <v>1</v>
      </c>
      <c r="N1469" s="29">
        <v>0.15</v>
      </c>
      <c r="O1469" s="29">
        <v>1</v>
      </c>
      <c r="P1469" s="29">
        <v>0.4425</v>
      </c>
      <c r="Q1469" s="29" t="s">
        <v>1033</v>
      </c>
    </row>
    <row r="1470" spans="1:17" x14ac:dyDescent="0.3">
      <c r="B1470" s="29">
        <v>2</v>
      </c>
      <c r="C1470" s="29" t="s">
        <v>1089</v>
      </c>
      <c r="D1470" s="29" t="s">
        <v>1099</v>
      </c>
      <c r="E1470" s="29">
        <v>150</v>
      </c>
      <c r="G1470" s="29" t="s">
        <v>1035</v>
      </c>
      <c r="H1470" s="29">
        <v>1</v>
      </c>
      <c r="I1470" s="29">
        <v>20.9</v>
      </c>
      <c r="J1470" s="29">
        <v>3.1349999999999998</v>
      </c>
      <c r="K1470" s="29">
        <v>3.1349999999999998</v>
      </c>
      <c r="L1470" s="29" t="s">
        <v>1032</v>
      </c>
      <c r="M1470" s="29">
        <v>1</v>
      </c>
      <c r="N1470" s="29">
        <v>0.15</v>
      </c>
      <c r="O1470" s="29">
        <v>1</v>
      </c>
      <c r="P1470" s="29">
        <v>3.1349999999999998</v>
      </c>
      <c r="Q1470" s="29" t="s">
        <v>1033</v>
      </c>
    </row>
    <row r="1471" spans="1:17" x14ac:dyDescent="0.3">
      <c r="A1471" s="29" t="s">
        <v>805</v>
      </c>
      <c r="B1471" s="29">
        <v>1</v>
      </c>
      <c r="C1471" s="29" t="s">
        <v>1050</v>
      </c>
      <c r="D1471" s="29" t="s">
        <v>1051</v>
      </c>
      <c r="E1471" s="29">
        <v>150</v>
      </c>
      <c r="G1471" s="29" t="s">
        <v>1035</v>
      </c>
      <c r="H1471" s="29">
        <v>1</v>
      </c>
      <c r="I1471" s="29">
        <v>2.95</v>
      </c>
      <c r="J1471" s="29">
        <v>0.4425</v>
      </c>
      <c r="K1471" s="29">
        <v>0.4425</v>
      </c>
      <c r="L1471" s="29" t="s">
        <v>1032</v>
      </c>
      <c r="M1471" s="29">
        <v>1</v>
      </c>
      <c r="N1471" s="29">
        <v>0.15</v>
      </c>
      <c r="O1471" s="29">
        <v>1</v>
      </c>
      <c r="P1471" s="29">
        <v>0.4425</v>
      </c>
      <c r="Q1471" s="29" t="s">
        <v>1033</v>
      </c>
    </row>
    <row r="1472" spans="1:17" x14ac:dyDescent="0.3">
      <c r="B1472" s="29">
        <v>2</v>
      </c>
      <c r="C1472" s="29" t="s">
        <v>1089</v>
      </c>
      <c r="D1472" s="29" t="s">
        <v>1099</v>
      </c>
      <c r="E1472" s="29">
        <v>150</v>
      </c>
      <c r="G1472" s="29" t="s">
        <v>1035</v>
      </c>
      <c r="H1472" s="29">
        <v>1</v>
      </c>
      <c r="I1472" s="29">
        <v>20.9</v>
      </c>
      <c r="J1472" s="29">
        <v>3.1349999999999998</v>
      </c>
      <c r="K1472" s="29">
        <v>3.1349999999999998</v>
      </c>
      <c r="L1472" s="29" t="s">
        <v>1032</v>
      </c>
      <c r="M1472" s="29">
        <v>1</v>
      </c>
      <c r="N1472" s="29">
        <v>0.15</v>
      </c>
      <c r="O1472" s="29">
        <v>1</v>
      </c>
      <c r="P1472" s="29">
        <v>3.1349999999999998</v>
      </c>
      <c r="Q1472" s="29" t="s">
        <v>1033</v>
      </c>
    </row>
    <row r="1473" spans="1:17" x14ac:dyDescent="0.3">
      <c r="A1473" s="29" t="s">
        <v>805</v>
      </c>
      <c r="B1473" s="29">
        <v>1</v>
      </c>
      <c r="C1473" s="29" t="s">
        <v>1050</v>
      </c>
      <c r="D1473" s="29" t="s">
        <v>1051</v>
      </c>
      <c r="E1473" s="29">
        <v>150</v>
      </c>
      <c r="G1473" s="29" t="s">
        <v>1035</v>
      </c>
      <c r="H1473" s="29">
        <v>1</v>
      </c>
      <c r="I1473" s="29">
        <v>2.95</v>
      </c>
      <c r="J1473" s="29">
        <v>0.4425</v>
      </c>
      <c r="K1473" s="29">
        <v>0.4425</v>
      </c>
      <c r="L1473" s="29" t="s">
        <v>1032</v>
      </c>
      <c r="M1473" s="29">
        <v>1</v>
      </c>
      <c r="N1473" s="29">
        <v>0.15</v>
      </c>
      <c r="O1473" s="29">
        <v>1</v>
      </c>
      <c r="P1473" s="29">
        <v>0.4425</v>
      </c>
      <c r="Q1473" s="29" t="s">
        <v>1033</v>
      </c>
    </row>
    <row r="1474" spans="1:17" x14ac:dyDescent="0.3">
      <c r="B1474" s="29">
        <v>2</v>
      </c>
      <c r="C1474" s="29" t="s">
        <v>1089</v>
      </c>
      <c r="D1474" s="29" t="s">
        <v>1099</v>
      </c>
      <c r="E1474" s="29">
        <v>150</v>
      </c>
      <c r="G1474" s="29" t="s">
        <v>1035</v>
      </c>
      <c r="H1474" s="29">
        <v>1</v>
      </c>
      <c r="I1474" s="29">
        <v>20.9</v>
      </c>
      <c r="J1474" s="29">
        <v>3.1349999999999998</v>
      </c>
      <c r="K1474" s="29">
        <v>3.1349999999999998</v>
      </c>
      <c r="L1474" s="29" t="s">
        <v>1032</v>
      </c>
      <c r="M1474" s="29">
        <v>1</v>
      </c>
      <c r="N1474" s="29">
        <v>0.15</v>
      </c>
      <c r="O1474" s="29">
        <v>1</v>
      </c>
      <c r="P1474" s="29">
        <v>3.1349999999999998</v>
      </c>
      <c r="Q1474" s="29" t="s">
        <v>1033</v>
      </c>
    </row>
    <row r="1475" spans="1:17" x14ac:dyDescent="0.3">
      <c r="A1475" s="29" t="s">
        <v>805</v>
      </c>
      <c r="B1475" s="29">
        <v>1</v>
      </c>
      <c r="C1475" s="29" t="s">
        <v>1050</v>
      </c>
      <c r="D1475" s="29" t="s">
        <v>1051</v>
      </c>
      <c r="E1475" s="29">
        <v>150</v>
      </c>
      <c r="G1475" s="29" t="s">
        <v>1035</v>
      </c>
      <c r="H1475" s="29">
        <v>1</v>
      </c>
      <c r="I1475" s="29">
        <v>2.95</v>
      </c>
      <c r="J1475" s="29">
        <v>0.4425</v>
      </c>
      <c r="K1475" s="29">
        <v>0.4425</v>
      </c>
      <c r="L1475" s="29" t="s">
        <v>1032</v>
      </c>
      <c r="M1475" s="29">
        <v>1</v>
      </c>
      <c r="N1475" s="29">
        <v>0.15</v>
      </c>
      <c r="O1475" s="29">
        <v>1</v>
      </c>
      <c r="P1475" s="29">
        <v>0.4425</v>
      </c>
      <c r="Q1475" s="29" t="s">
        <v>1033</v>
      </c>
    </row>
    <row r="1476" spans="1:17" x14ac:dyDescent="0.3">
      <c r="B1476" s="29">
        <v>2</v>
      </c>
      <c r="C1476" s="29" t="s">
        <v>1089</v>
      </c>
      <c r="D1476" s="29" t="s">
        <v>1099</v>
      </c>
      <c r="E1476" s="29">
        <v>150</v>
      </c>
      <c r="G1476" s="29" t="s">
        <v>1035</v>
      </c>
      <c r="H1476" s="29">
        <v>1</v>
      </c>
      <c r="I1476" s="29">
        <v>20.9</v>
      </c>
      <c r="J1476" s="29">
        <v>3.1349999999999998</v>
      </c>
      <c r="K1476" s="29">
        <v>3.1349999999999998</v>
      </c>
      <c r="L1476" s="29" t="s">
        <v>1032</v>
      </c>
      <c r="M1476" s="29">
        <v>1</v>
      </c>
      <c r="N1476" s="29">
        <v>0.15</v>
      </c>
      <c r="O1476" s="29">
        <v>1</v>
      </c>
      <c r="P1476" s="29">
        <v>3.1349999999999998</v>
      </c>
      <c r="Q1476" s="29" t="s">
        <v>1033</v>
      </c>
    </row>
    <row r="1477" spans="1:17" x14ac:dyDescent="0.3">
      <c r="A1477" s="29" t="s">
        <v>805</v>
      </c>
      <c r="B1477" s="29">
        <v>1</v>
      </c>
      <c r="C1477" s="29" t="s">
        <v>1050</v>
      </c>
      <c r="D1477" s="29" t="s">
        <v>1051</v>
      </c>
      <c r="E1477" s="29">
        <v>150</v>
      </c>
      <c r="G1477" s="29" t="s">
        <v>1035</v>
      </c>
      <c r="H1477" s="29">
        <v>1</v>
      </c>
      <c r="I1477" s="29">
        <v>2.95</v>
      </c>
      <c r="J1477" s="29">
        <v>0.4425</v>
      </c>
      <c r="K1477" s="29">
        <v>0.4425</v>
      </c>
      <c r="L1477" s="29" t="s">
        <v>1032</v>
      </c>
      <c r="M1477" s="29">
        <v>1</v>
      </c>
      <c r="N1477" s="29">
        <v>0.15</v>
      </c>
      <c r="O1477" s="29">
        <v>1</v>
      </c>
      <c r="P1477" s="29">
        <v>0.4425</v>
      </c>
      <c r="Q1477" s="29" t="s">
        <v>1033</v>
      </c>
    </row>
    <row r="1478" spans="1:17" x14ac:dyDescent="0.3">
      <c r="B1478" s="29">
        <v>2</v>
      </c>
      <c r="C1478" s="29" t="s">
        <v>1089</v>
      </c>
      <c r="D1478" s="29" t="s">
        <v>1099</v>
      </c>
      <c r="E1478" s="29">
        <v>150</v>
      </c>
      <c r="G1478" s="29" t="s">
        <v>1035</v>
      </c>
      <c r="H1478" s="29">
        <v>1</v>
      </c>
      <c r="I1478" s="29">
        <v>20.9</v>
      </c>
      <c r="J1478" s="29">
        <v>3.1349999999999998</v>
      </c>
      <c r="K1478" s="29">
        <v>3.1349999999999998</v>
      </c>
      <c r="L1478" s="29" t="s">
        <v>1032</v>
      </c>
      <c r="M1478" s="29">
        <v>1</v>
      </c>
      <c r="N1478" s="29">
        <v>0.15</v>
      </c>
      <c r="O1478" s="29">
        <v>1</v>
      </c>
      <c r="P1478" s="29">
        <v>3.1349999999999998</v>
      </c>
      <c r="Q1478" s="29" t="s">
        <v>1033</v>
      </c>
    </row>
    <row r="1479" spans="1:17" x14ac:dyDescent="0.3">
      <c r="A1479" s="29" t="s">
        <v>805</v>
      </c>
      <c r="B1479" s="29">
        <v>1</v>
      </c>
      <c r="C1479" s="29" t="s">
        <v>1050</v>
      </c>
      <c r="D1479" s="29" t="s">
        <v>1051</v>
      </c>
      <c r="E1479" s="29">
        <v>150</v>
      </c>
      <c r="G1479" s="29" t="s">
        <v>1035</v>
      </c>
      <c r="H1479" s="29">
        <v>1</v>
      </c>
      <c r="I1479" s="29">
        <v>2.95</v>
      </c>
      <c r="J1479" s="29">
        <v>0.4425</v>
      </c>
      <c r="K1479" s="29">
        <v>0.4425</v>
      </c>
      <c r="L1479" s="29" t="s">
        <v>1032</v>
      </c>
      <c r="M1479" s="29">
        <v>1</v>
      </c>
      <c r="N1479" s="29">
        <v>0.15</v>
      </c>
      <c r="O1479" s="29">
        <v>1</v>
      </c>
      <c r="P1479" s="29">
        <v>0.4425</v>
      </c>
      <c r="Q1479" s="29" t="s">
        <v>1033</v>
      </c>
    </row>
    <row r="1480" spans="1:17" x14ac:dyDescent="0.3">
      <c r="B1480" s="29">
        <v>2</v>
      </c>
      <c r="C1480" s="29" t="s">
        <v>1089</v>
      </c>
      <c r="D1480" s="29" t="s">
        <v>1099</v>
      </c>
      <c r="E1480" s="29">
        <v>150</v>
      </c>
      <c r="G1480" s="29" t="s">
        <v>1035</v>
      </c>
      <c r="H1480" s="29">
        <v>1</v>
      </c>
      <c r="I1480" s="29">
        <v>20.9</v>
      </c>
      <c r="J1480" s="29">
        <v>3.1349999999999998</v>
      </c>
      <c r="K1480" s="29">
        <v>3.1349999999999998</v>
      </c>
      <c r="L1480" s="29" t="s">
        <v>1032</v>
      </c>
      <c r="M1480" s="29">
        <v>1</v>
      </c>
      <c r="N1480" s="29">
        <v>0.15</v>
      </c>
      <c r="O1480" s="29">
        <v>1</v>
      </c>
      <c r="P1480" s="29">
        <v>3.1349999999999998</v>
      </c>
      <c r="Q1480" s="29" t="s">
        <v>1033</v>
      </c>
    </row>
    <row r="1481" spans="1:17" x14ac:dyDescent="0.3">
      <c r="A1481" s="29" t="s">
        <v>805</v>
      </c>
      <c r="B1481" s="29">
        <v>1</v>
      </c>
      <c r="C1481" s="29" t="s">
        <v>1050</v>
      </c>
      <c r="D1481" s="29" t="s">
        <v>1051</v>
      </c>
      <c r="E1481" s="29">
        <v>150</v>
      </c>
      <c r="G1481" s="29" t="s">
        <v>1035</v>
      </c>
      <c r="H1481" s="29">
        <v>1</v>
      </c>
      <c r="I1481" s="29">
        <v>2.95</v>
      </c>
      <c r="J1481" s="29">
        <v>0.4425</v>
      </c>
      <c r="K1481" s="29">
        <v>0.4425</v>
      </c>
      <c r="L1481" s="29" t="s">
        <v>1032</v>
      </c>
      <c r="M1481" s="29">
        <v>1</v>
      </c>
      <c r="N1481" s="29">
        <v>0.15</v>
      </c>
      <c r="O1481" s="29">
        <v>1</v>
      </c>
      <c r="P1481" s="29">
        <v>0.4425</v>
      </c>
      <c r="Q1481" s="29" t="s">
        <v>1033</v>
      </c>
    </row>
    <row r="1482" spans="1:17" x14ac:dyDescent="0.3">
      <c r="B1482" s="29">
        <v>2</v>
      </c>
      <c r="C1482" s="29" t="s">
        <v>1089</v>
      </c>
      <c r="D1482" s="29" t="s">
        <v>1099</v>
      </c>
      <c r="E1482" s="29">
        <v>150</v>
      </c>
      <c r="G1482" s="29" t="s">
        <v>1035</v>
      </c>
      <c r="H1482" s="29">
        <v>1</v>
      </c>
      <c r="I1482" s="29">
        <v>20.9</v>
      </c>
      <c r="J1482" s="29">
        <v>3.1349999999999998</v>
      </c>
      <c r="K1482" s="29">
        <v>3.1349999999999998</v>
      </c>
      <c r="L1482" s="29" t="s">
        <v>1032</v>
      </c>
      <c r="M1482" s="29">
        <v>1</v>
      </c>
      <c r="N1482" s="29">
        <v>0.15</v>
      </c>
      <c r="O1482" s="29">
        <v>1</v>
      </c>
      <c r="P1482" s="29">
        <v>3.1349999999999998</v>
      </c>
      <c r="Q1482" s="29" t="s">
        <v>1033</v>
      </c>
    </row>
    <row r="1483" spans="1:17" x14ac:dyDescent="0.3">
      <c r="A1483" s="29" t="s">
        <v>805</v>
      </c>
      <c r="B1483" s="29">
        <v>1</v>
      </c>
      <c r="C1483" s="29" t="s">
        <v>1050</v>
      </c>
      <c r="D1483" s="29" t="s">
        <v>1051</v>
      </c>
      <c r="E1483" s="29">
        <v>150</v>
      </c>
      <c r="G1483" s="29" t="s">
        <v>1035</v>
      </c>
      <c r="H1483" s="29">
        <v>1</v>
      </c>
      <c r="I1483" s="29">
        <v>2.95</v>
      </c>
      <c r="J1483" s="29">
        <v>0.4425</v>
      </c>
      <c r="K1483" s="29">
        <v>0.4425</v>
      </c>
      <c r="L1483" s="29" t="s">
        <v>1032</v>
      </c>
      <c r="M1483" s="29">
        <v>1</v>
      </c>
      <c r="N1483" s="29">
        <v>0.15</v>
      </c>
      <c r="O1483" s="29">
        <v>1</v>
      </c>
      <c r="P1483" s="29">
        <v>0.4425</v>
      </c>
      <c r="Q1483" s="29" t="s">
        <v>1033</v>
      </c>
    </row>
    <row r="1484" spans="1:17" x14ac:dyDescent="0.3">
      <c r="B1484" s="29">
        <v>2</v>
      </c>
      <c r="C1484" s="29" t="s">
        <v>1089</v>
      </c>
      <c r="D1484" s="29" t="s">
        <v>1099</v>
      </c>
      <c r="E1484" s="29">
        <v>150</v>
      </c>
      <c r="G1484" s="29" t="s">
        <v>1035</v>
      </c>
      <c r="H1484" s="29">
        <v>1</v>
      </c>
      <c r="I1484" s="29">
        <v>20.9</v>
      </c>
      <c r="J1484" s="29">
        <v>3.1349999999999998</v>
      </c>
      <c r="K1484" s="29">
        <v>3.1349999999999998</v>
      </c>
      <c r="L1484" s="29" t="s">
        <v>1032</v>
      </c>
      <c r="M1484" s="29">
        <v>1</v>
      </c>
      <c r="N1484" s="29">
        <v>0.15</v>
      </c>
      <c r="O1484" s="29">
        <v>1</v>
      </c>
      <c r="P1484" s="29">
        <v>3.1349999999999998</v>
      </c>
      <c r="Q1484" s="29" t="s">
        <v>1033</v>
      </c>
    </row>
    <row r="1485" spans="1:17" x14ac:dyDescent="0.3">
      <c r="A1485" s="29" t="s">
        <v>805</v>
      </c>
      <c r="B1485" s="29">
        <v>1</v>
      </c>
      <c r="C1485" s="29" t="s">
        <v>1050</v>
      </c>
      <c r="D1485" s="29" t="s">
        <v>1051</v>
      </c>
      <c r="E1485" s="29">
        <v>150</v>
      </c>
      <c r="G1485" s="29" t="s">
        <v>1035</v>
      </c>
      <c r="H1485" s="29">
        <v>1</v>
      </c>
      <c r="I1485" s="29">
        <v>2.95</v>
      </c>
      <c r="J1485" s="29">
        <v>0.4425</v>
      </c>
      <c r="K1485" s="29">
        <v>0.4425</v>
      </c>
      <c r="L1485" s="29" t="s">
        <v>1032</v>
      </c>
      <c r="M1485" s="29">
        <v>1</v>
      </c>
      <c r="N1485" s="29">
        <v>0.15</v>
      </c>
      <c r="O1485" s="29">
        <v>1</v>
      </c>
      <c r="P1485" s="29">
        <v>0.4425</v>
      </c>
      <c r="Q1485" s="29" t="s">
        <v>1033</v>
      </c>
    </row>
    <row r="1486" spans="1:17" x14ac:dyDescent="0.3">
      <c r="B1486" s="29">
        <v>2</v>
      </c>
      <c r="C1486" s="29" t="s">
        <v>1089</v>
      </c>
      <c r="D1486" s="29" t="s">
        <v>1099</v>
      </c>
      <c r="E1486" s="29">
        <v>150</v>
      </c>
      <c r="G1486" s="29" t="s">
        <v>1035</v>
      </c>
      <c r="H1486" s="29">
        <v>1</v>
      </c>
      <c r="I1486" s="29">
        <v>20.9</v>
      </c>
      <c r="J1486" s="29">
        <v>3.1349999999999998</v>
      </c>
      <c r="K1486" s="29">
        <v>3.1349999999999998</v>
      </c>
      <c r="L1486" s="29" t="s">
        <v>1032</v>
      </c>
      <c r="M1486" s="29">
        <v>1</v>
      </c>
      <c r="N1486" s="29">
        <v>0.15</v>
      </c>
      <c r="O1486" s="29">
        <v>1</v>
      </c>
      <c r="P1486" s="29">
        <v>3.1349999999999998</v>
      </c>
      <c r="Q1486" s="29" t="s">
        <v>1033</v>
      </c>
    </row>
    <row r="1487" spans="1:17" x14ac:dyDescent="0.3">
      <c r="A1487" s="29" t="s">
        <v>805</v>
      </c>
      <c r="B1487" s="29">
        <v>1</v>
      </c>
      <c r="C1487" s="29" t="s">
        <v>1050</v>
      </c>
      <c r="D1487" s="29" t="s">
        <v>1051</v>
      </c>
      <c r="E1487" s="29">
        <v>150</v>
      </c>
      <c r="G1487" s="29" t="s">
        <v>1035</v>
      </c>
      <c r="H1487" s="29">
        <v>1</v>
      </c>
      <c r="I1487" s="29">
        <v>2.95</v>
      </c>
      <c r="J1487" s="29">
        <v>0.4425</v>
      </c>
      <c r="K1487" s="29">
        <v>0.4425</v>
      </c>
      <c r="L1487" s="29" t="s">
        <v>1032</v>
      </c>
      <c r="M1487" s="29">
        <v>1</v>
      </c>
      <c r="N1487" s="29">
        <v>0.15</v>
      </c>
      <c r="O1487" s="29">
        <v>1</v>
      </c>
      <c r="P1487" s="29">
        <v>0.4425</v>
      </c>
      <c r="Q1487" s="29" t="s">
        <v>1033</v>
      </c>
    </row>
    <row r="1488" spans="1:17" x14ac:dyDescent="0.3">
      <c r="B1488" s="29">
        <v>2</v>
      </c>
      <c r="C1488" s="29" t="s">
        <v>1089</v>
      </c>
      <c r="D1488" s="29" t="s">
        <v>1099</v>
      </c>
      <c r="E1488" s="29">
        <v>150</v>
      </c>
      <c r="G1488" s="29" t="s">
        <v>1035</v>
      </c>
      <c r="H1488" s="29">
        <v>1</v>
      </c>
      <c r="I1488" s="29">
        <v>20.9</v>
      </c>
      <c r="J1488" s="29">
        <v>3.1349999999999998</v>
      </c>
      <c r="K1488" s="29">
        <v>3.1349999999999998</v>
      </c>
      <c r="L1488" s="29" t="s">
        <v>1032</v>
      </c>
      <c r="M1488" s="29">
        <v>1</v>
      </c>
      <c r="N1488" s="29">
        <v>0.15</v>
      </c>
      <c r="O1488" s="29">
        <v>1</v>
      </c>
      <c r="P1488" s="29">
        <v>3.1349999999999998</v>
      </c>
      <c r="Q1488" s="29" t="s">
        <v>1033</v>
      </c>
    </row>
    <row r="1489" spans="1:17" x14ac:dyDescent="0.3">
      <c r="A1489" s="29" t="s">
        <v>805</v>
      </c>
      <c r="B1489" s="29">
        <v>1</v>
      </c>
      <c r="C1489" s="29" t="s">
        <v>1050</v>
      </c>
      <c r="D1489" s="29" t="s">
        <v>1051</v>
      </c>
      <c r="E1489" s="29">
        <v>150</v>
      </c>
      <c r="G1489" s="29" t="s">
        <v>1035</v>
      </c>
      <c r="H1489" s="29">
        <v>1</v>
      </c>
      <c r="I1489" s="29">
        <v>2.95</v>
      </c>
      <c r="J1489" s="29">
        <v>0.4425</v>
      </c>
      <c r="K1489" s="29">
        <v>0.4425</v>
      </c>
      <c r="L1489" s="29" t="s">
        <v>1032</v>
      </c>
      <c r="M1489" s="29">
        <v>1</v>
      </c>
      <c r="N1489" s="29">
        <v>0.15</v>
      </c>
      <c r="O1489" s="29">
        <v>1</v>
      </c>
      <c r="P1489" s="29">
        <v>0.4425</v>
      </c>
      <c r="Q1489" s="29" t="s">
        <v>1033</v>
      </c>
    </row>
    <row r="1490" spans="1:17" x14ac:dyDescent="0.3">
      <c r="B1490" s="29">
        <v>2</v>
      </c>
      <c r="C1490" s="29" t="s">
        <v>1089</v>
      </c>
      <c r="D1490" s="29" t="s">
        <v>1099</v>
      </c>
      <c r="E1490" s="29">
        <v>150</v>
      </c>
      <c r="G1490" s="29" t="s">
        <v>1035</v>
      </c>
      <c r="H1490" s="29">
        <v>1</v>
      </c>
      <c r="I1490" s="29">
        <v>20.9</v>
      </c>
      <c r="J1490" s="29">
        <v>3.1349999999999998</v>
      </c>
      <c r="K1490" s="29">
        <v>3.1349999999999998</v>
      </c>
      <c r="L1490" s="29" t="s">
        <v>1032</v>
      </c>
      <c r="M1490" s="29">
        <v>1</v>
      </c>
      <c r="N1490" s="29">
        <v>0.15</v>
      </c>
      <c r="O1490" s="29">
        <v>1</v>
      </c>
      <c r="P1490" s="29">
        <v>3.1349999999999998</v>
      </c>
      <c r="Q1490" s="29" t="s">
        <v>1033</v>
      </c>
    </row>
    <row r="1491" spans="1:17" x14ac:dyDescent="0.3">
      <c r="A1491" s="29" t="s">
        <v>806</v>
      </c>
      <c r="B1491" s="29">
        <v>1</v>
      </c>
      <c r="C1491" s="29" t="s">
        <v>1050</v>
      </c>
      <c r="D1491" s="29" t="s">
        <v>1051</v>
      </c>
      <c r="E1491" s="29">
        <v>150</v>
      </c>
      <c r="G1491" s="29" t="s">
        <v>1031</v>
      </c>
      <c r="H1491" s="29">
        <v>1</v>
      </c>
      <c r="I1491" s="29">
        <v>2.95</v>
      </c>
      <c r="J1491" s="29">
        <v>0.4425</v>
      </c>
      <c r="K1491" s="29">
        <v>0.4425</v>
      </c>
      <c r="L1491" s="29" t="s">
        <v>1032</v>
      </c>
      <c r="M1491" s="29">
        <v>1</v>
      </c>
      <c r="N1491" s="29">
        <v>0.15</v>
      </c>
      <c r="O1491" s="29">
        <v>1</v>
      </c>
      <c r="P1491" s="29">
        <v>0.4425</v>
      </c>
      <c r="Q1491" s="29" t="s">
        <v>1033</v>
      </c>
    </row>
    <row r="1492" spans="1:17" x14ac:dyDescent="0.3">
      <c r="B1492" s="29">
        <v>2</v>
      </c>
      <c r="C1492" s="29" t="s">
        <v>1089</v>
      </c>
      <c r="D1492" s="29" t="s">
        <v>1099</v>
      </c>
      <c r="E1492" s="29">
        <v>150</v>
      </c>
      <c r="G1492" s="29" t="s">
        <v>1031</v>
      </c>
      <c r="H1492" s="29">
        <v>1</v>
      </c>
      <c r="I1492" s="29">
        <v>20.9</v>
      </c>
      <c r="J1492" s="29">
        <v>3.1349999999999998</v>
      </c>
      <c r="K1492" s="29">
        <v>3.1349999999999998</v>
      </c>
      <c r="L1492" s="29" t="s">
        <v>1032</v>
      </c>
      <c r="M1492" s="29">
        <v>1</v>
      </c>
      <c r="N1492" s="29">
        <v>0.15</v>
      </c>
      <c r="O1492" s="29">
        <v>1</v>
      </c>
      <c r="P1492" s="29">
        <v>3.1349999999999998</v>
      </c>
      <c r="Q1492" s="29" t="s">
        <v>1033</v>
      </c>
    </row>
    <row r="1493" spans="1:17" x14ac:dyDescent="0.3">
      <c r="A1493" s="29" t="s">
        <v>806</v>
      </c>
      <c r="B1493" s="29">
        <v>1</v>
      </c>
      <c r="C1493" s="29" t="s">
        <v>1050</v>
      </c>
      <c r="D1493" s="29" t="s">
        <v>1051</v>
      </c>
      <c r="E1493" s="29">
        <v>150</v>
      </c>
      <c r="G1493" s="29" t="s">
        <v>1031</v>
      </c>
      <c r="H1493" s="29">
        <v>1</v>
      </c>
      <c r="I1493" s="29">
        <v>2.95</v>
      </c>
      <c r="J1493" s="29">
        <v>0.4425</v>
      </c>
      <c r="K1493" s="29">
        <v>0.4425</v>
      </c>
      <c r="L1493" s="29" t="s">
        <v>1032</v>
      </c>
      <c r="M1493" s="29">
        <v>1</v>
      </c>
      <c r="N1493" s="29">
        <v>0.15</v>
      </c>
      <c r="O1493" s="29">
        <v>1</v>
      </c>
      <c r="P1493" s="29">
        <v>0.4425</v>
      </c>
      <c r="Q1493" s="29" t="s">
        <v>1033</v>
      </c>
    </row>
    <row r="1494" spans="1:17" x14ac:dyDescent="0.3">
      <c r="B1494" s="29">
        <v>2</v>
      </c>
      <c r="C1494" s="29" t="s">
        <v>1089</v>
      </c>
      <c r="D1494" s="29" t="s">
        <v>1099</v>
      </c>
      <c r="E1494" s="29">
        <v>150</v>
      </c>
      <c r="G1494" s="29" t="s">
        <v>1031</v>
      </c>
      <c r="H1494" s="29">
        <v>1</v>
      </c>
      <c r="I1494" s="29">
        <v>20.9</v>
      </c>
      <c r="J1494" s="29">
        <v>3.1349999999999998</v>
      </c>
      <c r="K1494" s="29">
        <v>3.1349999999999998</v>
      </c>
      <c r="L1494" s="29" t="s">
        <v>1032</v>
      </c>
      <c r="M1494" s="29">
        <v>1</v>
      </c>
      <c r="N1494" s="29">
        <v>0.15</v>
      </c>
      <c r="O1494" s="29">
        <v>1</v>
      </c>
      <c r="P1494" s="29">
        <v>3.1349999999999998</v>
      </c>
      <c r="Q1494" s="29" t="s">
        <v>1033</v>
      </c>
    </row>
    <row r="1495" spans="1:17" x14ac:dyDescent="0.3">
      <c r="A1495" s="29" t="s">
        <v>807</v>
      </c>
      <c r="B1495" s="29">
        <v>1</v>
      </c>
      <c r="C1495" s="29" t="s">
        <v>1050</v>
      </c>
      <c r="D1495" s="29" t="s">
        <v>1051</v>
      </c>
      <c r="E1495" s="29">
        <v>150</v>
      </c>
      <c r="G1495" s="29" t="s">
        <v>1031</v>
      </c>
      <c r="H1495" s="29">
        <v>1</v>
      </c>
      <c r="I1495" s="29">
        <v>2.95</v>
      </c>
      <c r="J1495" s="29">
        <v>0.4425</v>
      </c>
      <c r="K1495" s="29">
        <v>0.4425</v>
      </c>
      <c r="L1495" s="29" t="s">
        <v>1032</v>
      </c>
      <c r="M1495" s="29">
        <v>1</v>
      </c>
      <c r="N1495" s="29">
        <v>0.15</v>
      </c>
      <c r="O1495" s="29">
        <v>1</v>
      </c>
      <c r="P1495" s="29">
        <v>0.4425</v>
      </c>
      <c r="Q1495" s="29" t="s">
        <v>1033</v>
      </c>
    </row>
    <row r="1496" spans="1:17" x14ac:dyDescent="0.3">
      <c r="B1496" s="29">
        <v>2</v>
      </c>
      <c r="C1496" s="29" t="s">
        <v>1089</v>
      </c>
      <c r="D1496" s="29" t="s">
        <v>1099</v>
      </c>
      <c r="E1496" s="29">
        <v>150</v>
      </c>
      <c r="G1496" s="29" t="s">
        <v>1031</v>
      </c>
      <c r="H1496" s="29">
        <v>1</v>
      </c>
      <c r="I1496" s="29">
        <v>20.9</v>
      </c>
      <c r="J1496" s="29">
        <v>3.1349999999999998</v>
      </c>
      <c r="K1496" s="29">
        <v>3.1349999999999998</v>
      </c>
      <c r="L1496" s="29" t="s">
        <v>1032</v>
      </c>
      <c r="M1496" s="29">
        <v>1</v>
      </c>
      <c r="N1496" s="29">
        <v>0.15</v>
      </c>
      <c r="O1496" s="29">
        <v>1</v>
      </c>
      <c r="P1496" s="29">
        <v>3.1349999999999998</v>
      </c>
      <c r="Q1496" s="29" t="s">
        <v>1033</v>
      </c>
    </row>
    <row r="1497" spans="1:17" x14ac:dyDescent="0.3">
      <c r="A1497" s="29" t="s">
        <v>808</v>
      </c>
      <c r="B1497" s="29">
        <v>1</v>
      </c>
      <c r="C1497" s="29" t="s">
        <v>1050</v>
      </c>
      <c r="D1497" s="29" t="s">
        <v>1051</v>
      </c>
      <c r="E1497" s="29">
        <v>150</v>
      </c>
      <c r="G1497" s="29" t="s">
        <v>1035</v>
      </c>
      <c r="H1497" s="29">
        <v>1</v>
      </c>
      <c r="I1497" s="29">
        <v>2.95</v>
      </c>
      <c r="J1497" s="29">
        <v>0.4425</v>
      </c>
      <c r="K1497" s="29">
        <v>0.4425</v>
      </c>
      <c r="L1497" s="29" t="s">
        <v>1032</v>
      </c>
      <c r="M1497" s="29">
        <v>1</v>
      </c>
      <c r="N1497" s="29">
        <v>0.15</v>
      </c>
      <c r="O1497" s="29">
        <v>1</v>
      </c>
      <c r="P1497" s="29">
        <v>0.4425</v>
      </c>
      <c r="Q1497" s="29" t="s">
        <v>1033</v>
      </c>
    </row>
    <row r="1498" spans="1:17" x14ac:dyDescent="0.3">
      <c r="B1498" s="29">
        <v>2</v>
      </c>
      <c r="C1498" s="29" t="s">
        <v>1089</v>
      </c>
      <c r="D1498" s="29" t="s">
        <v>1099</v>
      </c>
      <c r="E1498" s="29">
        <v>150</v>
      </c>
      <c r="G1498" s="29" t="s">
        <v>1035</v>
      </c>
      <c r="H1498" s="29">
        <v>1</v>
      </c>
      <c r="I1498" s="29">
        <v>20.9</v>
      </c>
      <c r="J1498" s="29">
        <v>3.1349999999999998</v>
      </c>
      <c r="K1498" s="29">
        <v>3.1349999999999998</v>
      </c>
      <c r="L1498" s="29" t="s">
        <v>1032</v>
      </c>
      <c r="M1498" s="29">
        <v>1</v>
      </c>
      <c r="N1498" s="29">
        <v>0.15</v>
      </c>
      <c r="O1498" s="29">
        <v>1</v>
      </c>
      <c r="P1498" s="29">
        <v>3.1349999999999998</v>
      </c>
      <c r="Q1498" s="29" t="s">
        <v>1033</v>
      </c>
    </row>
    <row r="1499" spans="1:17" x14ac:dyDescent="0.3">
      <c r="A1499" s="29" t="s">
        <v>809</v>
      </c>
      <c r="B1499" s="29">
        <v>1</v>
      </c>
      <c r="C1499" s="29" t="s">
        <v>1050</v>
      </c>
      <c r="D1499" s="29" t="s">
        <v>1051</v>
      </c>
      <c r="E1499" s="29">
        <v>150</v>
      </c>
      <c r="G1499" s="29" t="s">
        <v>1035</v>
      </c>
      <c r="H1499" s="29">
        <v>1</v>
      </c>
      <c r="I1499" s="29">
        <v>2.95</v>
      </c>
      <c r="J1499" s="29">
        <v>0.4425</v>
      </c>
      <c r="K1499" s="29">
        <v>0.4425</v>
      </c>
      <c r="L1499" s="29" t="s">
        <v>1032</v>
      </c>
      <c r="M1499" s="29">
        <v>1</v>
      </c>
      <c r="N1499" s="29">
        <v>0.15</v>
      </c>
      <c r="O1499" s="29">
        <v>1</v>
      </c>
      <c r="P1499" s="29">
        <v>0.4425</v>
      </c>
      <c r="Q1499" s="29" t="s">
        <v>1033</v>
      </c>
    </row>
    <row r="1500" spans="1:17" x14ac:dyDescent="0.3">
      <c r="B1500" s="29">
        <v>2</v>
      </c>
      <c r="C1500" s="29" t="s">
        <v>1089</v>
      </c>
      <c r="D1500" s="29" t="s">
        <v>1099</v>
      </c>
      <c r="E1500" s="29">
        <v>150</v>
      </c>
      <c r="G1500" s="29" t="s">
        <v>1035</v>
      </c>
      <c r="H1500" s="29">
        <v>1</v>
      </c>
      <c r="I1500" s="29">
        <v>20.9</v>
      </c>
      <c r="J1500" s="29">
        <v>3.1349999999999998</v>
      </c>
      <c r="K1500" s="29">
        <v>3.1349999999999998</v>
      </c>
      <c r="L1500" s="29" t="s">
        <v>1032</v>
      </c>
      <c r="M1500" s="29">
        <v>1</v>
      </c>
      <c r="N1500" s="29">
        <v>0.15</v>
      </c>
      <c r="O1500" s="29">
        <v>1</v>
      </c>
      <c r="P1500" s="29">
        <v>3.1349999999999998</v>
      </c>
      <c r="Q1500" s="29" t="s">
        <v>1033</v>
      </c>
    </row>
    <row r="1501" spans="1:17" x14ac:dyDescent="0.3">
      <c r="A1501" s="29" t="s">
        <v>810</v>
      </c>
      <c r="B1501" s="29">
        <v>1</v>
      </c>
      <c r="C1501" s="29" t="s">
        <v>1050</v>
      </c>
      <c r="D1501" s="29" t="s">
        <v>1051</v>
      </c>
      <c r="E1501" s="29">
        <v>150</v>
      </c>
      <c r="G1501" s="29" t="s">
        <v>1035</v>
      </c>
      <c r="H1501" s="29">
        <v>1</v>
      </c>
      <c r="I1501" s="29">
        <v>2.95</v>
      </c>
      <c r="J1501" s="29">
        <v>0.4425</v>
      </c>
      <c r="K1501" s="29">
        <v>0.4425</v>
      </c>
      <c r="L1501" s="29" t="s">
        <v>1032</v>
      </c>
      <c r="M1501" s="29">
        <v>1</v>
      </c>
      <c r="N1501" s="29">
        <v>0.15</v>
      </c>
      <c r="O1501" s="29">
        <v>1</v>
      </c>
      <c r="P1501" s="29">
        <v>0.4425</v>
      </c>
      <c r="Q1501" s="29" t="s">
        <v>1033</v>
      </c>
    </row>
    <row r="1502" spans="1:17" x14ac:dyDescent="0.3">
      <c r="B1502" s="29">
        <v>2</v>
      </c>
      <c r="C1502" s="29" t="s">
        <v>1089</v>
      </c>
      <c r="D1502" s="29" t="s">
        <v>1099</v>
      </c>
      <c r="E1502" s="29">
        <v>150</v>
      </c>
      <c r="G1502" s="29" t="s">
        <v>1035</v>
      </c>
      <c r="H1502" s="29">
        <v>1</v>
      </c>
      <c r="I1502" s="29">
        <v>20.9</v>
      </c>
      <c r="J1502" s="29">
        <v>3.1349999999999998</v>
      </c>
      <c r="K1502" s="29">
        <v>3.1349999999999998</v>
      </c>
      <c r="L1502" s="29" t="s">
        <v>1032</v>
      </c>
      <c r="M1502" s="29">
        <v>1</v>
      </c>
      <c r="N1502" s="29">
        <v>0.15</v>
      </c>
      <c r="O1502" s="29">
        <v>1</v>
      </c>
      <c r="P1502" s="29">
        <v>3.1349999999999998</v>
      </c>
      <c r="Q1502" s="29" t="s">
        <v>1033</v>
      </c>
    </row>
    <row r="1503" spans="1:17" x14ac:dyDescent="0.3">
      <c r="A1503" s="29" t="s">
        <v>811</v>
      </c>
      <c r="B1503" s="29">
        <v>1</v>
      </c>
      <c r="C1503" s="29" t="s">
        <v>1050</v>
      </c>
      <c r="D1503" s="29" t="s">
        <v>1051</v>
      </c>
      <c r="E1503" s="29">
        <v>150</v>
      </c>
      <c r="G1503" s="29" t="s">
        <v>1035</v>
      </c>
      <c r="H1503" s="29">
        <v>1</v>
      </c>
      <c r="I1503" s="29">
        <v>2.95</v>
      </c>
      <c r="J1503" s="29">
        <v>0.4425</v>
      </c>
      <c r="K1503" s="29">
        <v>0.4425</v>
      </c>
      <c r="L1503" s="29" t="s">
        <v>1032</v>
      </c>
      <c r="M1503" s="29">
        <v>1</v>
      </c>
      <c r="N1503" s="29">
        <v>0.15</v>
      </c>
      <c r="O1503" s="29">
        <v>1</v>
      </c>
      <c r="P1503" s="29">
        <v>0.4425</v>
      </c>
      <c r="Q1503" s="29" t="s">
        <v>1033</v>
      </c>
    </row>
    <row r="1504" spans="1:17" x14ac:dyDescent="0.3">
      <c r="B1504" s="29">
        <v>2</v>
      </c>
      <c r="C1504" s="29" t="s">
        <v>1089</v>
      </c>
      <c r="D1504" s="29" t="s">
        <v>1099</v>
      </c>
      <c r="E1504" s="29">
        <v>250</v>
      </c>
      <c r="G1504" s="29" t="s">
        <v>1035</v>
      </c>
      <c r="H1504" s="29">
        <v>1</v>
      </c>
      <c r="I1504" s="29">
        <v>20.9</v>
      </c>
      <c r="J1504" s="29">
        <v>5.2249999999999996</v>
      </c>
      <c r="K1504" s="29">
        <v>5.2249999999999996</v>
      </c>
      <c r="L1504" s="29" t="s">
        <v>1032</v>
      </c>
      <c r="M1504" s="29">
        <v>1</v>
      </c>
      <c r="N1504" s="29">
        <v>0.25</v>
      </c>
      <c r="O1504" s="29">
        <v>1</v>
      </c>
      <c r="P1504" s="29">
        <v>5.2249999999999996</v>
      </c>
      <c r="Q1504" s="29" t="s">
        <v>1033</v>
      </c>
    </row>
    <row r="1505" spans="1:17" x14ac:dyDescent="0.3">
      <c r="A1505" s="29" t="s">
        <v>811</v>
      </c>
      <c r="B1505" s="29">
        <v>1</v>
      </c>
      <c r="C1505" s="29" t="s">
        <v>1050</v>
      </c>
      <c r="D1505" s="29" t="s">
        <v>1051</v>
      </c>
      <c r="E1505" s="29">
        <v>150</v>
      </c>
      <c r="G1505" s="29" t="s">
        <v>1035</v>
      </c>
      <c r="H1505" s="29">
        <v>1</v>
      </c>
      <c r="I1505" s="29">
        <v>2.95</v>
      </c>
      <c r="J1505" s="29">
        <v>0.4425</v>
      </c>
      <c r="K1505" s="29">
        <v>0.4425</v>
      </c>
      <c r="L1505" s="29" t="s">
        <v>1032</v>
      </c>
      <c r="M1505" s="29">
        <v>1</v>
      </c>
      <c r="N1505" s="29">
        <v>0.15</v>
      </c>
      <c r="O1505" s="29">
        <v>1</v>
      </c>
      <c r="P1505" s="29">
        <v>0.4425</v>
      </c>
      <c r="Q1505" s="29" t="s">
        <v>1033</v>
      </c>
    </row>
    <row r="1506" spans="1:17" x14ac:dyDescent="0.3">
      <c r="B1506" s="29">
        <v>2</v>
      </c>
      <c r="C1506" s="29" t="s">
        <v>1089</v>
      </c>
      <c r="D1506" s="29" t="s">
        <v>1099</v>
      </c>
      <c r="E1506" s="29">
        <v>250</v>
      </c>
      <c r="G1506" s="29" t="s">
        <v>1035</v>
      </c>
      <c r="H1506" s="29">
        <v>1</v>
      </c>
      <c r="I1506" s="29">
        <v>20.9</v>
      </c>
      <c r="J1506" s="29">
        <v>5.2249999999999996</v>
      </c>
      <c r="K1506" s="29">
        <v>5.2249999999999996</v>
      </c>
      <c r="L1506" s="29" t="s">
        <v>1032</v>
      </c>
      <c r="M1506" s="29">
        <v>1</v>
      </c>
      <c r="N1506" s="29">
        <v>0.25</v>
      </c>
      <c r="O1506" s="29">
        <v>1</v>
      </c>
      <c r="P1506" s="29">
        <v>5.2249999999999996</v>
      </c>
      <c r="Q1506" s="29" t="s">
        <v>1033</v>
      </c>
    </row>
    <row r="1507" spans="1:17" x14ac:dyDescent="0.3">
      <c r="A1507" s="29" t="s">
        <v>811</v>
      </c>
      <c r="B1507" s="29">
        <v>1</v>
      </c>
      <c r="C1507" s="29" t="s">
        <v>1050</v>
      </c>
      <c r="D1507" s="29" t="s">
        <v>1051</v>
      </c>
      <c r="E1507" s="29">
        <v>150</v>
      </c>
      <c r="G1507" s="29" t="s">
        <v>1035</v>
      </c>
      <c r="H1507" s="29">
        <v>1</v>
      </c>
      <c r="I1507" s="29">
        <v>2.95</v>
      </c>
      <c r="J1507" s="29">
        <v>0.4425</v>
      </c>
      <c r="K1507" s="29">
        <v>0.4425</v>
      </c>
      <c r="L1507" s="29" t="s">
        <v>1032</v>
      </c>
      <c r="M1507" s="29">
        <v>1</v>
      </c>
      <c r="N1507" s="29">
        <v>0.15</v>
      </c>
      <c r="O1507" s="29">
        <v>1</v>
      </c>
      <c r="P1507" s="29">
        <v>0.4425</v>
      </c>
      <c r="Q1507" s="29" t="s">
        <v>1033</v>
      </c>
    </row>
    <row r="1508" spans="1:17" x14ac:dyDescent="0.3">
      <c r="B1508" s="29">
        <v>2</v>
      </c>
      <c r="C1508" s="29" t="s">
        <v>1089</v>
      </c>
      <c r="D1508" s="29" t="s">
        <v>1099</v>
      </c>
      <c r="E1508" s="29">
        <v>250</v>
      </c>
      <c r="G1508" s="29" t="s">
        <v>1035</v>
      </c>
      <c r="H1508" s="29">
        <v>1</v>
      </c>
      <c r="I1508" s="29">
        <v>20.9</v>
      </c>
      <c r="J1508" s="29">
        <v>5.2249999999999996</v>
      </c>
      <c r="K1508" s="29">
        <v>5.2249999999999996</v>
      </c>
      <c r="L1508" s="29" t="s">
        <v>1032</v>
      </c>
      <c r="M1508" s="29">
        <v>1</v>
      </c>
      <c r="N1508" s="29">
        <v>0.25</v>
      </c>
      <c r="O1508" s="29">
        <v>1</v>
      </c>
      <c r="P1508" s="29">
        <v>5.2249999999999996</v>
      </c>
      <c r="Q1508" s="29" t="s">
        <v>1033</v>
      </c>
    </row>
    <row r="1509" spans="1:17" x14ac:dyDescent="0.3">
      <c r="A1509" s="29" t="s">
        <v>811</v>
      </c>
      <c r="B1509" s="29">
        <v>1</v>
      </c>
      <c r="C1509" s="29" t="s">
        <v>1050</v>
      </c>
      <c r="D1509" s="29" t="s">
        <v>1051</v>
      </c>
      <c r="E1509" s="29">
        <v>150</v>
      </c>
      <c r="G1509" s="29" t="s">
        <v>1035</v>
      </c>
      <c r="H1509" s="29">
        <v>1</v>
      </c>
      <c r="I1509" s="29">
        <v>2.95</v>
      </c>
      <c r="J1509" s="29">
        <v>0.4425</v>
      </c>
      <c r="K1509" s="29">
        <v>0.4425</v>
      </c>
      <c r="L1509" s="29" t="s">
        <v>1032</v>
      </c>
      <c r="M1509" s="29">
        <v>1</v>
      </c>
      <c r="N1509" s="29">
        <v>0.15</v>
      </c>
      <c r="O1509" s="29">
        <v>1</v>
      </c>
      <c r="P1509" s="29">
        <v>0.4425</v>
      </c>
      <c r="Q1509" s="29" t="s">
        <v>1033</v>
      </c>
    </row>
    <row r="1510" spans="1:17" x14ac:dyDescent="0.3">
      <c r="B1510" s="29">
        <v>2</v>
      </c>
      <c r="C1510" s="29" t="s">
        <v>1089</v>
      </c>
      <c r="D1510" s="29" t="s">
        <v>1099</v>
      </c>
      <c r="E1510" s="29">
        <v>250</v>
      </c>
      <c r="G1510" s="29" t="s">
        <v>1035</v>
      </c>
      <c r="H1510" s="29">
        <v>1</v>
      </c>
      <c r="I1510" s="29">
        <v>20.9</v>
      </c>
      <c r="J1510" s="29">
        <v>5.2249999999999996</v>
      </c>
      <c r="K1510" s="29">
        <v>5.2249999999999996</v>
      </c>
      <c r="L1510" s="29" t="s">
        <v>1032</v>
      </c>
      <c r="M1510" s="29">
        <v>1</v>
      </c>
      <c r="N1510" s="29">
        <v>0.25</v>
      </c>
      <c r="O1510" s="29">
        <v>1</v>
      </c>
      <c r="P1510" s="29">
        <v>5.2249999999999996</v>
      </c>
      <c r="Q1510" s="29" t="s">
        <v>1033</v>
      </c>
    </row>
    <row r="1511" spans="1:17" x14ac:dyDescent="0.3">
      <c r="A1511" s="29" t="s">
        <v>811</v>
      </c>
      <c r="B1511" s="29">
        <v>1</v>
      </c>
      <c r="C1511" s="29" t="s">
        <v>1050</v>
      </c>
      <c r="D1511" s="29" t="s">
        <v>1051</v>
      </c>
      <c r="E1511" s="29">
        <v>150</v>
      </c>
      <c r="G1511" s="29" t="s">
        <v>1035</v>
      </c>
      <c r="H1511" s="29">
        <v>1</v>
      </c>
      <c r="I1511" s="29">
        <v>2.95</v>
      </c>
      <c r="J1511" s="29">
        <v>0.4425</v>
      </c>
      <c r="K1511" s="29">
        <v>0.4425</v>
      </c>
      <c r="L1511" s="29" t="s">
        <v>1032</v>
      </c>
      <c r="M1511" s="29">
        <v>1</v>
      </c>
      <c r="N1511" s="29">
        <v>0.15</v>
      </c>
      <c r="O1511" s="29">
        <v>1</v>
      </c>
      <c r="P1511" s="29">
        <v>0.4425</v>
      </c>
      <c r="Q1511" s="29" t="s">
        <v>1033</v>
      </c>
    </row>
    <row r="1512" spans="1:17" x14ac:dyDescent="0.3">
      <c r="B1512" s="29">
        <v>2</v>
      </c>
      <c r="C1512" s="29" t="s">
        <v>1089</v>
      </c>
      <c r="D1512" s="29" t="s">
        <v>1099</v>
      </c>
      <c r="E1512" s="29">
        <v>250</v>
      </c>
      <c r="G1512" s="29" t="s">
        <v>1035</v>
      </c>
      <c r="H1512" s="29">
        <v>1</v>
      </c>
      <c r="I1512" s="29">
        <v>20.9</v>
      </c>
      <c r="J1512" s="29">
        <v>5.2249999999999996</v>
      </c>
      <c r="K1512" s="29">
        <v>5.2249999999999996</v>
      </c>
      <c r="L1512" s="29" t="s">
        <v>1032</v>
      </c>
      <c r="M1512" s="29">
        <v>1</v>
      </c>
      <c r="N1512" s="29">
        <v>0.25</v>
      </c>
      <c r="O1512" s="29">
        <v>1</v>
      </c>
      <c r="P1512" s="29">
        <v>5.2249999999999996</v>
      </c>
      <c r="Q1512" s="29" t="s">
        <v>1033</v>
      </c>
    </row>
    <row r="1513" spans="1:17" x14ac:dyDescent="0.3">
      <c r="A1513" s="29" t="s">
        <v>811</v>
      </c>
      <c r="B1513" s="29">
        <v>1</v>
      </c>
      <c r="C1513" s="29" t="s">
        <v>1050</v>
      </c>
      <c r="D1513" s="29" t="s">
        <v>1051</v>
      </c>
      <c r="E1513" s="29">
        <v>150</v>
      </c>
      <c r="G1513" s="29" t="s">
        <v>1035</v>
      </c>
      <c r="H1513" s="29">
        <v>1</v>
      </c>
      <c r="I1513" s="29">
        <v>2.95</v>
      </c>
      <c r="J1513" s="29">
        <v>0.4425</v>
      </c>
      <c r="K1513" s="29">
        <v>0.4425</v>
      </c>
      <c r="L1513" s="29" t="s">
        <v>1032</v>
      </c>
      <c r="M1513" s="29">
        <v>1</v>
      </c>
      <c r="N1513" s="29">
        <v>0.15</v>
      </c>
      <c r="O1513" s="29">
        <v>1</v>
      </c>
      <c r="P1513" s="29">
        <v>0.4425</v>
      </c>
      <c r="Q1513" s="29" t="s">
        <v>1033</v>
      </c>
    </row>
    <row r="1514" spans="1:17" x14ac:dyDescent="0.3">
      <c r="B1514" s="29">
        <v>2</v>
      </c>
      <c r="C1514" s="29" t="s">
        <v>1089</v>
      </c>
      <c r="D1514" s="29" t="s">
        <v>1099</v>
      </c>
      <c r="E1514" s="29">
        <v>250</v>
      </c>
      <c r="G1514" s="29" t="s">
        <v>1035</v>
      </c>
      <c r="H1514" s="29">
        <v>1</v>
      </c>
      <c r="I1514" s="29">
        <v>20.9</v>
      </c>
      <c r="J1514" s="29">
        <v>5.2249999999999996</v>
      </c>
      <c r="K1514" s="29">
        <v>5.2249999999999996</v>
      </c>
      <c r="L1514" s="29" t="s">
        <v>1032</v>
      </c>
      <c r="M1514" s="29">
        <v>1</v>
      </c>
      <c r="N1514" s="29">
        <v>0.25</v>
      </c>
      <c r="O1514" s="29">
        <v>1</v>
      </c>
      <c r="P1514" s="29">
        <v>5.2249999999999996</v>
      </c>
      <c r="Q1514" s="29" t="s">
        <v>1033</v>
      </c>
    </row>
    <row r="1515" spans="1:17" x14ac:dyDescent="0.3">
      <c r="A1515" s="29" t="s">
        <v>811</v>
      </c>
      <c r="B1515" s="29">
        <v>1</v>
      </c>
      <c r="C1515" s="29" t="s">
        <v>1050</v>
      </c>
      <c r="D1515" s="29" t="s">
        <v>1051</v>
      </c>
      <c r="E1515" s="29">
        <v>150</v>
      </c>
      <c r="G1515" s="29" t="s">
        <v>1035</v>
      </c>
      <c r="H1515" s="29">
        <v>1</v>
      </c>
      <c r="I1515" s="29">
        <v>2.95</v>
      </c>
      <c r="J1515" s="29">
        <v>0.4425</v>
      </c>
      <c r="K1515" s="29">
        <v>0.4425</v>
      </c>
      <c r="L1515" s="29" t="s">
        <v>1032</v>
      </c>
      <c r="M1515" s="29">
        <v>1</v>
      </c>
      <c r="N1515" s="29">
        <v>0.15</v>
      </c>
      <c r="O1515" s="29">
        <v>1</v>
      </c>
      <c r="P1515" s="29">
        <v>0.4425</v>
      </c>
      <c r="Q1515" s="29" t="s">
        <v>1033</v>
      </c>
    </row>
    <row r="1516" spans="1:17" x14ac:dyDescent="0.3">
      <c r="B1516" s="29">
        <v>2</v>
      </c>
      <c r="C1516" s="29" t="s">
        <v>1089</v>
      </c>
      <c r="D1516" s="29" t="s">
        <v>1099</v>
      </c>
      <c r="E1516" s="29">
        <v>250</v>
      </c>
      <c r="G1516" s="29" t="s">
        <v>1035</v>
      </c>
      <c r="H1516" s="29">
        <v>1</v>
      </c>
      <c r="I1516" s="29">
        <v>20.9</v>
      </c>
      <c r="J1516" s="29">
        <v>5.2249999999999996</v>
      </c>
      <c r="K1516" s="29">
        <v>5.2249999999999996</v>
      </c>
      <c r="L1516" s="29" t="s">
        <v>1032</v>
      </c>
      <c r="M1516" s="29">
        <v>1</v>
      </c>
      <c r="N1516" s="29">
        <v>0.25</v>
      </c>
      <c r="O1516" s="29">
        <v>1</v>
      </c>
      <c r="P1516" s="29">
        <v>5.2249999999999996</v>
      </c>
      <c r="Q1516" s="29" t="s">
        <v>1033</v>
      </c>
    </row>
    <row r="1517" spans="1:17" x14ac:dyDescent="0.3">
      <c r="A1517" s="29" t="s">
        <v>811</v>
      </c>
      <c r="B1517" s="29">
        <v>1</v>
      </c>
      <c r="C1517" s="29" t="s">
        <v>1050</v>
      </c>
      <c r="D1517" s="29" t="s">
        <v>1051</v>
      </c>
      <c r="E1517" s="29">
        <v>150</v>
      </c>
      <c r="G1517" s="29" t="s">
        <v>1035</v>
      </c>
      <c r="H1517" s="29">
        <v>1</v>
      </c>
      <c r="I1517" s="29">
        <v>2.95</v>
      </c>
      <c r="J1517" s="29">
        <v>0.4425</v>
      </c>
      <c r="K1517" s="29">
        <v>0.4425</v>
      </c>
      <c r="L1517" s="29" t="s">
        <v>1032</v>
      </c>
      <c r="M1517" s="29">
        <v>1</v>
      </c>
      <c r="N1517" s="29">
        <v>0.15</v>
      </c>
      <c r="O1517" s="29">
        <v>1</v>
      </c>
      <c r="P1517" s="29">
        <v>0.4425</v>
      </c>
      <c r="Q1517" s="29" t="s">
        <v>1033</v>
      </c>
    </row>
    <row r="1518" spans="1:17" x14ac:dyDescent="0.3">
      <c r="B1518" s="29">
        <v>2</v>
      </c>
      <c r="C1518" s="29" t="s">
        <v>1089</v>
      </c>
      <c r="D1518" s="29" t="s">
        <v>1099</v>
      </c>
      <c r="E1518" s="29">
        <v>250</v>
      </c>
      <c r="G1518" s="29" t="s">
        <v>1035</v>
      </c>
      <c r="H1518" s="29">
        <v>1</v>
      </c>
      <c r="I1518" s="29">
        <v>20.9</v>
      </c>
      <c r="J1518" s="29">
        <v>5.2249999999999996</v>
      </c>
      <c r="K1518" s="29">
        <v>5.2249999999999996</v>
      </c>
      <c r="L1518" s="29" t="s">
        <v>1032</v>
      </c>
      <c r="M1518" s="29">
        <v>1</v>
      </c>
      <c r="N1518" s="29">
        <v>0.25</v>
      </c>
      <c r="O1518" s="29">
        <v>1</v>
      </c>
      <c r="P1518" s="29">
        <v>5.2249999999999996</v>
      </c>
      <c r="Q1518" s="29" t="s">
        <v>1033</v>
      </c>
    </row>
    <row r="1519" spans="1:17" x14ac:dyDescent="0.3">
      <c r="A1519" s="29" t="s">
        <v>811</v>
      </c>
      <c r="B1519" s="29">
        <v>1</v>
      </c>
      <c r="C1519" s="29" t="s">
        <v>1050</v>
      </c>
      <c r="D1519" s="29" t="s">
        <v>1051</v>
      </c>
      <c r="E1519" s="29">
        <v>150</v>
      </c>
      <c r="G1519" s="29" t="s">
        <v>1035</v>
      </c>
      <c r="H1519" s="29">
        <v>1</v>
      </c>
      <c r="I1519" s="29">
        <v>2.95</v>
      </c>
      <c r="J1519" s="29">
        <v>0.4425</v>
      </c>
      <c r="K1519" s="29">
        <v>0.4425</v>
      </c>
      <c r="L1519" s="29" t="s">
        <v>1032</v>
      </c>
      <c r="M1519" s="29">
        <v>1</v>
      </c>
      <c r="N1519" s="29">
        <v>0.15</v>
      </c>
      <c r="O1519" s="29">
        <v>1</v>
      </c>
      <c r="P1519" s="29">
        <v>0.4425</v>
      </c>
      <c r="Q1519" s="29" t="s">
        <v>1033</v>
      </c>
    </row>
    <row r="1520" spans="1:17" x14ac:dyDescent="0.3">
      <c r="B1520" s="29">
        <v>2</v>
      </c>
      <c r="C1520" s="29" t="s">
        <v>1089</v>
      </c>
      <c r="D1520" s="29" t="s">
        <v>1099</v>
      </c>
      <c r="E1520" s="29">
        <v>250</v>
      </c>
      <c r="G1520" s="29" t="s">
        <v>1035</v>
      </c>
      <c r="H1520" s="29">
        <v>1</v>
      </c>
      <c r="I1520" s="29">
        <v>20.9</v>
      </c>
      <c r="J1520" s="29">
        <v>5.2249999999999996</v>
      </c>
      <c r="K1520" s="29">
        <v>5.2249999999999996</v>
      </c>
      <c r="L1520" s="29" t="s">
        <v>1032</v>
      </c>
      <c r="M1520" s="29">
        <v>1</v>
      </c>
      <c r="N1520" s="29">
        <v>0.25</v>
      </c>
      <c r="O1520" s="29">
        <v>1</v>
      </c>
      <c r="P1520" s="29">
        <v>5.2249999999999996</v>
      </c>
      <c r="Q1520" s="29" t="s">
        <v>1033</v>
      </c>
    </row>
    <row r="1521" spans="1:17" x14ac:dyDescent="0.3">
      <c r="A1521" s="29" t="s">
        <v>811</v>
      </c>
      <c r="B1521" s="29">
        <v>1</v>
      </c>
      <c r="C1521" s="29" t="s">
        <v>1050</v>
      </c>
      <c r="D1521" s="29" t="s">
        <v>1051</v>
      </c>
      <c r="E1521" s="29">
        <v>150</v>
      </c>
      <c r="G1521" s="29" t="s">
        <v>1035</v>
      </c>
      <c r="H1521" s="29">
        <v>1</v>
      </c>
      <c r="I1521" s="29">
        <v>2.95</v>
      </c>
      <c r="J1521" s="29">
        <v>0.4425</v>
      </c>
      <c r="K1521" s="29">
        <v>0.4425</v>
      </c>
      <c r="L1521" s="29" t="s">
        <v>1032</v>
      </c>
      <c r="M1521" s="29">
        <v>1</v>
      </c>
      <c r="N1521" s="29">
        <v>0.15</v>
      </c>
      <c r="O1521" s="29">
        <v>1</v>
      </c>
      <c r="P1521" s="29">
        <v>0.4425</v>
      </c>
      <c r="Q1521" s="29" t="s">
        <v>1033</v>
      </c>
    </row>
    <row r="1522" spans="1:17" x14ac:dyDescent="0.3">
      <c r="B1522" s="29">
        <v>2</v>
      </c>
      <c r="C1522" s="29" t="s">
        <v>1089</v>
      </c>
      <c r="D1522" s="29" t="s">
        <v>1099</v>
      </c>
      <c r="E1522" s="29">
        <v>250</v>
      </c>
      <c r="G1522" s="29" t="s">
        <v>1035</v>
      </c>
      <c r="H1522" s="29">
        <v>1</v>
      </c>
      <c r="I1522" s="29">
        <v>20.9</v>
      </c>
      <c r="J1522" s="29">
        <v>5.2249999999999996</v>
      </c>
      <c r="K1522" s="29">
        <v>5.2249999999999996</v>
      </c>
      <c r="L1522" s="29" t="s">
        <v>1032</v>
      </c>
      <c r="M1522" s="29">
        <v>1</v>
      </c>
      <c r="N1522" s="29">
        <v>0.25</v>
      </c>
      <c r="O1522" s="29">
        <v>1</v>
      </c>
      <c r="P1522" s="29">
        <v>5.2249999999999996</v>
      </c>
      <c r="Q1522" s="29" t="s">
        <v>1033</v>
      </c>
    </row>
    <row r="1523" spans="1:17" x14ac:dyDescent="0.3">
      <c r="A1523" s="29" t="s">
        <v>811</v>
      </c>
      <c r="B1523" s="29">
        <v>1</v>
      </c>
      <c r="C1523" s="29" t="s">
        <v>1050</v>
      </c>
      <c r="D1523" s="29" t="s">
        <v>1051</v>
      </c>
      <c r="E1523" s="29">
        <v>150</v>
      </c>
      <c r="G1523" s="29" t="s">
        <v>1035</v>
      </c>
      <c r="H1523" s="29">
        <v>1</v>
      </c>
      <c r="I1523" s="29">
        <v>2.95</v>
      </c>
      <c r="J1523" s="29">
        <v>0.4425</v>
      </c>
      <c r="K1523" s="29">
        <v>0.4425</v>
      </c>
      <c r="L1523" s="29" t="s">
        <v>1032</v>
      </c>
      <c r="M1523" s="29">
        <v>1</v>
      </c>
      <c r="N1523" s="29">
        <v>0.15</v>
      </c>
      <c r="O1523" s="29">
        <v>1</v>
      </c>
      <c r="P1523" s="29">
        <v>0.4425</v>
      </c>
      <c r="Q1523" s="29" t="s">
        <v>1033</v>
      </c>
    </row>
    <row r="1524" spans="1:17" x14ac:dyDescent="0.3">
      <c r="B1524" s="29">
        <v>2</v>
      </c>
      <c r="C1524" s="29" t="s">
        <v>1089</v>
      </c>
      <c r="D1524" s="29" t="s">
        <v>1099</v>
      </c>
      <c r="E1524" s="29">
        <v>250</v>
      </c>
      <c r="G1524" s="29" t="s">
        <v>1035</v>
      </c>
      <c r="H1524" s="29">
        <v>1</v>
      </c>
      <c r="I1524" s="29">
        <v>20.9</v>
      </c>
      <c r="J1524" s="29">
        <v>5.2249999999999996</v>
      </c>
      <c r="K1524" s="29">
        <v>5.2249999999999996</v>
      </c>
      <c r="L1524" s="29" t="s">
        <v>1032</v>
      </c>
      <c r="M1524" s="29">
        <v>1</v>
      </c>
      <c r="N1524" s="29">
        <v>0.25</v>
      </c>
      <c r="O1524" s="29">
        <v>1</v>
      </c>
      <c r="P1524" s="29">
        <v>5.2249999999999996</v>
      </c>
      <c r="Q1524" s="29" t="s">
        <v>1033</v>
      </c>
    </row>
    <row r="1525" spans="1:17" x14ac:dyDescent="0.3">
      <c r="A1525" s="29" t="s">
        <v>811</v>
      </c>
      <c r="B1525" s="29">
        <v>1</v>
      </c>
      <c r="C1525" s="29" t="s">
        <v>1050</v>
      </c>
      <c r="D1525" s="29" t="s">
        <v>1051</v>
      </c>
      <c r="E1525" s="29">
        <v>150</v>
      </c>
      <c r="G1525" s="29" t="s">
        <v>1035</v>
      </c>
      <c r="H1525" s="29">
        <v>1</v>
      </c>
      <c r="I1525" s="29">
        <v>2.95</v>
      </c>
      <c r="J1525" s="29">
        <v>0.4425</v>
      </c>
      <c r="K1525" s="29">
        <v>0.4425</v>
      </c>
      <c r="L1525" s="29" t="s">
        <v>1032</v>
      </c>
      <c r="M1525" s="29">
        <v>1</v>
      </c>
      <c r="N1525" s="29">
        <v>0.15</v>
      </c>
      <c r="O1525" s="29">
        <v>1</v>
      </c>
      <c r="P1525" s="29">
        <v>0.4425</v>
      </c>
      <c r="Q1525" s="29" t="s">
        <v>1033</v>
      </c>
    </row>
    <row r="1526" spans="1:17" x14ac:dyDescent="0.3">
      <c r="B1526" s="29">
        <v>2</v>
      </c>
      <c r="C1526" s="29" t="s">
        <v>1089</v>
      </c>
      <c r="D1526" s="29" t="s">
        <v>1099</v>
      </c>
      <c r="E1526" s="29">
        <v>250</v>
      </c>
      <c r="G1526" s="29" t="s">
        <v>1035</v>
      </c>
      <c r="H1526" s="29">
        <v>1</v>
      </c>
      <c r="I1526" s="29">
        <v>20.9</v>
      </c>
      <c r="J1526" s="29">
        <v>5.2249999999999996</v>
      </c>
      <c r="K1526" s="29">
        <v>5.2249999999999996</v>
      </c>
      <c r="L1526" s="29" t="s">
        <v>1032</v>
      </c>
      <c r="M1526" s="29">
        <v>1</v>
      </c>
      <c r="N1526" s="29">
        <v>0.25</v>
      </c>
      <c r="O1526" s="29">
        <v>1</v>
      </c>
      <c r="P1526" s="29">
        <v>5.2249999999999996</v>
      </c>
      <c r="Q1526" s="29" t="s">
        <v>1033</v>
      </c>
    </row>
    <row r="1527" spans="1:17" x14ac:dyDescent="0.3">
      <c r="A1527" s="29" t="s">
        <v>811</v>
      </c>
      <c r="B1527" s="29">
        <v>1</v>
      </c>
      <c r="C1527" s="29" t="s">
        <v>1050</v>
      </c>
      <c r="D1527" s="29" t="s">
        <v>1051</v>
      </c>
      <c r="E1527" s="29">
        <v>150</v>
      </c>
      <c r="G1527" s="29" t="s">
        <v>1035</v>
      </c>
      <c r="H1527" s="29">
        <v>1</v>
      </c>
      <c r="I1527" s="29">
        <v>2.95</v>
      </c>
      <c r="J1527" s="29">
        <v>0.4425</v>
      </c>
      <c r="K1527" s="29">
        <v>0.4425</v>
      </c>
      <c r="L1527" s="29" t="s">
        <v>1032</v>
      </c>
      <c r="M1527" s="29">
        <v>1</v>
      </c>
      <c r="N1527" s="29">
        <v>0.15</v>
      </c>
      <c r="O1527" s="29">
        <v>1</v>
      </c>
      <c r="P1527" s="29">
        <v>0.4425</v>
      </c>
      <c r="Q1527" s="29" t="s">
        <v>1033</v>
      </c>
    </row>
    <row r="1528" spans="1:17" x14ac:dyDescent="0.3">
      <c r="B1528" s="29">
        <v>2</v>
      </c>
      <c r="C1528" s="29" t="s">
        <v>1089</v>
      </c>
      <c r="D1528" s="29" t="s">
        <v>1099</v>
      </c>
      <c r="E1528" s="29">
        <v>250</v>
      </c>
      <c r="G1528" s="29" t="s">
        <v>1035</v>
      </c>
      <c r="H1528" s="29">
        <v>1</v>
      </c>
      <c r="I1528" s="29">
        <v>20.9</v>
      </c>
      <c r="J1528" s="29">
        <v>5.2249999999999996</v>
      </c>
      <c r="K1528" s="29">
        <v>5.2249999999999996</v>
      </c>
      <c r="L1528" s="29" t="s">
        <v>1032</v>
      </c>
      <c r="M1528" s="29">
        <v>1</v>
      </c>
      <c r="N1528" s="29">
        <v>0.25</v>
      </c>
      <c r="O1528" s="29">
        <v>1</v>
      </c>
      <c r="P1528" s="29">
        <v>5.2249999999999996</v>
      </c>
      <c r="Q1528" s="29" t="s">
        <v>1033</v>
      </c>
    </row>
    <row r="1529" spans="1:17" x14ac:dyDescent="0.3">
      <c r="A1529" s="29" t="s">
        <v>811</v>
      </c>
      <c r="B1529" s="29">
        <v>1</v>
      </c>
      <c r="C1529" s="29" t="s">
        <v>1050</v>
      </c>
      <c r="D1529" s="29" t="s">
        <v>1051</v>
      </c>
      <c r="E1529" s="29">
        <v>150</v>
      </c>
      <c r="G1529" s="29" t="s">
        <v>1035</v>
      </c>
      <c r="H1529" s="29">
        <v>1</v>
      </c>
      <c r="I1529" s="29">
        <v>2.95</v>
      </c>
      <c r="J1529" s="29">
        <v>0.4425</v>
      </c>
      <c r="K1529" s="29">
        <v>0.4425</v>
      </c>
      <c r="L1529" s="29" t="s">
        <v>1032</v>
      </c>
      <c r="M1529" s="29">
        <v>1</v>
      </c>
      <c r="N1529" s="29">
        <v>0.15</v>
      </c>
      <c r="O1529" s="29">
        <v>1</v>
      </c>
      <c r="P1529" s="29">
        <v>0.4425</v>
      </c>
      <c r="Q1529" s="29" t="s">
        <v>1033</v>
      </c>
    </row>
    <row r="1530" spans="1:17" x14ac:dyDescent="0.3">
      <c r="B1530" s="29">
        <v>2</v>
      </c>
      <c r="C1530" s="29" t="s">
        <v>1089</v>
      </c>
      <c r="D1530" s="29" t="s">
        <v>1099</v>
      </c>
      <c r="E1530" s="29">
        <v>250</v>
      </c>
      <c r="G1530" s="29" t="s">
        <v>1035</v>
      </c>
      <c r="H1530" s="29">
        <v>1</v>
      </c>
      <c r="I1530" s="29">
        <v>20.9</v>
      </c>
      <c r="J1530" s="29">
        <v>5.2249999999999996</v>
      </c>
      <c r="K1530" s="29">
        <v>5.2249999999999996</v>
      </c>
      <c r="L1530" s="29" t="s">
        <v>1032</v>
      </c>
      <c r="M1530" s="29">
        <v>1</v>
      </c>
      <c r="N1530" s="29">
        <v>0.25</v>
      </c>
      <c r="O1530" s="29">
        <v>1</v>
      </c>
      <c r="P1530" s="29">
        <v>5.2249999999999996</v>
      </c>
      <c r="Q1530" s="29" t="s">
        <v>1033</v>
      </c>
    </row>
    <row r="1531" spans="1:17" x14ac:dyDescent="0.3">
      <c r="A1531" s="29" t="s">
        <v>812</v>
      </c>
      <c r="B1531" s="29">
        <v>1</v>
      </c>
      <c r="C1531" s="29" t="s">
        <v>1050</v>
      </c>
      <c r="D1531" s="29" t="s">
        <v>1051</v>
      </c>
      <c r="E1531" s="29">
        <v>150</v>
      </c>
      <c r="G1531" s="29" t="s">
        <v>1035</v>
      </c>
      <c r="H1531" s="29">
        <v>1</v>
      </c>
      <c r="I1531" s="29">
        <v>2.95</v>
      </c>
      <c r="J1531" s="29">
        <v>0.4425</v>
      </c>
      <c r="K1531" s="29">
        <v>0.4425</v>
      </c>
      <c r="L1531" s="29" t="s">
        <v>1032</v>
      </c>
      <c r="M1531" s="29">
        <v>1</v>
      </c>
      <c r="N1531" s="29">
        <v>0.15</v>
      </c>
      <c r="O1531" s="29">
        <v>1</v>
      </c>
      <c r="P1531" s="29">
        <v>0.4425</v>
      </c>
      <c r="Q1531" s="29" t="s">
        <v>1033</v>
      </c>
    </row>
    <row r="1532" spans="1:17" x14ac:dyDescent="0.3">
      <c r="B1532" s="29">
        <v>2</v>
      </c>
      <c r="C1532" s="29" t="s">
        <v>1089</v>
      </c>
      <c r="D1532" s="29" t="s">
        <v>1099</v>
      </c>
      <c r="E1532" s="29">
        <v>150</v>
      </c>
      <c r="G1532" s="29" t="s">
        <v>1035</v>
      </c>
      <c r="H1532" s="29">
        <v>1</v>
      </c>
      <c r="I1532" s="29">
        <v>20.9</v>
      </c>
      <c r="J1532" s="29">
        <v>3.1349999999999998</v>
      </c>
      <c r="K1532" s="29">
        <v>3.1349999999999998</v>
      </c>
      <c r="L1532" s="29" t="s">
        <v>1032</v>
      </c>
      <c r="M1532" s="29">
        <v>1</v>
      </c>
      <c r="N1532" s="29">
        <v>0.15</v>
      </c>
      <c r="O1532" s="29">
        <v>1</v>
      </c>
      <c r="P1532" s="29">
        <v>3.1349999999999998</v>
      </c>
      <c r="Q1532" s="29" t="s">
        <v>1033</v>
      </c>
    </row>
    <row r="1533" spans="1:17" x14ac:dyDescent="0.3">
      <c r="A1533" s="29" t="s">
        <v>813</v>
      </c>
      <c r="B1533" s="29">
        <v>1</v>
      </c>
      <c r="C1533" s="29" t="s">
        <v>1050</v>
      </c>
      <c r="D1533" s="29" t="s">
        <v>1051</v>
      </c>
      <c r="E1533" s="29">
        <v>150</v>
      </c>
      <c r="G1533" s="29" t="s">
        <v>1031</v>
      </c>
      <c r="H1533" s="29">
        <v>1</v>
      </c>
      <c r="I1533" s="29">
        <v>2.95</v>
      </c>
      <c r="J1533" s="29">
        <v>0.4425</v>
      </c>
      <c r="K1533" s="29">
        <v>0.4425</v>
      </c>
      <c r="L1533" s="29" t="s">
        <v>1032</v>
      </c>
      <c r="M1533" s="29">
        <v>1</v>
      </c>
      <c r="N1533" s="29">
        <v>0.15</v>
      </c>
      <c r="O1533" s="29">
        <v>1</v>
      </c>
      <c r="P1533" s="29">
        <v>0.4425</v>
      </c>
      <c r="Q1533" s="29" t="s">
        <v>1033</v>
      </c>
    </row>
    <row r="1534" spans="1:17" x14ac:dyDescent="0.3">
      <c r="B1534" s="29">
        <v>2</v>
      </c>
      <c r="C1534" s="29" t="s">
        <v>1089</v>
      </c>
      <c r="D1534" s="29" t="s">
        <v>1099</v>
      </c>
      <c r="E1534" s="29">
        <v>250</v>
      </c>
      <c r="G1534" s="29" t="s">
        <v>1031</v>
      </c>
      <c r="H1534" s="29">
        <v>1</v>
      </c>
      <c r="I1534" s="29">
        <v>20.9</v>
      </c>
      <c r="J1534" s="29">
        <v>5.2249999999999996</v>
      </c>
      <c r="K1534" s="29">
        <v>5.2249999999999996</v>
      </c>
      <c r="L1534" s="29" t="s">
        <v>1032</v>
      </c>
      <c r="M1534" s="29">
        <v>1</v>
      </c>
      <c r="N1534" s="29">
        <v>0.25</v>
      </c>
      <c r="O1534" s="29">
        <v>1</v>
      </c>
      <c r="P1534" s="29">
        <v>5.2249999999999996</v>
      </c>
      <c r="Q1534" s="29" t="s">
        <v>1033</v>
      </c>
    </row>
    <row r="1535" spans="1:17" x14ac:dyDescent="0.3">
      <c r="A1535" s="29" t="s">
        <v>813</v>
      </c>
      <c r="B1535" s="29">
        <v>1</v>
      </c>
      <c r="C1535" s="29" t="s">
        <v>1050</v>
      </c>
      <c r="D1535" s="29" t="s">
        <v>1051</v>
      </c>
      <c r="E1535" s="29">
        <v>150</v>
      </c>
      <c r="G1535" s="29" t="s">
        <v>1031</v>
      </c>
      <c r="H1535" s="29">
        <v>1</v>
      </c>
      <c r="I1535" s="29">
        <v>2.95</v>
      </c>
      <c r="J1535" s="29">
        <v>0.4425</v>
      </c>
      <c r="K1535" s="29">
        <v>0.4425</v>
      </c>
      <c r="L1535" s="29" t="s">
        <v>1032</v>
      </c>
      <c r="M1535" s="29">
        <v>1</v>
      </c>
      <c r="N1535" s="29">
        <v>0.15</v>
      </c>
      <c r="O1535" s="29">
        <v>1</v>
      </c>
      <c r="P1535" s="29">
        <v>0.4425</v>
      </c>
      <c r="Q1535" s="29" t="s">
        <v>1033</v>
      </c>
    </row>
    <row r="1536" spans="1:17" x14ac:dyDescent="0.3">
      <c r="B1536" s="29">
        <v>2</v>
      </c>
      <c r="C1536" s="29" t="s">
        <v>1089</v>
      </c>
      <c r="D1536" s="29" t="s">
        <v>1099</v>
      </c>
      <c r="E1536" s="29">
        <v>250</v>
      </c>
      <c r="G1536" s="29" t="s">
        <v>1031</v>
      </c>
      <c r="H1536" s="29">
        <v>1</v>
      </c>
      <c r="I1536" s="29">
        <v>20.9</v>
      </c>
      <c r="J1536" s="29">
        <v>5.2249999999999996</v>
      </c>
      <c r="K1536" s="29">
        <v>5.2249999999999996</v>
      </c>
      <c r="L1536" s="29" t="s">
        <v>1032</v>
      </c>
      <c r="M1536" s="29">
        <v>1</v>
      </c>
      <c r="N1536" s="29">
        <v>0.25</v>
      </c>
      <c r="O1536" s="29">
        <v>1</v>
      </c>
      <c r="P1536" s="29">
        <v>5.2249999999999996</v>
      </c>
      <c r="Q1536" s="29" t="s">
        <v>1033</v>
      </c>
    </row>
    <row r="1537" spans="1:17" x14ac:dyDescent="0.3">
      <c r="A1537" s="29" t="s">
        <v>813</v>
      </c>
      <c r="B1537" s="29">
        <v>1</v>
      </c>
      <c r="C1537" s="29" t="s">
        <v>1050</v>
      </c>
      <c r="D1537" s="29" t="s">
        <v>1051</v>
      </c>
      <c r="E1537" s="29">
        <v>150</v>
      </c>
      <c r="G1537" s="29" t="s">
        <v>1031</v>
      </c>
      <c r="H1537" s="29">
        <v>1</v>
      </c>
      <c r="I1537" s="29">
        <v>2.95</v>
      </c>
      <c r="J1537" s="29">
        <v>0.4425</v>
      </c>
      <c r="K1537" s="29">
        <v>0.4425</v>
      </c>
      <c r="L1537" s="29" t="s">
        <v>1032</v>
      </c>
      <c r="M1537" s="29">
        <v>1</v>
      </c>
      <c r="N1537" s="29">
        <v>0.15</v>
      </c>
      <c r="O1537" s="29">
        <v>1</v>
      </c>
      <c r="P1537" s="29">
        <v>0.4425</v>
      </c>
      <c r="Q1537" s="29" t="s">
        <v>1033</v>
      </c>
    </row>
    <row r="1538" spans="1:17" x14ac:dyDescent="0.3">
      <c r="B1538" s="29">
        <v>2</v>
      </c>
      <c r="C1538" s="29" t="s">
        <v>1089</v>
      </c>
      <c r="D1538" s="29" t="s">
        <v>1099</v>
      </c>
      <c r="E1538" s="29">
        <v>250</v>
      </c>
      <c r="G1538" s="29" t="s">
        <v>1031</v>
      </c>
      <c r="H1538" s="29">
        <v>1</v>
      </c>
      <c r="I1538" s="29">
        <v>20.9</v>
      </c>
      <c r="J1538" s="29">
        <v>5.2249999999999996</v>
      </c>
      <c r="K1538" s="29">
        <v>5.2249999999999996</v>
      </c>
      <c r="L1538" s="29" t="s">
        <v>1032</v>
      </c>
      <c r="M1538" s="29">
        <v>1</v>
      </c>
      <c r="N1538" s="29">
        <v>0.25</v>
      </c>
      <c r="O1538" s="29">
        <v>1</v>
      </c>
      <c r="P1538" s="29">
        <v>5.2249999999999996</v>
      </c>
      <c r="Q1538" s="29" t="s">
        <v>1033</v>
      </c>
    </row>
    <row r="1539" spans="1:17" x14ac:dyDescent="0.3">
      <c r="A1539" s="29" t="s">
        <v>814</v>
      </c>
      <c r="B1539" s="29">
        <v>1</v>
      </c>
      <c r="C1539" s="29" t="s">
        <v>1050</v>
      </c>
      <c r="D1539" s="29" t="s">
        <v>1051</v>
      </c>
      <c r="E1539" s="29">
        <v>150</v>
      </c>
      <c r="G1539" s="29" t="s">
        <v>1035</v>
      </c>
      <c r="H1539" s="29">
        <v>1</v>
      </c>
      <c r="I1539" s="29">
        <v>2.95</v>
      </c>
      <c r="J1539" s="29">
        <v>0.4425</v>
      </c>
      <c r="K1539" s="29">
        <v>0.4425</v>
      </c>
      <c r="L1539" s="29" t="s">
        <v>1032</v>
      </c>
      <c r="M1539" s="29">
        <v>1</v>
      </c>
      <c r="N1539" s="29">
        <v>0.15</v>
      </c>
      <c r="O1539" s="29">
        <v>1</v>
      </c>
      <c r="P1539" s="29">
        <v>0.4425</v>
      </c>
      <c r="Q1539" s="29" t="s">
        <v>1033</v>
      </c>
    </row>
    <row r="1540" spans="1:17" x14ac:dyDescent="0.3">
      <c r="B1540" s="29">
        <v>2</v>
      </c>
      <c r="C1540" s="29" t="s">
        <v>1089</v>
      </c>
      <c r="D1540" s="29" t="s">
        <v>1099</v>
      </c>
      <c r="E1540" s="29">
        <v>250</v>
      </c>
      <c r="G1540" s="29" t="s">
        <v>1035</v>
      </c>
      <c r="H1540" s="29">
        <v>1</v>
      </c>
      <c r="I1540" s="29">
        <v>20.9</v>
      </c>
      <c r="J1540" s="29">
        <v>5.2249999999999996</v>
      </c>
      <c r="K1540" s="29">
        <v>5.2249999999999996</v>
      </c>
      <c r="L1540" s="29" t="s">
        <v>1032</v>
      </c>
      <c r="M1540" s="29">
        <v>1</v>
      </c>
      <c r="N1540" s="29">
        <v>0.25</v>
      </c>
      <c r="O1540" s="29">
        <v>1</v>
      </c>
      <c r="P1540" s="29">
        <v>5.2249999999999996</v>
      </c>
      <c r="Q1540" s="29" t="s">
        <v>1033</v>
      </c>
    </row>
    <row r="1541" spans="1:17" x14ac:dyDescent="0.3">
      <c r="A1541" s="29" t="s">
        <v>815</v>
      </c>
      <c r="B1541" s="29">
        <v>1</v>
      </c>
      <c r="C1541" s="29" t="s">
        <v>1050</v>
      </c>
      <c r="D1541" s="29" t="s">
        <v>1051</v>
      </c>
      <c r="E1541" s="29">
        <v>150</v>
      </c>
      <c r="G1541" s="29" t="s">
        <v>1035</v>
      </c>
      <c r="H1541" s="29">
        <v>1</v>
      </c>
      <c r="I1541" s="29">
        <v>2.95</v>
      </c>
      <c r="J1541" s="29">
        <v>0.4425</v>
      </c>
      <c r="K1541" s="29">
        <v>0.4425</v>
      </c>
      <c r="L1541" s="29" t="s">
        <v>1032</v>
      </c>
      <c r="M1541" s="29">
        <v>1</v>
      </c>
      <c r="N1541" s="29">
        <v>0.15</v>
      </c>
      <c r="O1541" s="29">
        <v>1</v>
      </c>
      <c r="P1541" s="29">
        <v>0.4425</v>
      </c>
      <c r="Q1541" s="29" t="s">
        <v>1033</v>
      </c>
    </row>
    <row r="1542" spans="1:17" x14ac:dyDescent="0.3">
      <c r="B1542" s="29">
        <v>2</v>
      </c>
      <c r="C1542" s="29" t="s">
        <v>1089</v>
      </c>
      <c r="D1542" s="29" t="s">
        <v>1099</v>
      </c>
      <c r="E1542" s="29">
        <v>250</v>
      </c>
      <c r="G1542" s="29" t="s">
        <v>1035</v>
      </c>
      <c r="H1542" s="29">
        <v>1</v>
      </c>
      <c r="I1542" s="29">
        <v>20.9</v>
      </c>
      <c r="J1542" s="29">
        <v>5.2249999999999996</v>
      </c>
      <c r="K1542" s="29">
        <v>5.2249999999999996</v>
      </c>
      <c r="L1542" s="29" t="s">
        <v>1032</v>
      </c>
      <c r="M1542" s="29">
        <v>1</v>
      </c>
      <c r="N1542" s="29">
        <v>0.25</v>
      </c>
      <c r="O1542" s="29">
        <v>1</v>
      </c>
      <c r="P1542" s="29">
        <v>5.2249999999999996</v>
      </c>
      <c r="Q1542" s="29" t="s">
        <v>1033</v>
      </c>
    </row>
    <row r="1543" spans="1:17" x14ac:dyDescent="0.3">
      <c r="A1543" s="29" t="s">
        <v>816</v>
      </c>
      <c r="B1543" s="29">
        <v>1</v>
      </c>
      <c r="C1543" s="29" t="s">
        <v>1050</v>
      </c>
      <c r="D1543" s="29" t="s">
        <v>1051</v>
      </c>
      <c r="E1543" s="29">
        <v>150</v>
      </c>
      <c r="G1543" s="29" t="s">
        <v>1035</v>
      </c>
      <c r="H1543" s="29">
        <v>1</v>
      </c>
      <c r="I1543" s="29">
        <v>2.95</v>
      </c>
      <c r="J1543" s="29">
        <v>0.4425</v>
      </c>
      <c r="K1543" s="29">
        <v>0.4425</v>
      </c>
      <c r="L1543" s="29" t="s">
        <v>1032</v>
      </c>
      <c r="M1543" s="29">
        <v>1</v>
      </c>
      <c r="N1543" s="29">
        <v>0.15</v>
      </c>
      <c r="O1543" s="29">
        <v>1</v>
      </c>
      <c r="P1543" s="29">
        <v>0.4425</v>
      </c>
      <c r="Q1543" s="29" t="s">
        <v>1033</v>
      </c>
    </row>
    <row r="1544" spans="1:17" x14ac:dyDescent="0.3">
      <c r="B1544" s="29">
        <v>2</v>
      </c>
      <c r="C1544" s="29" t="s">
        <v>1089</v>
      </c>
      <c r="D1544" s="29" t="s">
        <v>1099</v>
      </c>
      <c r="E1544" s="29">
        <v>250</v>
      </c>
      <c r="G1544" s="29" t="s">
        <v>1035</v>
      </c>
      <c r="H1544" s="29">
        <v>1</v>
      </c>
      <c r="I1544" s="29">
        <v>20.9</v>
      </c>
      <c r="J1544" s="29">
        <v>5.2249999999999996</v>
      </c>
      <c r="K1544" s="29">
        <v>5.2249999999999996</v>
      </c>
      <c r="L1544" s="29" t="s">
        <v>1032</v>
      </c>
      <c r="M1544" s="29">
        <v>1</v>
      </c>
      <c r="N1544" s="29">
        <v>0.25</v>
      </c>
      <c r="O1544" s="29">
        <v>1</v>
      </c>
      <c r="P1544" s="29">
        <v>5.2249999999999996</v>
      </c>
      <c r="Q1544" s="29" t="s">
        <v>1033</v>
      </c>
    </row>
    <row r="1545" spans="1:17" x14ac:dyDescent="0.3">
      <c r="A1545" s="29" t="s">
        <v>816</v>
      </c>
      <c r="B1545" s="29">
        <v>1</v>
      </c>
      <c r="C1545" s="29" t="s">
        <v>1050</v>
      </c>
      <c r="D1545" s="29" t="s">
        <v>1051</v>
      </c>
      <c r="E1545" s="29">
        <v>150</v>
      </c>
      <c r="G1545" s="29" t="s">
        <v>1035</v>
      </c>
      <c r="H1545" s="29">
        <v>1</v>
      </c>
      <c r="I1545" s="29">
        <v>2.95</v>
      </c>
      <c r="J1545" s="29">
        <v>0.4425</v>
      </c>
      <c r="K1545" s="29">
        <v>0.4425</v>
      </c>
      <c r="L1545" s="29" t="s">
        <v>1032</v>
      </c>
      <c r="M1545" s="29">
        <v>1</v>
      </c>
      <c r="N1545" s="29">
        <v>0.15</v>
      </c>
      <c r="O1545" s="29">
        <v>1</v>
      </c>
      <c r="P1545" s="29">
        <v>0.4425</v>
      </c>
      <c r="Q1545" s="29" t="s">
        <v>1033</v>
      </c>
    </row>
    <row r="1546" spans="1:17" x14ac:dyDescent="0.3">
      <c r="B1546" s="29">
        <v>2</v>
      </c>
      <c r="C1546" s="29" t="s">
        <v>1089</v>
      </c>
      <c r="D1546" s="29" t="s">
        <v>1099</v>
      </c>
      <c r="E1546" s="29">
        <v>250</v>
      </c>
      <c r="G1546" s="29" t="s">
        <v>1035</v>
      </c>
      <c r="H1546" s="29">
        <v>1</v>
      </c>
      <c r="I1546" s="29">
        <v>20.9</v>
      </c>
      <c r="J1546" s="29">
        <v>5.2249999999999996</v>
      </c>
      <c r="K1546" s="29">
        <v>5.2249999999999996</v>
      </c>
      <c r="L1546" s="29" t="s">
        <v>1032</v>
      </c>
      <c r="M1546" s="29">
        <v>1</v>
      </c>
      <c r="N1546" s="29">
        <v>0.25</v>
      </c>
      <c r="O1546" s="29">
        <v>1</v>
      </c>
      <c r="P1546" s="29">
        <v>5.2249999999999996</v>
      </c>
      <c r="Q1546" s="29" t="s">
        <v>1033</v>
      </c>
    </row>
    <row r="1547" spans="1:17" x14ac:dyDescent="0.3">
      <c r="A1547" s="29" t="s">
        <v>816</v>
      </c>
      <c r="B1547" s="29">
        <v>1</v>
      </c>
      <c r="C1547" s="29" t="s">
        <v>1050</v>
      </c>
      <c r="D1547" s="29" t="s">
        <v>1051</v>
      </c>
      <c r="E1547" s="29">
        <v>150</v>
      </c>
      <c r="G1547" s="29" t="s">
        <v>1035</v>
      </c>
      <c r="H1547" s="29">
        <v>1</v>
      </c>
      <c r="I1547" s="29">
        <v>2.95</v>
      </c>
      <c r="J1547" s="29">
        <v>0.4425</v>
      </c>
      <c r="K1547" s="29">
        <v>0.4425</v>
      </c>
      <c r="L1547" s="29" t="s">
        <v>1032</v>
      </c>
      <c r="M1547" s="29">
        <v>1</v>
      </c>
      <c r="N1547" s="29">
        <v>0.15</v>
      </c>
      <c r="O1547" s="29">
        <v>1</v>
      </c>
      <c r="P1547" s="29">
        <v>0.4425</v>
      </c>
      <c r="Q1547" s="29" t="s">
        <v>1033</v>
      </c>
    </row>
    <row r="1548" spans="1:17" x14ac:dyDescent="0.3">
      <c r="B1548" s="29">
        <v>2</v>
      </c>
      <c r="C1548" s="29" t="s">
        <v>1089</v>
      </c>
      <c r="D1548" s="29" t="s">
        <v>1099</v>
      </c>
      <c r="E1548" s="29">
        <v>250</v>
      </c>
      <c r="G1548" s="29" t="s">
        <v>1035</v>
      </c>
      <c r="H1548" s="29">
        <v>1</v>
      </c>
      <c r="I1548" s="29">
        <v>20.9</v>
      </c>
      <c r="J1548" s="29">
        <v>5.2249999999999996</v>
      </c>
      <c r="K1548" s="29">
        <v>5.2249999999999996</v>
      </c>
      <c r="L1548" s="29" t="s">
        <v>1032</v>
      </c>
      <c r="M1548" s="29">
        <v>1</v>
      </c>
      <c r="N1548" s="29">
        <v>0.25</v>
      </c>
      <c r="O1548" s="29">
        <v>1</v>
      </c>
      <c r="P1548" s="29">
        <v>5.2249999999999996</v>
      </c>
      <c r="Q1548" s="29" t="s">
        <v>1033</v>
      </c>
    </row>
    <row r="1549" spans="1:17" x14ac:dyDescent="0.3">
      <c r="A1549" s="29" t="s">
        <v>816</v>
      </c>
      <c r="B1549" s="29">
        <v>1</v>
      </c>
      <c r="C1549" s="29" t="s">
        <v>1050</v>
      </c>
      <c r="D1549" s="29" t="s">
        <v>1051</v>
      </c>
      <c r="E1549" s="29">
        <v>150</v>
      </c>
      <c r="G1549" s="29" t="s">
        <v>1035</v>
      </c>
      <c r="H1549" s="29">
        <v>1</v>
      </c>
      <c r="I1549" s="29">
        <v>2.95</v>
      </c>
      <c r="J1549" s="29">
        <v>0.4425</v>
      </c>
      <c r="K1549" s="29">
        <v>0.4425</v>
      </c>
      <c r="L1549" s="29" t="s">
        <v>1032</v>
      </c>
      <c r="M1549" s="29">
        <v>1</v>
      </c>
      <c r="N1549" s="29">
        <v>0.15</v>
      </c>
      <c r="O1549" s="29">
        <v>1</v>
      </c>
      <c r="P1549" s="29">
        <v>0.4425</v>
      </c>
      <c r="Q1549" s="29" t="s">
        <v>1033</v>
      </c>
    </row>
    <row r="1550" spans="1:17" x14ac:dyDescent="0.3">
      <c r="B1550" s="29">
        <v>2</v>
      </c>
      <c r="C1550" s="29" t="s">
        <v>1089</v>
      </c>
      <c r="D1550" s="29" t="s">
        <v>1099</v>
      </c>
      <c r="E1550" s="29">
        <v>250</v>
      </c>
      <c r="G1550" s="29" t="s">
        <v>1035</v>
      </c>
      <c r="H1550" s="29">
        <v>1</v>
      </c>
      <c r="I1550" s="29">
        <v>20.9</v>
      </c>
      <c r="J1550" s="29">
        <v>5.2249999999999996</v>
      </c>
      <c r="K1550" s="29">
        <v>5.2249999999999996</v>
      </c>
      <c r="L1550" s="29" t="s">
        <v>1032</v>
      </c>
      <c r="M1550" s="29">
        <v>1</v>
      </c>
      <c r="N1550" s="29">
        <v>0.25</v>
      </c>
      <c r="O1550" s="29">
        <v>1</v>
      </c>
      <c r="P1550" s="29">
        <v>5.2249999999999996</v>
      </c>
      <c r="Q1550" s="29" t="s">
        <v>1033</v>
      </c>
    </row>
    <row r="1551" spans="1:17" x14ac:dyDescent="0.3">
      <c r="A1551" s="29" t="s">
        <v>816</v>
      </c>
      <c r="B1551" s="29">
        <v>1</v>
      </c>
      <c r="C1551" s="29" t="s">
        <v>1050</v>
      </c>
      <c r="D1551" s="29" t="s">
        <v>1051</v>
      </c>
      <c r="E1551" s="29">
        <v>150</v>
      </c>
      <c r="G1551" s="29" t="s">
        <v>1035</v>
      </c>
      <c r="H1551" s="29">
        <v>1</v>
      </c>
      <c r="I1551" s="29">
        <v>2.95</v>
      </c>
      <c r="J1551" s="29">
        <v>0.4425</v>
      </c>
      <c r="K1551" s="29">
        <v>0.4425</v>
      </c>
      <c r="L1551" s="29" t="s">
        <v>1032</v>
      </c>
      <c r="M1551" s="29">
        <v>1</v>
      </c>
      <c r="N1551" s="29">
        <v>0.15</v>
      </c>
      <c r="O1551" s="29">
        <v>1</v>
      </c>
      <c r="P1551" s="29">
        <v>0.4425</v>
      </c>
      <c r="Q1551" s="29" t="s">
        <v>1033</v>
      </c>
    </row>
    <row r="1552" spans="1:17" x14ac:dyDescent="0.3">
      <c r="B1552" s="29">
        <v>2</v>
      </c>
      <c r="C1552" s="29" t="s">
        <v>1089</v>
      </c>
      <c r="D1552" s="29" t="s">
        <v>1099</v>
      </c>
      <c r="E1552" s="29">
        <v>250</v>
      </c>
      <c r="G1552" s="29" t="s">
        <v>1035</v>
      </c>
      <c r="H1552" s="29">
        <v>1</v>
      </c>
      <c r="I1552" s="29">
        <v>20.9</v>
      </c>
      <c r="J1552" s="29">
        <v>5.2249999999999996</v>
      </c>
      <c r="K1552" s="29">
        <v>5.2249999999999996</v>
      </c>
      <c r="L1552" s="29" t="s">
        <v>1032</v>
      </c>
      <c r="M1552" s="29">
        <v>1</v>
      </c>
      <c r="N1552" s="29">
        <v>0.25</v>
      </c>
      <c r="O1552" s="29">
        <v>1</v>
      </c>
      <c r="P1552" s="29">
        <v>5.2249999999999996</v>
      </c>
      <c r="Q1552" s="29" t="s">
        <v>1033</v>
      </c>
    </row>
    <row r="1553" spans="1:17" x14ac:dyDescent="0.3">
      <c r="A1553" s="29" t="s">
        <v>816</v>
      </c>
      <c r="B1553" s="29">
        <v>1</v>
      </c>
      <c r="C1553" s="29" t="s">
        <v>1050</v>
      </c>
      <c r="D1553" s="29" t="s">
        <v>1051</v>
      </c>
      <c r="E1553" s="29">
        <v>150</v>
      </c>
      <c r="G1553" s="29" t="s">
        <v>1035</v>
      </c>
      <c r="H1553" s="29">
        <v>1</v>
      </c>
      <c r="I1553" s="29">
        <v>2.95</v>
      </c>
      <c r="J1553" s="29">
        <v>0.4425</v>
      </c>
      <c r="K1553" s="29">
        <v>0.4425</v>
      </c>
      <c r="L1553" s="29" t="s">
        <v>1032</v>
      </c>
      <c r="M1553" s="29">
        <v>1</v>
      </c>
      <c r="N1553" s="29">
        <v>0.15</v>
      </c>
      <c r="O1553" s="29">
        <v>1</v>
      </c>
      <c r="P1553" s="29">
        <v>0.4425</v>
      </c>
      <c r="Q1553" s="29" t="s">
        <v>1033</v>
      </c>
    </row>
    <row r="1554" spans="1:17" x14ac:dyDescent="0.3">
      <c r="B1554" s="29">
        <v>2</v>
      </c>
      <c r="C1554" s="29" t="s">
        <v>1089</v>
      </c>
      <c r="D1554" s="29" t="s">
        <v>1099</v>
      </c>
      <c r="E1554" s="29">
        <v>250</v>
      </c>
      <c r="G1554" s="29" t="s">
        <v>1035</v>
      </c>
      <c r="H1554" s="29">
        <v>1</v>
      </c>
      <c r="I1554" s="29">
        <v>20.9</v>
      </c>
      <c r="J1554" s="29">
        <v>5.2249999999999996</v>
      </c>
      <c r="K1554" s="29">
        <v>5.2249999999999996</v>
      </c>
      <c r="L1554" s="29" t="s">
        <v>1032</v>
      </c>
      <c r="M1554" s="29">
        <v>1</v>
      </c>
      <c r="N1554" s="29">
        <v>0.25</v>
      </c>
      <c r="O1554" s="29">
        <v>1</v>
      </c>
      <c r="P1554" s="29">
        <v>5.2249999999999996</v>
      </c>
      <c r="Q1554" s="29" t="s">
        <v>1033</v>
      </c>
    </row>
    <row r="1555" spans="1:17" x14ac:dyDescent="0.3">
      <c r="A1555" s="29" t="s">
        <v>816</v>
      </c>
      <c r="B1555" s="29">
        <v>1</v>
      </c>
      <c r="C1555" s="29" t="s">
        <v>1050</v>
      </c>
      <c r="D1555" s="29" t="s">
        <v>1051</v>
      </c>
      <c r="E1555" s="29">
        <v>150</v>
      </c>
      <c r="G1555" s="29" t="s">
        <v>1035</v>
      </c>
      <c r="H1555" s="29">
        <v>1</v>
      </c>
      <c r="I1555" s="29">
        <v>2.95</v>
      </c>
      <c r="J1555" s="29">
        <v>0.4425</v>
      </c>
      <c r="K1555" s="29">
        <v>0.4425</v>
      </c>
      <c r="L1555" s="29" t="s">
        <v>1032</v>
      </c>
      <c r="M1555" s="29">
        <v>1</v>
      </c>
      <c r="N1555" s="29">
        <v>0.15</v>
      </c>
      <c r="O1555" s="29">
        <v>1</v>
      </c>
      <c r="P1555" s="29">
        <v>0.4425</v>
      </c>
      <c r="Q1555" s="29" t="s">
        <v>1033</v>
      </c>
    </row>
    <row r="1556" spans="1:17" x14ac:dyDescent="0.3">
      <c r="B1556" s="29">
        <v>2</v>
      </c>
      <c r="C1556" s="29" t="s">
        <v>1089</v>
      </c>
      <c r="D1556" s="29" t="s">
        <v>1099</v>
      </c>
      <c r="E1556" s="29">
        <v>250</v>
      </c>
      <c r="G1556" s="29" t="s">
        <v>1035</v>
      </c>
      <c r="H1556" s="29">
        <v>1</v>
      </c>
      <c r="I1556" s="29">
        <v>20.9</v>
      </c>
      <c r="J1556" s="29">
        <v>5.2249999999999996</v>
      </c>
      <c r="K1556" s="29">
        <v>5.2249999999999996</v>
      </c>
      <c r="L1556" s="29" t="s">
        <v>1032</v>
      </c>
      <c r="M1556" s="29">
        <v>1</v>
      </c>
      <c r="N1556" s="29">
        <v>0.25</v>
      </c>
      <c r="O1556" s="29">
        <v>1</v>
      </c>
      <c r="P1556" s="29">
        <v>5.2249999999999996</v>
      </c>
      <c r="Q1556" s="29" t="s">
        <v>1033</v>
      </c>
    </row>
    <row r="1557" spans="1:17" x14ac:dyDescent="0.3">
      <c r="A1557" s="29" t="s">
        <v>816</v>
      </c>
      <c r="B1557" s="29">
        <v>1</v>
      </c>
      <c r="C1557" s="29" t="s">
        <v>1050</v>
      </c>
      <c r="D1557" s="29" t="s">
        <v>1051</v>
      </c>
      <c r="E1557" s="29">
        <v>150</v>
      </c>
      <c r="G1557" s="29" t="s">
        <v>1035</v>
      </c>
      <c r="H1557" s="29">
        <v>1</v>
      </c>
      <c r="I1557" s="29">
        <v>2.95</v>
      </c>
      <c r="J1557" s="29">
        <v>0.4425</v>
      </c>
      <c r="K1557" s="29">
        <v>0.4425</v>
      </c>
      <c r="L1557" s="29" t="s">
        <v>1032</v>
      </c>
      <c r="M1557" s="29">
        <v>1</v>
      </c>
      <c r="N1557" s="29">
        <v>0.15</v>
      </c>
      <c r="O1557" s="29">
        <v>1</v>
      </c>
      <c r="P1557" s="29">
        <v>0.4425</v>
      </c>
      <c r="Q1557" s="29" t="s">
        <v>1033</v>
      </c>
    </row>
    <row r="1558" spans="1:17" x14ac:dyDescent="0.3">
      <c r="B1558" s="29">
        <v>2</v>
      </c>
      <c r="C1558" s="29" t="s">
        <v>1089</v>
      </c>
      <c r="D1558" s="29" t="s">
        <v>1099</v>
      </c>
      <c r="E1558" s="29">
        <v>250</v>
      </c>
      <c r="G1558" s="29" t="s">
        <v>1035</v>
      </c>
      <c r="H1558" s="29">
        <v>1</v>
      </c>
      <c r="I1558" s="29">
        <v>20.9</v>
      </c>
      <c r="J1558" s="29">
        <v>5.2249999999999996</v>
      </c>
      <c r="K1558" s="29">
        <v>5.2249999999999996</v>
      </c>
      <c r="L1558" s="29" t="s">
        <v>1032</v>
      </c>
      <c r="M1558" s="29">
        <v>1</v>
      </c>
      <c r="N1558" s="29">
        <v>0.25</v>
      </c>
      <c r="O1558" s="29">
        <v>1</v>
      </c>
      <c r="P1558" s="29">
        <v>5.2249999999999996</v>
      </c>
      <c r="Q1558" s="29" t="s">
        <v>1033</v>
      </c>
    </row>
    <row r="1559" spans="1:17" x14ac:dyDescent="0.3">
      <c r="A1559" s="29" t="s">
        <v>816</v>
      </c>
      <c r="B1559" s="29">
        <v>1</v>
      </c>
      <c r="C1559" s="29" t="s">
        <v>1050</v>
      </c>
      <c r="D1559" s="29" t="s">
        <v>1051</v>
      </c>
      <c r="E1559" s="29">
        <v>150</v>
      </c>
      <c r="G1559" s="29" t="s">
        <v>1035</v>
      </c>
      <c r="H1559" s="29">
        <v>1</v>
      </c>
      <c r="I1559" s="29">
        <v>2.95</v>
      </c>
      <c r="J1559" s="29">
        <v>0.4425</v>
      </c>
      <c r="K1559" s="29">
        <v>0.4425</v>
      </c>
      <c r="L1559" s="29" t="s">
        <v>1032</v>
      </c>
      <c r="M1559" s="29">
        <v>1</v>
      </c>
      <c r="N1559" s="29">
        <v>0.15</v>
      </c>
      <c r="O1559" s="29">
        <v>1</v>
      </c>
      <c r="P1559" s="29">
        <v>0.4425</v>
      </c>
      <c r="Q1559" s="29" t="s">
        <v>1033</v>
      </c>
    </row>
    <row r="1560" spans="1:17" x14ac:dyDescent="0.3">
      <c r="B1560" s="29">
        <v>2</v>
      </c>
      <c r="C1560" s="29" t="s">
        <v>1089</v>
      </c>
      <c r="D1560" s="29" t="s">
        <v>1099</v>
      </c>
      <c r="E1560" s="29">
        <v>250</v>
      </c>
      <c r="G1560" s="29" t="s">
        <v>1035</v>
      </c>
      <c r="H1560" s="29">
        <v>1</v>
      </c>
      <c r="I1560" s="29">
        <v>20.9</v>
      </c>
      <c r="J1560" s="29">
        <v>5.2249999999999996</v>
      </c>
      <c r="K1560" s="29">
        <v>5.2249999999999996</v>
      </c>
      <c r="L1560" s="29" t="s">
        <v>1032</v>
      </c>
      <c r="M1560" s="29">
        <v>1</v>
      </c>
      <c r="N1560" s="29">
        <v>0.25</v>
      </c>
      <c r="O1560" s="29">
        <v>1</v>
      </c>
      <c r="P1560" s="29">
        <v>5.2249999999999996</v>
      </c>
      <c r="Q1560" s="29" t="s">
        <v>1033</v>
      </c>
    </row>
    <row r="1561" spans="1:17" x14ac:dyDescent="0.3">
      <c r="A1561" s="29" t="s">
        <v>816</v>
      </c>
      <c r="B1561" s="29">
        <v>1</v>
      </c>
      <c r="C1561" s="29" t="s">
        <v>1050</v>
      </c>
      <c r="D1561" s="29" t="s">
        <v>1051</v>
      </c>
      <c r="E1561" s="29">
        <v>150</v>
      </c>
      <c r="G1561" s="29" t="s">
        <v>1035</v>
      </c>
      <c r="H1561" s="29">
        <v>1</v>
      </c>
      <c r="I1561" s="29">
        <v>2.95</v>
      </c>
      <c r="J1561" s="29">
        <v>0.4425</v>
      </c>
      <c r="K1561" s="29">
        <v>0.4425</v>
      </c>
      <c r="L1561" s="29" t="s">
        <v>1032</v>
      </c>
      <c r="M1561" s="29">
        <v>1</v>
      </c>
      <c r="N1561" s="29">
        <v>0.15</v>
      </c>
      <c r="O1561" s="29">
        <v>1</v>
      </c>
      <c r="P1561" s="29">
        <v>0.4425</v>
      </c>
      <c r="Q1561" s="29" t="s">
        <v>1033</v>
      </c>
    </row>
    <row r="1562" spans="1:17" x14ac:dyDescent="0.3">
      <c r="B1562" s="29">
        <v>2</v>
      </c>
      <c r="C1562" s="29" t="s">
        <v>1089</v>
      </c>
      <c r="D1562" s="29" t="s">
        <v>1099</v>
      </c>
      <c r="E1562" s="29">
        <v>250</v>
      </c>
      <c r="G1562" s="29" t="s">
        <v>1035</v>
      </c>
      <c r="H1562" s="29">
        <v>1</v>
      </c>
      <c r="I1562" s="29">
        <v>20.9</v>
      </c>
      <c r="J1562" s="29">
        <v>5.2249999999999996</v>
      </c>
      <c r="K1562" s="29">
        <v>5.2249999999999996</v>
      </c>
      <c r="L1562" s="29" t="s">
        <v>1032</v>
      </c>
      <c r="M1562" s="29">
        <v>1</v>
      </c>
      <c r="N1562" s="29">
        <v>0.25</v>
      </c>
      <c r="O1562" s="29">
        <v>1</v>
      </c>
      <c r="P1562" s="29">
        <v>5.2249999999999996</v>
      </c>
      <c r="Q1562" s="29" t="s">
        <v>1033</v>
      </c>
    </row>
    <row r="1563" spans="1:17" x14ac:dyDescent="0.3">
      <c r="A1563" s="29" t="s">
        <v>816</v>
      </c>
      <c r="B1563" s="29">
        <v>1</v>
      </c>
      <c r="C1563" s="29" t="s">
        <v>1050</v>
      </c>
      <c r="D1563" s="29" t="s">
        <v>1051</v>
      </c>
      <c r="E1563" s="29">
        <v>150</v>
      </c>
      <c r="G1563" s="29" t="s">
        <v>1035</v>
      </c>
      <c r="H1563" s="29">
        <v>1</v>
      </c>
      <c r="I1563" s="29">
        <v>2.95</v>
      </c>
      <c r="J1563" s="29">
        <v>0.4425</v>
      </c>
      <c r="K1563" s="29">
        <v>0.4425</v>
      </c>
      <c r="L1563" s="29" t="s">
        <v>1032</v>
      </c>
      <c r="M1563" s="29">
        <v>1</v>
      </c>
      <c r="N1563" s="29">
        <v>0.15</v>
      </c>
      <c r="O1563" s="29">
        <v>1</v>
      </c>
      <c r="P1563" s="29">
        <v>0.4425</v>
      </c>
      <c r="Q1563" s="29" t="s">
        <v>1033</v>
      </c>
    </row>
    <row r="1564" spans="1:17" x14ac:dyDescent="0.3">
      <c r="B1564" s="29">
        <v>2</v>
      </c>
      <c r="C1564" s="29" t="s">
        <v>1089</v>
      </c>
      <c r="D1564" s="29" t="s">
        <v>1099</v>
      </c>
      <c r="E1564" s="29">
        <v>250</v>
      </c>
      <c r="G1564" s="29" t="s">
        <v>1035</v>
      </c>
      <c r="H1564" s="29">
        <v>1</v>
      </c>
      <c r="I1564" s="29">
        <v>20.9</v>
      </c>
      <c r="J1564" s="29">
        <v>5.2249999999999996</v>
      </c>
      <c r="K1564" s="29">
        <v>5.2249999999999996</v>
      </c>
      <c r="L1564" s="29" t="s">
        <v>1032</v>
      </c>
      <c r="M1564" s="29">
        <v>1</v>
      </c>
      <c r="N1564" s="29">
        <v>0.25</v>
      </c>
      <c r="O1564" s="29">
        <v>1</v>
      </c>
      <c r="P1564" s="29">
        <v>5.2249999999999996</v>
      </c>
      <c r="Q1564" s="29" t="s">
        <v>1033</v>
      </c>
    </row>
    <row r="1565" spans="1:17" x14ac:dyDescent="0.3">
      <c r="A1565" s="29" t="s">
        <v>816</v>
      </c>
      <c r="B1565" s="29">
        <v>1</v>
      </c>
      <c r="C1565" s="29" t="s">
        <v>1050</v>
      </c>
      <c r="D1565" s="29" t="s">
        <v>1051</v>
      </c>
      <c r="E1565" s="29">
        <v>150</v>
      </c>
      <c r="G1565" s="29" t="s">
        <v>1035</v>
      </c>
      <c r="H1565" s="29">
        <v>1</v>
      </c>
      <c r="I1565" s="29">
        <v>2.95</v>
      </c>
      <c r="J1565" s="29">
        <v>0.4425</v>
      </c>
      <c r="K1565" s="29">
        <v>0.4425</v>
      </c>
      <c r="L1565" s="29" t="s">
        <v>1032</v>
      </c>
      <c r="M1565" s="29">
        <v>1</v>
      </c>
      <c r="N1565" s="29">
        <v>0.15</v>
      </c>
      <c r="O1565" s="29">
        <v>1</v>
      </c>
      <c r="P1565" s="29">
        <v>0.4425</v>
      </c>
      <c r="Q1565" s="29" t="s">
        <v>1033</v>
      </c>
    </row>
    <row r="1566" spans="1:17" x14ac:dyDescent="0.3">
      <c r="B1566" s="29">
        <v>2</v>
      </c>
      <c r="C1566" s="29" t="s">
        <v>1089</v>
      </c>
      <c r="D1566" s="29" t="s">
        <v>1099</v>
      </c>
      <c r="E1566" s="29">
        <v>250</v>
      </c>
      <c r="G1566" s="29" t="s">
        <v>1035</v>
      </c>
      <c r="H1566" s="29">
        <v>1</v>
      </c>
      <c r="I1566" s="29">
        <v>20.9</v>
      </c>
      <c r="J1566" s="29">
        <v>5.2249999999999996</v>
      </c>
      <c r="K1566" s="29">
        <v>5.2249999999999996</v>
      </c>
      <c r="L1566" s="29" t="s">
        <v>1032</v>
      </c>
      <c r="M1566" s="29">
        <v>1</v>
      </c>
      <c r="N1566" s="29">
        <v>0.25</v>
      </c>
      <c r="O1566" s="29">
        <v>1</v>
      </c>
      <c r="P1566" s="29">
        <v>5.2249999999999996</v>
      </c>
      <c r="Q1566" s="29" t="s">
        <v>1033</v>
      </c>
    </row>
    <row r="1567" spans="1:17" x14ac:dyDescent="0.3">
      <c r="A1567" s="29" t="s">
        <v>816</v>
      </c>
      <c r="B1567" s="29">
        <v>1</v>
      </c>
      <c r="C1567" s="29" t="s">
        <v>1050</v>
      </c>
      <c r="D1567" s="29" t="s">
        <v>1051</v>
      </c>
      <c r="E1567" s="29">
        <v>150</v>
      </c>
      <c r="G1567" s="29" t="s">
        <v>1035</v>
      </c>
      <c r="H1567" s="29">
        <v>1</v>
      </c>
      <c r="I1567" s="29">
        <v>2.95</v>
      </c>
      <c r="J1567" s="29">
        <v>0.4425</v>
      </c>
      <c r="K1567" s="29">
        <v>0.4425</v>
      </c>
      <c r="L1567" s="29" t="s">
        <v>1032</v>
      </c>
      <c r="M1567" s="29">
        <v>1</v>
      </c>
      <c r="N1567" s="29">
        <v>0.15</v>
      </c>
      <c r="O1567" s="29">
        <v>1</v>
      </c>
      <c r="P1567" s="29">
        <v>0.4425</v>
      </c>
      <c r="Q1567" s="29" t="s">
        <v>1033</v>
      </c>
    </row>
    <row r="1568" spans="1:17" x14ac:dyDescent="0.3">
      <c r="B1568" s="29">
        <v>2</v>
      </c>
      <c r="C1568" s="29" t="s">
        <v>1089</v>
      </c>
      <c r="D1568" s="29" t="s">
        <v>1099</v>
      </c>
      <c r="E1568" s="29">
        <v>250</v>
      </c>
      <c r="G1568" s="29" t="s">
        <v>1035</v>
      </c>
      <c r="H1568" s="29">
        <v>1</v>
      </c>
      <c r="I1568" s="29">
        <v>20.9</v>
      </c>
      <c r="J1568" s="29">
        <v>5.2249999999999996</v>
      </c>
      <c r="K1568" s="29">
        <v>5.2249999999999996</v>
      </c>
      <c r="L1568" s="29" t="s">
        <v>1032</v>
      </c>
      <c r="M1568" s="29">
        <v>1</v>
      </c>
      <c r="N1568" s="29">
        <v>0.25</v>
      </c>
      <c r="O1568" s="29">
        <v>1</v>
      </c>
      <c r="P1568" s="29">
        <v>5.2249999999999996</v>
      </c>
      <c r="Q1568" s="29" t="s">
        <v>1033</v>
      </c>
    </row>
    <row r="1569" spans="1:17" x14ac:dyDescent="0.3">
      <c r="A1569" s="29" t="s">
        <v>816</v>
      </c>
      <c r="B1569" s="29">
        <v>1</v>
      </c>
      <c r="C1569" s="29" t="s">
        <v>1050</v>
      </c>
      <c r="D1569" s="29" t="s">
        <v>1051</v>
      </c>
      <c r="E1569" s="29">
        <v>150</v>
      </c>
      <c r="G1569" s="29" t="s">
        <v>1035</v>
      </c>
      <c r="H1569" s="29">
        <v>1</v>
      </c>
      <c r="I1569" s="29">
        <v>2.95</v>
      </c>
      <c r="J1569" s="29">
        <v>0.4425</v>
      </c>
      <c r="K1569" s="29">
        <v>0.4425</v>
      </c>
      <c r="L1569" s="29" t="s">
        <v>1032</v>
      </c>
      <c r="M1569" s="29">
        <v>1</v>
      </c>
      <c r="N1569" s="29">
        <v>0.15</v>
      </c>
      <c r="O1569" s="29">
        <v>1</v>
      </c>
      <c r="P1569" s="29">
        <v>0.4425</v>
      </c>
      <c r="Q1569" s="29" t="s">
        <v>1033</v>
      </c>
    </row>
    <row r="1570" spans="1:17" x14ac:dyDescent="0.3">
      <c r="B1570" s="29">
        <v>2</v>
      </c>
      <c r="C1570" s="29" t="s">
        <v>1089</v>
      </c>
      <c r="D1570" s="29" t="s">
        <v>1099</v>
      </c>
      <c r="E1570" s="29">
        <v>250</v>
      </c>
      <c r="G1570" s="29" t="s">
        <v>1035</v>
      </c>
      <c r="H1570" s="29">
        <v>1</v>
      </c>
      <c r="I1570" s="29">
        <v>20.9</v>
      </c>
      <c r="J1570" s="29">
        <v>5.2249999999999996</v>
      </c>
      <c r="K1570" s="29">
        <v>5.2249999999999996</v>
      </c>
      <c r="L1570" s="29" t="s">
        <v>1032</v>
      </c>
      <c r="M1570" s="29">
        <v>1</v>
      </c>
      <c r="N1570" s="29">
        <v>0.25</v>
      </c>
      <c r="O1570" s="29">
        <v>1</v>
      </c>
      <c r="P1570" s="29">
        <v>5.2249999999999996</v>
      </c>
      <c r="Q1570" s="29" t="s">
        <v>1033</v>
      </c>
    </row>
    <row r="1571" spans="1:17" x14ac:dyDescent="0.3">
      <c r="A1571" s="29" t="s">
        <v>817</v>
      </c>
      <c r="B1571" s="29">
        <v>1</v>
      </c>
      <c r="C1571" s="29" t="s">
        <v>1050</v>
      </c>
      <c r="D1571" s="29" t="s">
        <v>1051</v>
      </c>
      <c r="E1571" s="29">
        <v>150</v>
      </c>
      <c r="G1571" s="29" t="s">
        <v>1035</v>
      </c>
      <c r="H1571" s="29">
        <v>1</v>
      </c>
      <c r="I1571" s="29">
        <v>2.95</v>
      </c>
      <c r="J1571" s="29">
        <v>0.4425</v>
      </c>
      <c r="K1571" s="29">
        <v>0.4425</v>
      </c>
      <c r="L1571" s="29" t="s">
        <v>1032</v>
      </c>
      <c r="M1571" s="29">
        <v>1</v>
      </c>
      <c r="N1571" s="29">
        <v>0.15</v>
      </c>
      <c r="O1571" s="29">
        <v>1</v>
      </c>
      <c r="P1571" s="29">
        <v>0.4425</v>
      </c>
      <c r="Q1571" s="29" t="s">
        <v>1033</v>
      </c>
    </row>
    <row r="1572" spans="1:17" x14ac:dyDescent="0.3">
      <c r="B1572" s="29">
        <v>2</v>
      </c>
      <c r="C1572" s="29" t="s">
        <v>1089</v>
      </c>
      <c r="D1572" s="29" t="s">
        <v>1099</v>
      </c>
      <c r="E1572" s="29">
        <v>250</v>
      </c>
      <c r="G1572" s="29" t="s">
        <v>1035</v>
      </c>
      <c r="H1572" s="29">
        <v>1</v>
      </c>
      <c r="I1572" s="29">
        <v>20.9</v>
      </c>
      <c r="J1572" s="29">
        <v>5.2249999999999996</v>
      </c>
      <c r="K1572" s="29">
        <v>5.2249999999999996</v>
      </c>
      <c r="L1572" s="29" t="s">
        <v>1032</v>
      </c>
      <c r="M1572" s="29">
        <v>1</v>
      </c>
      <c r="N1572" s="29">
        <v>0.25</v>
      </c>
      <c r="O1572" s="29">
        <v>1</v>
      </c>
      <c r="P1572" s="29">
        <v>5.2249999999999996</v>
      </c>
      <c r="Q1572" s="29" t="s">
        <v>1033</v>
      </c>
    </row>
    <row r="1573" spans="1:17" x14ac:dyDescent="0.3">
      <c r="A1573" s="29" t="s">
        <v>818</v>
      </c>
      <c r="B1573" s="29">
        <v>1</v>
      </c>
      <c r="C1573" s="29" t="s">
        <v>1050</v>
      </c>
      <c r="D1573" s="29" t="s">
        <v>1051</v>
      </c>
      <c r="E1573" s="29">
        <v>150</v>
      </c>
      <c r="G1573" s="29" t="s">
        <v>1031</v>
      </c>
      <c r="H1573" s="29">
        <v>1</v>
      </c>
      <c r="I1573" s="29">
        <v>2.95</v>
      </c>
      <c r="J1573" s="29">
        <v>0.4425</v>
      </c>
      <c r="K1573" s="29">
        <v>0.4425</v>
      </c>
      <c r="L1573" s="29" t="s">
        <v>1032</v>
      </c>
      <c r="M1573" s="29">
        <v>1</v>
      </c>
      <c r="N1573" s="29">
        <v>0.15</v>
      </c>
      <c r="O1573" s="29">
        <v>1</v>
      </c>
      <c r="P1573" s="29">
        <v>0.4425</v>
      </c>
      <c r="Q1573" s="29" t="s">
        <v>1033</v>
      </c>
    </row>
    <row r="1574" spans="1:17" x14ac:dyDescent="0.3">
      <c r="B1574" s="29">
        <v>2</v>
      </c>
      <c r="C1574" s="29" t="s">
        <v>1089</v>
      </c>
      <c r="D1574" s="29" t="s">
        <v>1099</v>
      </c>
      <c r="E1574" s="29">
        <v>250</v>
      </c>
      <c r="G1574" s="29" t="s">
        <v>1031</v>
      </c>
      <c r="H1574" s="29">
        <v>1</v>
      </c>
      <c r="I1574" s="29">
        <v>20.9</v>
      </c>
      <c r="J1574" s="29">
        <v>5.2249999999999996</v>
      </c>
      <c r="K1574" s="29">
        <v>5.2249999999999996</v>
      </c>
      <c r="L1574" s="29" t="s">
        <v>1032</v>
      </c>
      <c r="M1574" s="29">
        <v>1</v>
      </c>
      <c r="N1574" s="29">
        <v>0.25</v>
      </c>
      <c r="O1574" s="29">
        <v>1</v>
      </c>
      <c r="P1574" s="29">
        <v>5.2249999999999996</v>
      </c>
      <c r="Q1574" s="29" t="s">
        <v>1033</v>
      </c>
    </row>
    <row r="1575" spans="1:17" x14ac:dyDescent="0.3">
      <c r="A1575" s="29" t="s">
        <v>818</v>
      </c>
      <c r="B1575" s="29">
        <v>1</v>
      </c>
      <c r="C1575" s="29" t="s">
        <v>1050</v>
      </c>
      <c r="D1575" s="29" t="s">
        <v>1051</v>
      </c>
      <c r="E1575" s="29">
        <v>150</v>
      </c>
      <c r="G1575" s="29" t="s">
        <v>1031</v>
      </c>
      <c r="H1575" s="29">
        <v>1</v>
      </c>
      <c r="I1575" s="29">
        <v>2.95</v>
      </c>
      <c r="J1575" s="29">
        <v>0.4425</v>
      </c>
      <c r="K1575" s="29">
        <v>0.4425</v>
      </c>
      <c r="L1575" s="29" t="s">
        <v>1032</v>
      </c>
      <c r="M1575" s="29">
        <v>1</v>
      </c>
      <c r="N1575" s="29">
        <v>0.15</v>
      </c>
      <c r="O1575" s="29">
        <v>1</v>
      </c>
      <c r="P1575" s="29">
        <v>0.4425</v>
      </c>
      <c r="Q1575" s="29" t="s">
        <v>1033</v>
      </c>
    </row>
    <row r="1576" spans="1:17" x14ac:dyDescent="0.3">
      <c r="B1576" s="29">
        <v>2</v>
      </c>
      <c r="C1576" s="29" t="s">
        <v>1089</v>
      </c>
      <c r="D1576" s="29" t="s">
        <v>1099</v>
      </c>
      <c r="E1576" s="29">
        <v>250</v>
      </c>
      <c r="G1576" s="29" t="s">
        <v>1031</v>
      </c>
      <c r="H1576" s="29">
        <v>1</v>
      </c>
      <c r="I1576" s="29">
        <v>20.9</v>
      </c>
      <c r="J1576" s="29">
        <v>5.2249999999999996</v>
      </c>
      <c r="K1576" s="29">
        <v>5.2249999999999996</v>
      </c>
      <c r="L1576" s="29" t="s">
        <v>1032</v>
      </c>
      <c r="M1576" s="29">
        <v>1</v>
      </c>
      <c r="N1576" s="29">
        <v>0.25</v>
      </c>
      <c r="O1576" s="29">
        <v>1</v>
      </c>
      <c r="P1576" s="29">
        <v>5.2249999999999996</v>
      </c>
      <c r="Q1576" s="29" t="s">
        <v>1033</v>
      </c>
    </row>
    <row r="1577" spans="1:17" x14ac:dyDescent="0.3">
      <c r="A1577" s="29" t="s">
        <v>819</v>
      </c>
      <c r="B1577" s="29">
        <v>1</v>
      </c>
      <c r="C1577" s="29" t="s">
        <v>1050</v>
      </c>
      <c r="D1577" s="29" t="s">
        <v>1051</v>
      </c>
      <c r="E1577" s="29">
        <v>150</v>
      </c>
      <c r="G1577" s="29" t="s">
        <v>1031</v>
      </c>
      <c r="H1577" s="29">
        <v>1</v>
      </c>
      <c r="I1577" s="29">
        <v>2.95</v>
      </c>
      <c r="J1577" s="29">
        <v>0.4425</v>
      </c>
      <c r="K1577" s="29">
        <v>0.4425</v>
      </c>
      <c r="L1577" s="29" t="s">
        <v>1032</v>
      </c>
      <c r="M1577" s="29">
        <v>1</v>
      </c>
      <c r="N1577" s="29">
        <v>0.15</v>
      </c>
      <c r="O1577" s="29">
        <v>1</v>
      </c>
      <c r="P1577" s="29">
        <v>0.4425</v>
      </c>
      <c r="Q1577" s="29" t="s">
        <v>1033</v>
      </c>
    </row>
    <row r="1578" spans="1:17" x14ac:dyDescent="0.3">
      <c r="B1578" s="29">
        <v>2</v>
      </c>
      <c r="C1578" s="29" t="s">
        <v>1089</v>
      </c>
      <c r="D1578" s="29" t="s">
        <v>1099</v>
      </c>
      <c r="E1578" s="29">
        <v>250</v>
      </c>
      <c r="G1578" s="29" t="s">
        <v>1031</v>
      </c>
      <c r="H1578" s="29">
        <v>1</v>
      </c>
      <c r="I1578" s="29">
        <v>20.9</v>
      </c>
      <c r="J1578" s="29">
        <v>5.2249999999999996</v>
      </c>
      <c r="K1578" s="29">
        <v>5.2249999999999996</v>
      </c>
      <c r="L1578" s="29" t="s">
        <v>1032</v>
      </c>
      <c r="M1578" s="29">
        <v>1</v>
      </c>
      <c r="N1578" s="29">
        <v>0.25</v>
      </c>
      <c r="O1578" s="29">
        <v>1</v>
      </c>
      <c r="P1578" s="29">
        <v>5.2249999999999996</v>
      </c>
      <c r="Q1578" s="29" t="s">
        <v>1033</v>
      </c>
    </row>
    <row r="1579" spans="1:17" x14ac:dyDescent="0.3">
      <c r="A1579" s="29" t="s">
        <v>820</v>
      </c>
      <c r="B1579" s="29">
        <v>1</v>
      </c>
      <c r="C1579" s="29" t="s">
        <v>1050</v>
      </c>
      <c r="D1579" s="29" t="s">
        <v>1051</v>
      </c>
      <c r="E1579" s="29">
        <v>150</v>
      </c>
      <c r="G1579" s="29" t="s">
        <v>1035</v>
      </c>
      <c r="H1579" s="29">
        <v>1</v>
      </c>
      <c r="I1579" s="29">
        <v>2.95</v>
      </c>
      <c r="J1579" s="29">
        <v>0.4425</v>
      </c>
      <c r="K1579" s="29">
        <v>0.4425</v>
      </c>
      <c r="L1579" s="29" t="s">
        <v>1032</v>
      </c>
      <c r="M1579" s="29">
        <v>1</v>
      </c>
      <c r="N1579" s="29">
        <v>0.15</v>
      </c>
      <c r="O1579" s="29">
        <v>1</v>
      </c>
      <c r="P1579" s="29">
        <v>0.4425</v>
      </c>
      <c r="Q1579" s="29" t="s">
        <v>1033</v>
      </c>
    </row>
    <row r="1580" spans="1:17" x14ac:dyDescent="0.3">
      <c r="B1580" s="29">
        <v>2</v>
      </c>
      <c r="C1580" s="29" t="s">
        <v>1089</v>
      </c>
      <c r="D1580" s="29" t="s">
        <v>1099</v>
      </c>
      <c r="E1580" s="29">
        <v>250</v>
      </c>
      <c r="G1580" s="29" t="s">
        <v>1035</v>
      </c>
      <c r="H1580" s="29">
        <v>1</v>
      </c>
      <c r="I1580" s="29">
        <v>20.9</v>
      </c>
      <c r="J1580" s="29">
        <v>5.2249999999999996</v>
      </c>
      <c r="K1580" s="29">
        <v>5.2249999999999996</v>
      </c>
      <c r="L1580" s="29" t="s">
        <v>1032</v>
      </c>
      <c r="M1580" s="29">
        <v>1</v>
      </c>
      <c r="N1580" s="29">
        <v>0.25</v>
      </c>
      <c r="O1580" s="29">
        <v>1</v>
      </c>
      <c r="P1580" s="29">
        <v>5.2249999999999996</v>
      </c>
      <c r="Q1580" s="29" t="s">
        <v>1033</v>
      </c>
    </row>
    <row r="1581" spans="1:17" x14ac:dyDescent="0.3">
      <c r="A1581" s="29" t="s">
        <v>821</v>
      </c>
      <c r="B1581" s="29">
        <v>1</v>
      </c>
      <c r="C1581" s="29" t="s">
        <v>1050</v>
      </c>
      <c r="D1581" s="29" t="s">
        <v>1051</v>
      </c>
      <c r="E1581" s="29">
        <v>150</v>
      </c>
      <c r="G1581" s="29" t="s">
        <v>1035</v>
      </c>
      <c r="H1581" s="29">
        <v>1</v>
      </c>
      <c r="I1581" s="29">
        <v>2.95</v>
      </c>
      <c r="J1581" s="29">
        <v>0.4425</v>
      </c>
      <c r="K1581" s="29">
        <v>0.4425</v>
      </c>
      <c r="L1581" s="29" t="s">
        <v>1032</v>
      </c>
      <c r="M1581" s="29">
        <v>1</v>
      </c>
      <c r="N1581" s="29">
        <v>0.15</v>
      </c>
      <c r="O1581" s="29">
        <v>1</v>
      </c>
      <c r="P1581" s="29">
        <v>0.4425</v>
      </c>
      <c r="Q1581" s="29" t="s">
        <v>1033</v>
      </c>
    </row>
    <row r="1582" spans="1:17" x14ac:dyDescent="0.3">
      <c r="B1582" s="29">
        <v>2</v>
      </c>
      <c r="C1582" s="29" t="s">
        <v>1089</v>
      </c>
      <c r="D1582" s="29" t="s">
        <v>1099</v>
      </c>
      <c r="E1582" s="29">
        <v>250</v>
      </c>
      <c r="G1582" s="29" t="s">
        <v>1035</v>
      </c>
      <c r="H1582" s="29">
        <v>1</v>
      </c>
      <c r="I1582" s="29">
        <v>20.9</v>
      </c>
      <c r="J1582" s="29">
        <v>5.2249999999999996</v>
      </c>
      <c r="K1582" s="29">
        <v>5.2249999999999996</v>
      </c>
      <c r="L1582" s="29" t="s">
        <v>1032</v>
      </c>
      <c r="M1582" s="29">
        <v>1</v>
      </c>
      <c r="N1582" s="29">
        <v>0.25</v>
      </c>
      <c r="O1582" s="29">
        <v>1</v>
      </c>
      <c r="P1582" s="29">
        <v>5.2249999999999996</v>
      </c>
      <c r="Q1582" s="29" t="s">
        <v>1033</v>
      </c>
    </row>
    <row r="1583" spans="1:17" x14ac:dyDescent="0.3">
      <c r="A1583" s="29" t="s">
        <v>822</v>
      </c>
      <c r="B1583" s="29">
        <v>1</v>
      </c>
      <c r="C1583" s="29" t="s">
        <v>1050</v>
      </c>
      <c r="D1583" s="29" t="s">
        <v>1051</v>
      </c>
      <c r="E1583" s="29">
        <v>150</v>
      </c>
      <c r="G1583" s="29" t="s">
        <v>1035</v>
      </c>
      <c r="H1583" s="29">
        <v>1</v>
      </c>
      <c r="I1583" s="29">
        <v>2.95</v>
      </c>
      <c r="J1583" s="29">
        <v>0.4425</v>
      </c>
      <c r="K1583" s="29">
        <v>0.4425</v>
      </c>
      <c r="L1583" s="29" t="s">
        <v>1032</v>
      </c>
      <c r="M1583" s="29">
        <v>1</v>
      </c>
      <c r="N1583" s="29">
        <v>0.15</v>
      </c>
      <c r="O1583" s="29">
        <v>1</v>
      </c>
      <c r="P1583" s="29">
        <v>0.4425</v>
      </c>
      <c r="Q1583" s="29" t="s">
        <v>1033</v>
      </c>
    </row>
    <row r="1584" spans="1:17" x14ac:dyDescent="0.3">
      <c r="B1584" s="29">
        <v>2</v>
      </c>
      <c r="C1584" s="29" t="s">
        <v>1089</v>
      </c>
      <c r="D1584" s="29" t="s">
        <v>1099</v>
      </c>
      <c r="E1584" s="29">
        <v>250</v>
      </c>
      <c r="G1584" s="29" t="s">
        <v>1035</v>
      </c>
      <c r="H1584" s="29">
        <v>1</v>
      </c>
      <c r="I1584" s="29">
        <v>20.9</v>
      </c>
      <c r="J1584" s="29">
        <v>5.2249999999999996</v>
      </c>
      <c r="K1584" s="29">
        <v>5.2249999999999996</v>
      </c>
      <c r="L1584" s="29" t="s">
        <v>1032</v>
      </c>
      <c r="M1584" s="29">
        <v>1</v>
      </c>
      <c r="N1584" s="29">
        <v>0.25</v>
      </c>
      <c r="O1584" s="29">
        <v>1</v>
      </c>
      <c r="P1584" s="29">
        <v>5.2249999999999996</v>
      </c>
      <c r="Q1584" s="29" t="s">
        <v>1033</v>
      </c>
    </row>
    <row r="1585" spans="1:17" x14ac:dyDescent="0.3">
      <c r="A1585" s="29" t="s">
        <v>822</v>
      </c>
      <c r="B1585" s="29">
        <v>1</v>
      </c>
      <c r="C1585" s="29" t="s">
        <v>1050</v>
      </c>
      <c r="D1585" s="29" t="s">
        <v>1051</v>
      </c>
      <c r="E1585" s="29">
        <v>150</v>
      </c>
      <c r="G1585" s="29" t="s">
        <v>1035</v>
      </c>
      <c r="H1585" s="29">
        <v>1</v>
      </c>
      <c r="I1585" s="29">
        <v>2.95</v>
      </c>
      <c r="J1585" s="29">
        <v>0.4425</v>
      </c>
      <c r="K1585" s="29">
        <v>0.4425</v>
      </c>
      <c r="L1585" s="29" t="s">
        <v>1032</v>
      </c>
      <c r="M1585" s="29">
        <v>1</v>
      </c>
      <c r="N1585" s="29">
        <v>0.15</v>
      </c>
      <c r="O1585" s="29">
        <v>1</v>
      </c>
      <c r="P1585" s="29">
        <v>0.4425</v>
      </c>
      <c r="Q1585" s="29" t="s">
        <v>1033</v>
      </c>
    </row>
    <row r="1586" spans="1:17" x14ac:dyDescent="0.3">
      <c r="B1586" s="29">
        <v>2</v>
      </c>
      <c r="C1586" s="29" t="s">
        <v>1089</v>
      </c>
      <c r="D1586" s="29" t="s">
        <v>1099</v>
      </c>
      <c r="E1586" s="29">
        <v>250</v>
      </c>
      <c r="G1586" s="29" t="s">
        <v>1035</v>
      </c>
      <c r="H1586" s="29">
        <v>1</v>
      </c>
      <c r="I1586" s="29">
        <v>20.9</v>
      </c>
      <c r="J1586" s="29">
        <v>5.2249999999999996</v>
      </c>
      <c r="K1586" s="29">
        <v>5.2249999999999996</v>
      </c>
      <c r="L1586" s="29" t="s">
        <v>1032</v>
      </c>
      <c r="M1586" s="29">
        <v>1</v>
      </c>
      <c r="N1586" s="29">
        <v>0.25</v>
      </c>
      <c r="O1586" s="29">
        <v>1</v>
      </c>
      <c r="P1586" s="29">
        <v>5.2249999999999996</v>
      </c>
      <c r="Q1586" s="29" t="s">
        <v>1033</v>
      </c>
    </row>
    <row r="1587" spans="1:17" x14ac:dyDescent="0.3">
      <c r="A1587" s="29" t="s">
        <v>822</v>
      </c>
      <c r="B1587" s="29">
        <v>1</v>
      </c>
      <c r="C1587" s="29" t="s">
        <v>1050</v>
      </c>
      <c r="D1587" s="29" t="s">
        <v>1051</v>
      </c>
      <c r="E1587" s="29">
        <v>150</v>
      </c>
      <c r="G1587" s="29" t="s">
        <v>1035</v>
      </c>
      <c r="H1587" s="29">
        <v>1</v>
      </c>
      <c r="I1587" s="29">
        <v>2.95</v>
      </c>
      <c r="J1587" s="29">
        <v>0.4425</v>
      </c>
      <c r="K1587" s="29">
        <v>0.4425</v>
      </c>
      <c r="L1587" s="29" t="s">
        <v>1032</v>
      </c>
      <c r="M1587" s="29">
        <v>1</v>
      </c>
      <c r="N1587" s="29">
        <v>0.15</v>
      </c>
      <c r="O1587" s="29">
        <v>1</v>
      </c>
      <c r="P1587" s="29">
        <v>0.4425</v>
      </c>
      <c r="Q1587" s="29" t="s">
        <v>1033</v>
      </c>
    </row>
    <row r="1588" spans="1:17" x14ac:dyDescent="0.3">
      <c r="B1588" s="29">
        <v>2</v>
      </c>
      <c r="C1588" s="29" t="s">
        <v>1089</v>
      </c>
      <c r="D1588" s="29" t="s">
        <v>1099</v>
      </c>
      <c r="E1588" s="29">
        <v>250</v>
      </c>
      <c r="G1588" s="29" t="s">
        <v>1035</v>
      </c>
      <c r="H1588" s="29">
        <v>1</v>
      </c>
      <c r="I1588" s="29">
        <v>20.9</v>
      </c>
      <c r="J1588" s="29">
        <v>5.2249999999999996</v>
      </c>
      <c r="K1588" s="29">
        <v>5.2249999999999996</v>
      </c>
      <c r="L1588" s="29" t="s">
        <v>1032</v>
      </c>
      <c r="M1588" s="29">
        <v>1</v>
      </c>
      <c r="N1588" s="29">
        <v>0.25</v>
      </c>
      <c r="O1588" s="29">
        <v>1</v>
      </c>
      <c r="P1588" s="29">
        <v>5.2249999999999996</v>
      </c>
      <c r="Q1588" s="29" t="s">
        <v>1033</v>
      </c>
    </row>
    <row r="1589" spans="1:17" x14ac:dyDescent="0.3">
      <c r="A1589" s="29" t="s">
        <v>822</v>
      </c>
      <c r="B1589" s="29">
        <v>1</v>
      </c>
      <c r="C1589" s="29" t="s">
        <v>1050</v>
      </c>
      <c r="D1589" s="29" t="s">
        <v>1051</v>
      </c>
      <c r="E1589" s="29">
        <v>150</v>
      </c>
      <c r="G1589" s="29" t="s">
        <v>1035</v>
      </c>
      <c r="H1589" s="29">
        <v>1</v>
      </c>
      <c r="I1589" s="29">
        <v>2.95</v>
      </c>
      <c r="J1589" s="29">
        <v>0.4425</v>
      </c>
      <c r="K1589" s="29">
        <v>0.4425</v>
      </c>
      <c r="L1589" s="29" t="s">
        <v>1032</v>
      </c>
      <c r="M1589" s="29">
        <v>1</v>
      </c>
      <c r="N1589" s="29">
        <v>0.15</v>
      </c>
      <c r="O1589" s="29">
        <v>1</v>
      </c>
      <c r="P1589" s="29">
        <v>0.4425</v>
      </c>
      <c r="Q1589" s="29" t="s">
        <v>1033</v>
      </c>
    </row>
    <row r="1590" spans="1:17" x14ac:dyDescent="0.3">
      <c r="B1590" s="29">
        <v>2</v>
      </c>
      <c r="C1590" s="29" t="s">
        <v>1089</v>
      </c>
      <c r="D1590" s="29" t="s">
        <v>1099</v>
      </c>
      <c r="E1590" s="29">
        <v>250</v>
      </c>
      <c r="G1590" s="29" t="s">
        <v>1035</v>
      </c>
      <c r="H1590" s="29">
        <v>1</v>
      </c>
      <c r="I1590" s="29">
        <v>20.9</v>
      </c>
      <c r="J1590" s="29">
        <v>5.2249999999999996</v>
      </c>
      <c r="K1590" s="29">
        <v>5.2249999999999996</v>
      </c>
      <c r="L1590" s="29" t="s">
        <v>1032</v>
      </c>
      <c r="M1590" s="29">
        <v>1</v>
      </c>
      <c r="N1590" s="29">
        <v>0.25</v>
      </c>
      <c r="O1590" s="29">
        <v>1</v>
      </c>
      <c r="P1590" s="29">
        <v>5.2249999999999996</v>
      </c>
      <c r="Q1590" s="29" t="s">
        <v>1033</v>
      </c>
    </row>
    <row r="1591" spans="1:17" x14ac:dyDescent="0.3">
      <c r="A1591" s="29" t="s">
        <v>822</v>
      </c>
      <c r="B1591" s="29">
        <v>1</v>
      </c>
      <c r="C1591" s="29" t="s">
        <v>1050</v>
      </c>
      <c r="D1591" s="29" t="s">
        <v>1051</v>
      </c>
      <c r="E1591" s="29">
        <v>150</v>
      </c>
      <c r="G1591" s="29" t="s">
        <v>1035</v>
      </c>
      <c r="H1591" s="29">
        <v>1</v>
      </c>
      <c r="I1591" s="29">
        <v>2.95</v>
      </c>
      <c r="J1591" s="29">
        <v>0.4425</v>
      </c>
      <c r="K1591" s="29">
        <v>0.4425</v>
      </c>
      <c r="L1591" s="29" t="s">
        <v>1032</v>
      </c>
      <c r="M1591" s="29">
        <v>1</v>
      </c>
      <c r="N1591" s="29">
        <v>0.15</v>
      </c>
      <c r="O1591" s="29">
        <v>1</v>
      </c>
      <c r="P1591" s="29">
        <v>0.4425</v>
      </c>
      <c r="Q1591" s="29" t="s">
        <v>1033</v>
      </c>
    </row>
    <row r="1592" spans="1:17" x14ac:dyDescent="0.3">
      <c r="B1592" s="29">
        <v>2</v>
      </c>
      <c r="C1592" s="29" t="s">
        <v>1089</v>
      </c>
      <c r="D1592" s="29" t="s">
        <v>1099</v>
      </c>
      <c r="E1592" s="29">
        <v>250</v>
      </c>
      <c r="G1592" s="29" t="s">
        <v>1035</v>
      </c>
      <c r="H1592" s="29">
        <v>1</v>
      </c>
      <c r="I1592" s="29">
        <v>20.9</v>
      </c>
      <c r="J1592" s="29">
        <v>5.2249999999999996</v>
      </c>
      <c r="K1592" s="29">
        <v>5.2249999999999996</v>
      </c>
      <c r="L1592" s="29" t="s">
        <v>1032</v>
      </c>
      <c r="M1592" s="29">
        <v>1</v>
      </c>
      <c r="N1592" s="29">
        <v>0.25</v>
      </c>
      <c r="O1592" s="29">
        <v>1</v>
      </c>
      <c r="P1592" s="29">
        <v>5.2249999999999996</v>
      </c>
      <c r="Q1592" s="29" t="s">
        <v>1033</v>
      </c>
    </row>
    <row r="1593" spans="1:17" x14ac:dyDescent="0.3">
      <c r="A1593" s="29" t="s">
        <v>822</v>
      </c>
      <c r="B1593" s="29">
        <v>1</v>
      </c>
      <c r="C1593" s="29" t="s">
        <v>1050</v>
      </c>
      <c r="D1593" s="29" t="s">
        <v>1051</v>
      </c>
      <c r="E1593" s="29">
        <v>150</v>
      </c>
      <c r="G1593" s="29" t="s">
        <v>1035</v>
      </c>
      <c r="H1593" s="29">
        <v>1</v>
      </c>
      <c r="I1593" s="29">
        <v>2.95</v>
      </c>
      <c r="J1593" s="29">
        <v>0.4425</v>
      </c>
      <c r="K1593" s="29">
        <v>0.4425</v>
      </c>
      <c r="L1593" s="29" t="s">
        <v>1032</v>
      </c>
      <c r="M1593" s="29">
        <v>1</v>
      </c>
      <c r="N1593" s="29">
        <v>0.15</v>
      </c>
      <c r="O1593" s="29">
        <v>1</v>
      </c>
      <c r="P1593" s="29">
        <v>0.4425</v>
      </c>
      <c r="Q1593" s="29" t="s">
        <v>1033</v>
      </c>
    </row>
    <row r="1594" spans="1:17" x14ac:dyDescent="0.3">
      <c r="B1594" s="29">
        <v>2</v>
      </c>
      <c r="C1594" s="29" t="s">
        <v>1089</v>
      </c>
      <c r="D1594" s="29" t="s">
        <v>1099</v>
      </c>
      <c r="E1594" s="29">
        <v>250</v>
      </c>
      <c r="G1594" s="29" t="s">
        <v>1035</v>
      </c>
      <c r="H1594" s="29">
        <v>1</v>
      </c>
      <c r="I1594" s="29">
        <v>20.9</v>
      </c>
      <c r="J1594" s="29">
        <v>5.2249999999999996</v>
      </c>
      <c r="K1594" s="29">
        <v>5.2249999999999996</v>
      </c>
      <c r="L1594" s="29" t="s">
        <v>1032</v>
      </c>
      <c r="M1594" s="29">
        <v>1</v>
      </c>
      <c r="N1594" s="29">
        <v>0.25</v>
      </c>
      <c r="O1594" s="29">
        <v>1</v>
      </c>
      <c r="P1594" s="29">
        <v>5.2249999999999996</v>
      </c>
      <c r="Q1594" s="29" t="s">
        <v>1033</v>
      </c>
    </row>
    <row r="1595" spans="1:17" x14ac:dyDescent="0.3">
      <c r="A1595" s="29" t="s">
        <v>822</v>
      </c>
      <c r="B1595" s="29">
        <v>1</v>
      </c>
      <c r="C1595" s="29" t="s">
        <v>1050</v>
      </c>
      <c r="D1595" s="29" t="s">
        <v>1051</v>
      </c>
      <c r="E1595" s="29">
        <v>150</v>
      </c>
      <c r="G1595" s="29" t="s">
        <v>1035</v>
      </c>
      <c r="H1595" s="29">
        <v>1</v>
      </c>
      <c r="I1595" s="29">
        <v>2.95</v>
      </c>
      <c r="J1595" s="29">
        <v>0.4425</v>
      </c>
      <c r="K1595" s="29">
        <v>0.4425</v>
      </c>
      <c r="L1595" s="29" t="s">
        <v>1032</v>
      </c>
      <c r="M1595" s="29">
        <v>1</v>
      </c>
      <c r="N1595" s="29">
        <v>0.15</v>
      </c>
      <c r="O1595" s="29">
        <v>1</v>
      </c>
      <c r="P1595" s="29">
        <v>0.4425</v>
      </c>
      <c r="Q1595" s="29" t="s">
        <v>1033</v>
      </c>
    </row>
    <row r="1596" spans="1:17" x14ac:dyDescent="0.3">
      <c r="B1596" s="29">
        <v>2</v>
      </c>
      <c r="C1596" s="29" t="s">
        <v>1089</v>
      </c>
      <c r="D1596" s="29" t="s">
        <v>1099</v>
      </c>
      <c r="E1596" s="29">
        <v>250</v>
      </c>
      <c r="G1596" s="29" t="s">
        <v>1035</v>
      </c>
      <c r="H1596" s="29">
        <v>1</v>
      </c>
      <c r="I1596" s="29">
        <v>20.9</v>
      </c>
      <c r="J1596" s="29">
        <v>5.2249999999999996</v>
      </c>
      <c r="K1596" s="29">
        <v>5.2249999999999996</v>
      </c>
      <c r="L1596" s="29" t="s">
        <v>1032</v>
      </c>
      <c r="M1596" s="29">
        <v>1</v>
      </c>
      <c r="N1596" s="29">
        <v>0.25</v>
      </c>
      <c r="O1596" s="29">
        <v>1</v>
      </c>
      <c r="P1596" s="29">
        <v>5.2249999999999996</v>
      </c>
      <c r="Q1596" s="29" t="s">
        <v>1033</v>
      </c>
    </row>
    <row r="1597" spans="1:17" x14ac:dyDescent="0.3">
      <c r="A1597" s="29" t="s">
        <v>822</v>
      </c>
      <c r="B1597" s="29">
        <v>1</v>
      </c>
      <c r="C1597" s="29" t="s">
        <v>1050</v>
      </c>
      <c r="D1597" s="29" t="s">
        <v>1051</v>
      </c>
      <c r="E1597" s="29">
        <v>150</v>
      </c>
      <c r="G1597" s="29" t="s">
        <v>1035</v>
      </c>
      <c r="H1597" s="29">
        <v>1</v>
      </c>
      <c r="I1597" s="29">
        <v>2.95</v>
      </c>
      <c r="J1597" s="29">
        <v>0.4425</v>
      </c>
      <c r="K1597" s="29">
        <v>0.4425</v>
      </c>
      <c r="L1597" s="29" t="s">
        <v>1032</v>
      </c>
      <c r="M1597" s="29">
        <v>1</v>
      </c>
      <c r="N1597" s="29">
        <v>0.15</v>
      </c>
      <c r="O1597" s="29">
        <v>1</v>
      </c>
      <c r="P1597" s="29">
        <v>0.4425</v>
      </c>
      <c r="Q1597" s="29" t="s">
        <v>1033</v>
      </c>
    </row>
    <row r="1598" spans="1:17" x14ac:dyDescent="0.3">
      <c r="B1598" s="29">
        <v>2</v>
      </c>
      <c r="C1598" s="29" t="s">
        <v>1089</v>
      </c>
      <c r="D1598" s="29" t="s">
        <v>1099</v>
      </c>
      <c r="E1598" s="29">
        <v>250</v>
      </c>
      <c r="G1598" s="29" t="s">
        <v>1035</v>
      </c>
      <c r="H1598" s="29">
        <v>1</v>
      </c>
      <c r="I1598" s="29">
        <v>20.9</v>
      </c>
      <c r="J1598" s="29">
        <v>5.2249999999999996</v>
      </c>
      <c r="K1598" s="29">
        <v>5.2249999999999996</v>
      </c>
      <c r="L1598" s="29" t="s">
        <v>1032</v>
      </c>
      <c r="M1598" s="29">
        <v>1</v>
      </c>
      <c r="N1598" s="29">
        <v>0.25</v>
      </c>
      <c r="O1598" s="29">
        <v>1</v>
      </c>
      <c r="P1598" s="29">
        <v>5.2249999999999996</v>
      </c>
      <c r="Q1598" s="29" t="s">
        <v>1033</v>
      </c>
    </row>
    <row r="1599" spans="1:17" x14ac:dyDescent="0.3">
      <c r="A1599" s="29" t="s">
        <v>822</v>
      </c>
      <c r="B1599" s="29">
        <v>1</v>
      </c>
      <c r="C1599" s="29" t="s">
        <v>1050</v>
      </c>
      <c r="D1599" s="29" t="s">
        <v>1051</v>
      </c>
      <c r="E1599" s="29">
        <v>150</v>
      </c>
      <c r="G1599" s="29" t="s">
        <v>1035</v>
      </c>
      <c r="H1599" s="29">
        <v>1</v>
      </c>
      <c r="I1599" s="29">
        <v>2.95</v>
      </c>
      <c r="J1599" s="29">
        <v>0.4425</v>
      </c>
      <c r="K1599" s="29">
        <v>0.4425</v>
      </c>
      <c r="L1599" s="29" t="s">
        <v>1032</v>
      </c>
      <c r="M1599" s="29">
        <v>1</v>
      </c>
      <c r="N1599" s="29">
        <v>0.15</v>
      </c>
      <c r="O1599" s="29">
        <v>1</v>
      </c>
      <c r="P1599" s="29">
        <v>0.4425</v>
      </c>
      <c r="Q1599" s="29" t="s">
        <v>1033</v>
      </c>
    </row>
    <row r="1600" spans="1:17" x14ac:dyDescent="0.3">
      <c r="B1600" s="29">
        <v>2</v>
      </c>
      <c r="C1600" s="29" t="s">
        <v>1089</v>
      </c>
      <c r="D1600" s="29" t="s">
        <v>1099</v>
      </c>
      <c r="E1600" s="29">
        <v>250</v>
      </c>
      <c r="G1600" s="29" t="s">
        <v>1035</v>
      </c>
      <c r="H1600" s="29">
        <v>1</v>
      </c>
      <c r="I1600" s="29">
        <v>20.9</v>
      </c>
      <c r="J1600" s="29">
        <v>5.2249999999999996</v>
      </c>
      <c r="K1600" s="29">
        <v>5.2249999999999996</v>
      </c>
      <c r="L1600" s="29" t="s">
        <v>1032</v>
      </c>
      <c r="M1600" s="29">
        <v>1</v>
      </c>
      <c r="N1600" s="29">
        <v>0.25</v>
      </c>
      <c r="O1600" s="29">
        <v>1</v>
      </c>
      <c r="P1600" s="29">
        <v>5.2249999999999996</v>
      </c>
      <c r="Q1600" s="29" t="s">
        <v>1033</v>
      </c>
    </row>
    <row r="1601" spans="1:17" x14ac:dyDescent="0.3">
      <c r="A1601" s="29" t="s">
        <v>822</v>
      </c>
      <c r="B1601" s="29">
        <v>1</v>
      </c>
      <c r="C1601" s="29" t="s">
        <v>1050</v>
      </c>
      <c r="D1601" s="29" t="s">
        <v>1051</v>
      </c>
      <c r="E1601" s="29">
        <v>150</v>
      </c>
      <c r="G1601" s="29" t="s">
        <v>1035</v>
      </c>
      <c r="H1601" s="29">
        <v>1</v>
      </c>
      <c r="I1601" s="29">
        <v>2.95</v>
      </c>
      <c r="J1601" s="29">
        <v>0.4425</v>
      </c>
      <c r="K1601" s="29">
        <v>0.4425</v>
      </c>
      <c r="L1601" s="29" t="s">
        <v>1032</v>
      </c>
      <c r="M1601" s="29">
        <v>1</v>
      </c>
      <c r="N1601" s="29">
        <v>0.15</v>
      </c>
      <c r="O1601" s="29">
        <v>1</v>
      </c>
      <c r="P1601" s="29">
        <v>0.4425</v>
      </c>
      <c r="Q1601" s="29" t="s">
        <v>1033</v>
      </c>
    </row>
    <row r="1602" spans="1:17" x14ac:dyDescent="0.3">
      <c r="B1602" s="29">
        <v>2</v>
      </c>
      <c r="C1602" s="29" t="s">
        <v>1089</v>
      </c>
      <c r="D1602" s="29" t="s">
        <v>1099</v>
      </c>
      <c r="E1602" s="29">
        <v>250</v>
      </c>
      <c r="G1602" s="29" t="s">
        <v>1035</v>
      </c>
      <c r="H1602" s="29">
        <v>1</v>
      </c>
      <c r="I1602" s="29">
        <v>20.9</v>
      </c>
      <c r="J1602" s="29">
        <v>5.2249999999999996</v>
      </c>
      <c r="K1602" s="29">
        <v>5.2249999999999996</v>
      </c>
      <c r="L1602" s="29" t="s">
        <v>1032</v>
      </c>
      <c r="M1602" s="29">
        <v>1</v>
      </c>
      <c r="N1602" s="29">
        <v>0.25</v>
      </c>
      <c r="O1602" s="29">
        <v>1</v>
      </c>
      <c r="P1602" s="29">
        <v>5.2249999999999996</v>
      </c>
      <c r="Q1602" s="29" t="s">
        <v>1033</v>
      </c>
    </row>
    <row r="1603" spans="1:17" x14ac:dyDescent="0.3">
      <c r="A1603" s="29" t="s">
        <v>822</v>
      </c>
      <c r="B1603" s="29">
        <v>1</v>
      </c>
      <c r="C1603" s="29" t="s">
        <v>1050</v>
      </c>
      <c r="D1603" s="29" t="s">
        <v>1051</v>
      </c>
      <c r="E1603" s="29">
        <v>150</v>
      </c>
      <c r="G1603" s="29" t="s">
        <v>1035</v>
      </c>
      <c r="H1603" s="29">
        <v>1</v>
      </c>
      <c r="I1603" s="29">
        <v>2.95</v>
      </c>
      <c r="J1603" s="29">
        <v>0.4425</v>
      </c>
      <c r="K1603" s="29">
        <v>0.4425</v>
      </c>
      <c r="L1603" s="29" t="s">
        <v>1032</v>
      </c>
      <c r="M1603" s="29">
        <v>1</v>
      </c>
      <c r="N1603" s="29">
        <v>0.15</v>
      </c>
      <c r="O1603" s="29">
        <v>1</v>
      </c>
      <c r="P1603" s="29">
        <v>0.4425</v>
      </c>
      <c r="Q1603" s="29" t="s">
        <v>1033</v>
      </c>
    </row>
    <row r="1604" spans="1:17" x14ac:dyDescent="0.3">
      <c r="B1604" s="29">
        <v>2</v>
      </c>
      <c r="C1604" s="29" t="s">
        <v>1089</v>
      </c>
      <c r="D1604" s="29" t="s">
        <v>1099</v>
      </c>
      <c r="E1604" s="29">
        <v>250</v>
      </c>
      <c r="G1604" s="29" t="s">
        <v>1035</v>
      </c>
      <c r="H1604" s="29">
        <v>1</v>
      </c>
      <c r="I1604" s="29">
        <v>20.9</v>
      </c>
      <c r="J1604" s="29">
        <v>5.2249999999999996</v>
      </c>
      <c r="K1604" s="29">
        <v>5.2249999999999996</v>
      </c>
      <c r="L1604" s="29" t="s">
        <v>1032</v>
      </c>
      <c r="M1604" s="29">
        <v>1</v>
      </c>
      <c r="N1604" s="29">
        <v>0.25</v>
      </c>
      <c r="O1604" s="29">
        <v>1</v>
      </c>
      <c r="P1604" s="29">
        <v>5.2249999999999996</v>
      </c>
      <c r="Q1604" s="29" t="s">
        <v>1033</v>
      </c>
    </row>
    <row r="1605" spans="1:17" x14ac:dyDescent="0.3">
      <c r="A1605" s="29" t="s">
        <v>822</v>
      </c>
      <c r="B1605" s="29">
        <v>1</v>
      </c>
      <c r="C1605" s="29" t="s">
        <v>1050</v>
      </c>
      <c r="D1605" s="29" t="s">
        <v>1051</v>
      </c>
      <c r="E1605" s="29">
        <v>150</v>
      </c>
      <c r="G1605" s="29" t="s">
        <v>1035</v>
      </c>
      <c r="H1605" s="29">
        <v>1</v>
      </c>
      <c r="I1605" s="29">
        <v>2.95</v>
      </c>
      <c r="J1605" s="29">
        <v>0.4425</v>
      </c>
      <c r="K1605" s="29">
        <v>0.4425</v>
      </c>
      <c r="L1605" s="29" t="s">
        <v>1032</v>
      </c>
      <c r="M1605" s="29">
        <v>1</v>
      </c>
      <c r="N1605" s="29">
        <v>0.15</v>
      </c>
      <c r="O1605" s="29">
        <v>1</v>
      </c>
      <c r="P1605" s="29">
        <v>0.4425</v>
      </c>
      <c r="Q1605" s="29" t="s">
        <v>1033</v>
      </c>
    </row>
    <row r="1606" spans="1:17" x14ac:dyDescent="0.3">
      <c r="B1606" s="29">
        <v>2</v>
      </c>
      <c r="C1606" s="29" t="s">
        <v>1089</v>
      </c>
      <c r="D1606" s="29" t="s">
        <v>1099</v>
      </c>
      <c r="E1606" s="29">
        <v>250</v>
      </c>
      <c r="G1606" s="29" t="s">
        <v>1035</v>
      </c>
      <c r="H1606" s="29">
        <v>1</v>
      </c>
      <c r="I1606" s="29">
        <v>20.9</v>
      </c>
      <c r="J1606" s="29">
        <v>5.2249999999999996</v>
      </c>
      <c r="K1606" s="29">
        <v>5.2249999999999996</v>
      </c>
      <c r="L1606" s="29" t="s">
        <v>1032</v>
      </c>
      <c r="M1606" s="29">
        <v>1</v>
      </c>
      <c r="N1606" s="29">
        <v>0.25</v>
      </c>
      <c r="O1606" s="29">
        <v>1</v>
      </c>
      <c r="P1606" s="29">
        <v>5.2249999999999996</v>
      </c>
      <c r="Q1606" s="29" t="s">
        <v>1033</v>
      </c>
    </row>
    <row r="1607" spans="1:17" x14ac:dyDescent="0.3">
      <c r="A1607" s="29" t="s">
        <v>823</v>
      </c>
      <c r="B1607" s="29">
        <v>1</v>
      </c>
      <c r="C1607" s="29" t="s">
        <v>1050</v>
      </c>
      <c r="D1607" s="29" t="s">
        <v>1051</v>
      </c>
      <c r="E1607" s="29">
        <v>150</v>
      </c>
      <c r="G1607" s="29" t="s">
        <v>1035</v>
      </c>
      <c r="H1607" s="29">
        <v>1</v>
      </c>
      <c r="I1607" s="29">
        <v>2.95</v>
      </c>
      <c r="J1607" s="29">
        <v>0.4425</v>
      </c>
      <c r="K1607" s="29">
        <v>0.4425</v>
      </c>
      <c r="L1607" s="29" t="s">
        <v>1032</v>
      </c>
      <c r="M1607" s="29">
        <v>1</v>
      </c>
      <c r="N1607" s="29">
        <v>0.15</v>
      </c>
      <c r="O1607" s="29">
        <v>1</v>
      </c>
      <c r="P1607" s="29">
        <v>0.4425</v>
      </c>
      <c r="Q1607" s="29" t="s">
        <v>1033</v>
      </c>
    </row>
    <row r="1608" spans="1:17" x14ac:dyDescent="0.3">
      <c r="B1608" s="29">
        <v>2</v>
      </c>
      <c r="C1608" s="29" t="s">
        <v>1089</v>
      </c>
      <c r="D1608" s="29" t="s">
        <v>1099</v>
      </c>
      <c r="E1608" s="29">
        <v>250</v>
      </c>
      <c r="G1608" s="29" t="s">
        <v>1035</v>
      </c>
      <c r="H1608" s="29">
        <v>1</v>
      </c>
      <c r="I1608" s="29">
        <v>20.9</v>
      </c>
      <c r="J1608" s="29">
        <v>5.2249999999999996</v>
      </c>
      <c r="K1608" s="29">
        <v>5.2249999999999996</v>
      </c>
      <c r="L1608" s="29" t="s">
        <v>1032</v>
      </c>
      <c r="M1608" s="29">
        <v>1</v>
      </c>
      <c r="N1608" s="29">
        <v>0.25</v>
      </c>
      <c r="O1608" s="29">
        <v>1</v>
      </c>
      <c r="P1608" s="29">
        <v>5.2249999999999996</v>
      </c>
      <c r="Q1608" s="29" t="s">
        <v>1033</v>
      </c>
    </row>
    <row r="1609" spans="1:17" x14ac:dyDescent="0.3">
      <c r="A1609" s="29" t="s">
        <v>823</v>
      </c>
      <c r="B1609" s="29">
        <v>1</v>
      </c>
      <c r="C1609" s="29" t="s">
        <v>1050</v>
      </c>
      <c r="D1609" s="29" t="s">
        <v>1051</v>
      </c>
      <c r="E1609" s="29">
        <v>150</v>
      </c>
      <c r="G1609" s="29" t="s">
        <v>1035</v>
      </c>
      <c r="H1609" s="29">
        <v>1</v>
      </c>
      <c r="I1609" s="29">
        <v>2.95</v>
      </c>
      <c r="J1609" s="29">
        <v>0.4425</v>
      </c>
      <c r="K1609" s="29">
        <v>0.4425</v>
      </c>
      <c r="L1609" s="29" t="s">
        <v>1032</v>
      </c>
      <c r="M1609" s="29">
        <v>1</v>
      </c>
      <c r="N1609" s="29">
        <v>0.15</v>
      </c>
      <c r="O1609" s="29">
        <v>1</v>
      </c>
      <c r="P1609" s="29">
        <v>0.4425</v>
      </c>
      <c r="Q1609" s="29" t="s">
        <v>1033</v>
      </c>
    </row>
    <row r="1610" spans="1:17" x14ac:dyDescent="0.3">
      <c r="B1610" s="29">
        <v>2</v>
      </c>
      <c r="C1610" s="29" t="s">
        <v>1089</v>
      </c>
      <c r="D1610" s="29" t="s">
        <v>1099</v>
      </c>
      <c r="E1610" s="29">
        <v>250</v>
      </c>
      <c r="G1610" s="29" t="s">
        <v>1035</v>
      </c>
      <c r="H1610" s="29">
        <v>1</v>
      </c>
      <c r="I1610" s="29">
        <v>20.9</v>
      </c>
      <c r="J1610" s="29">
        <v>5.2249999999999996</v>
      </c>
      <c r="K1610" s="29">
        <v>5.2249999999999996</v>
      </c>
      <c r="L1610" s="29" t="s">
        <v>1032</v>
      </c>
      <c r="M1610" s="29">
        <v>1</v>
      </c>
      <c r="N1610" s="29">
        <v>0.25</v>
      </c>
      <c r="O1610" s="29">
        <v>1</v>
      </c>
      <c r="P1610" s="29">
        <v>5.2249999999999996</v>
      </c>
      <c r="Q1610" s="29" t="s">
        <v>1033</v>
      </c>
    </row>
    <row r="1611" spans="1:17" x14ac:dyDescent="0.3">
      <c r="A1611" s="29" t="s">
        <v>823</v>
      </c>
      <c r="B1611" s="29">
        <v>1</v>
      </c>
      <c r="C1611" s="29" t="s">
        <v>1050</v>
      </c>
      <c r="D1611" s="29" t="s">
        <v>1051</v>
      </c>
      <c r="E1611" s="29">
        <v>150</v>
      </c>
      <c r="G1611" s="29" t="s">
        <v>1035</v>
      </c>
      <c r="H1611" s="29">
        <v>1</v>
      </c>
      <c r="I1611" s="29">
        <v>2.95</v>
      </c>
      <c r="J1611" s="29">
        <v>0.4425</v>
      </c>
      <c r="K1611" s="29">
        <v>0.4425</v>
      </c>
      <c r="L1611" s="29" t="s">
        <v>1032</v>
      </c>
      <c r="M1611" s="29">
        <v>1</v>
      </c>
      <c r="N1611" s="29">
        <v>0.15</v>
      </c>
      <c r="O1611" s="29">
        <v>1</v>
      </c>
      <c r="P1611" s="29">
        <v>0.4425</v>
      </c>
      <c r="Q1611" s="29" t="s">
        <v>1033</v>
      </c>
    </row>
    <row r="1612" spans="1:17" x14ac:dyDescent="0.3">
      <c r="B1612" s="29">
        <v>2</v>
      </c>
      <c r="C1612" s="29" t="s">
        <v>1089</v>
      </c>
      <c r="D1612" s="29" t="s">
        <v>1099</v>
      </c>
      <c r="E1612" s="29">
        <v>250</v>
      </c>
      <c r="G1612" s="29" t="s">
        <v>1035</v>
      </c>
      <c r="H1612" s="29">
        <v>1</v>
      </c>
      <c r="I1612" s="29">
        <v>20.9</v>
      </c>
      <c r="J1612" s="29">
        <v>5.2249999999999996</v>
      </c>
      <c r="K1612" s="29">
        <v>5.2249999999999996</v>
      </c>
      <c r="L1612" s="29" t="s">
        <v>1032</v>
      </c>
      <c r="M1612" s="29">
        <v>1</v>
      </c>
      <c r="N1612" s="29">
        <v>0.25</v>
      </c>
      <c r="O1612" s="29">
        <v>1</v>
      </c>
      <c r="P1612" s="29">
        <v>5.2249999999999996</v>
      </c>
      <c r="Q1612" s="29" t="s">
        <v>1033</v>
      </c>
    </row>
    <row r="1613" spans="1:17" x14ac:dyDescent="0.3">
      <c r="A1613" s="29" t="s">
        <v>824</v>
      </c>
      <c r="B1613" s="29">
        <v>1</v>
      </c>
      <c r="C1613" s="29" t="s">
        <v>1050</v>
      </c>
      <c r="D1613" s="29" t="s">
        <v>1051</v>
      </c>
      <c r="E1613" s="29">
        <v>150</v>
      </c>
      <c r="G1613" s="29" t="s">
        <v>1102</v>
      </c>
      <c r="H1613" s="29">
        <v>1</v>
      </c>
      <c r="I1613" s="29">
        <v>2.95</v>
      </c>
      <c r="J1613" s="29">
        <v>0.4425</v>
      </c>
      <c r="K1613" s="29">
        <v>0.4425</v>
      </c>
      <c r="L1613" s="29" t="s">
        <v>1032</v>
      </c>
      <c r="M1613" s="29">
        <v>1</v>
      </c>
      <c r="N1613" s="29">
        <v>0.15</v>
      </c>
      <c r="O1613" s="29">
        <v>1</v>
      </c>
      <c r="P1613" s="29">
        <v>0.4425</v>
      </c>
      <c r="Q1613" s="29" t="s">
        <v>1033</v>
      </c>
    </row>
    <row r="1614" spans="1:17" x14ac:dyDescent="0.3">
      <c r="B1614" s="29">
        <v>2</v>
      </c>
      <c r="C1614" s="29" t="s">
        <v>1089</v>
      </c>
      <c r="D1614" s="29" t="s">
        <v>1099</v>
      </c>
      <c r="E1614" s="29">
        <v>250</v>
      </c>
      <c r="G1614" s="29" t="s">
        <v>1102</v>
      </c>
      <c r="H1614" s="29">
        <v>1</v>
      </c>
      <c r="I1614" s="29">
        <v>20.9</v>
      </c>
      <c r="J1614" s="29">
        <v>5.2249999999999996</v>
      </c>
      <c r="K1614" s="29">
        <v>5.2249999999999996</v>
      </c>
      <c r="L1614" s="29" t="s">
        <v>1032</v>
      </c>
      <c r="M1614" s="29">
        <v>1</v>
      </c>
      <c r="N1614" s="29">
        <v>0.25</v>
      </c>
      <c r="O1614" s="29">
        <v>1</v>
      </c>
      <c r="P1614" s="29">
        <v>5.2249999999999996</v>
      </c>
      <c r="Q1614" s="29" t="s">
        <v>1033</v>
      </c>
    </row>
    <row r="1615" spans="1:17" x14ac:dyDescent="0.3">
      <c r="A1615" s="29" t="s">
        <v>825</v>
      </c>
      <c r="B1615" s="29">
        <v>1</v>
      </c>
      <c r="C1615" s="29" t="s">
        <v>1050</v>
      </c>
      <c r="D1615" s="29" t="s">
        <v>1051</v>
      </c>
      <c r="E1615" s="29">
        <v>150</v>
      </c>
      <c r="G1615" s="29" t="s">
        <v>1031</v>
      </c>
      <c r="H1615" s="29">
        <v>1</v>
      </c>
      <c r="I1615" s="29">
        <v>2.95</v>
      </c>
      <c r="J1615" s="29">
        <v>0.4425</v>
      </c>
      <c r="K1615" s="29">
        <v>0.4425</v>
      </c>
      <c r="L1615" s="29" t="s">
        <v>1032</v>
      </c>
      <c r="M1615" s="29">
        <v>1</v>
      </c>
      <c r="N1615" s="29">
        <v>0.15</v>
      </c>
      <c r="O1615" s="29">
        <v>1</v>
      </c>
      <c r="P1615" s="29">
        <v>0.4425</v>
      </c>
      <c r="Q1615" s="29" t="s">
        <v>1033</v>
      </c>
    </row>
    <row r="1616" spans="1:17" x14ac:dyDescent="0.3">
      <c r="B1616" s="29">
        <v>2</v>
      </c>
      <c r="C1616" s="29" t="s">
        <v>1089</v>
      </c>
      <c r="D1616" s="29" t="s">
        <v>1099</v>
      </c>
      <c r="E1616" s="29">
        <v>250</v>
      </c>
      <c r="G1616" s="29" t="s">
        <v>1031</v>
      </c>
      <c r="H1616" s="29">
        <v>1</v>
      </c>
      <c r="I1616" s="29">
        <v>20.9</v>
      </c>
      <c r="J1616" s="29">
        <v>5.2249999999999996</v>
      </c>
      <c r="K1616" s="29">
        <v>5.2249999999999996</v>
      </c>
      <c r="L1616" s="29" t="s">
        <v>1032</v>
      </c>
      <c r="M1616" s="29">
        <v>1</v>
      </c>
      <c r="N1616" s="29">
        <v>0.25</v>
      </c>
      <c r="O1616" s="29">
        <v>1</v>
      </c>
      <c r="P1616" s="29">
        <v>5.2249999999999996</v>
      </c>
      <c r="Q1616" s="29" t="s">
        <v>1033</v>
      </c>
    </row>
    <row r="1617" spans="1:17" x14ac:dyDescent="0.3">
      <c r="A1617" s="29" t="s">
        <v>826</v>
      </c>
      <c r="B1617" s="29">
        <v>1</v>
      </c>
      <c r="C1617" s="29" t="s">
        <v>1050</v>
      </c>
      <c r="D1617" s="29" t="s">
        <v>1051</v>
      </c>
      <c r="E1617" s="29">
        <v>150</v>
      </c>
      <c r="G1617" s="29" t="s">
        <v>1035</v>
      </c>
      <c r="H1617" s="29">
        <v>1</v>
      </c>
      <c r="I1617" s="29">
        <v>2.95</v>
      </c>
      <c r="J1617" s="29">
        <v>0.4425</v>
      </c>
      <c r="K1617" s="29">
        <v>0.4425</v>
      </c>
      <c r="L1617" s="29" t="s">
        <v>1032</v>
      </c>
      <c r="M1617" s="29">
        <v>1</v>
      </c>
      <c r="N1617" s="29">
        <v>0.15</v>
      </c>
      <c r="O1617" s="29">
        <v>1</v>
      </c>
      <c r="P1617" s="29">
        <v>0.4425</v>
      </c>
      <c r="Q1617" s="29" t="s">
        <v>1033</v>
      </c>
    </row>
    <row r="1618" spans="1:17" x14ac:dyDescent="0.3">
      <c r="B1618" s="29">
        <v>2</v>
      </c>
      <c r="C1618" s="29" t="s">
        <v>1089</v>
      </c>
      <c r="D1618" s="29" t="s">
        <v>1099</v>
      </c>
      <c r="E1618" s="29">
        <v>250</v>
      </c>
      <c r="G1618" s="29" t="s">
        <v>1035</v>
      </c>
      <c r="H1618" s="29">
        <v>1</v>
      </c>
      <c r="I1618" s="29">
        <v>20.9</v>
      </c>
      <c r="J1618" s="29">
        <v>5.2249999999999996</v>
      </c>
      <c r="K1618" s="29">
        <v>5.2249999999999996</v>
      </c>
      <c r="L1618" s="29" t="s">
        <v>1032</v>
      </c>
      <c r="M1618" s="29">
        <v>1</v>
      </c>
      <c r="N1618" s="29">
        <v>0.25</v>
      </c>
      <c r="O1618" s="29">
        <v>1</v>
      </c>
      <c r="P1618" s="29">
        <v>5.2249999999999996</v>
      </c>
      <c r="Q1618" s="29" t="s">
        <v>1033</v>
      </c>
    </row>
    <row r="1619" spans="1:17" x14ac:dyDescent="0.3">
      <c r="A1619" s="29" t="s">
        <v>826</v>
      </c>
      <c r="B1619" s="29">
        <v>1</v>
      </c>
      <c r="C1619" s="29" t="s">
        <v>1050</v>
      </c>
      <c r="D1619" s="29" t="s">
        <v>1051</v>
      </c>
      <c r="E1619" s="29">
        <v>150</v>
      </c>
      <c r="G1619" s="29" t="s">
        <v>1035</v>
      </c>
      <c r="H1619" s="29">
        <v>1</v>
      </c>
      <c r="I1619" s="29">
        <v>2.95</v>
      </c>
      <c r="J1619" s="29">
        <v>0.4425</v>
      </c>
      <c r="K1619" s="29">
        <v>0.4425</v>
      </c>
      <c r="L1619" s="29" t="s">
        <v>1032</v>
      </c>
      <c r="M1619" s="29">
        <v>1</v>
      </c>
      <c r="N1619" s="29">
        <v>0.15</v>
      </c>
      <c r="O1619" s="29">
        <v>1</v>
      </c>
      <c r="P1619" s="29">
        <v>0.4425</v>
      </c>
      <c r="Q1619" s="29" t="s">
        <v>1033</v>
      </c>
    </row>
    <row r="1620" spans="1:17" x14ac:dyDescent="0.3">
      <c r="B1620" s="29">
        <v>2</v>
      </c>
      <c r="C1620" s="29" t="s">
        <v>1089</v>
      </c>
      <c r="D1620" s="29" t="s">
        <v>1099</v>
      </c>
      <c r="E1620" s="29">
        <v>250</v>
      </c>
      <c r="G1620" s="29" t="s">
        <v>1035</v>
      </c>
      <c r="H1620" s="29">
        <v>1</v>
      </c>
      <c r="I1620" s="29">
        <v>20.9</v>
      </c>
      <c r="J1620" s="29">
        <v>5.2249999999999996</v>
      </c>
      <c r="K1620" s="29">
        <v>5.2249999999999996</v>
      </c>
      <c r="L1620" s="29" t="s">
        <v>1032</v>
      </c>
      <c r="M1620" s="29">
        <v>1</v>
      </c>
      <c r="N1620" s="29">
        <v>0.25</v>
      </c>
      <c r="O1620" s="29">
        <v>1</v>
      </c>
      <c r="P1620" s="29">
        <v>5.2249999999999996</v>
      </c>
      <c r="Q1620" s="29" t="s">
        <v>1033</v>
      </c>
    </row>
    <row r="1621" spans="1:17" x14ac:dyDescent="0.3">
      <c r="A1621" s="29" t="s">
        <v>826</v>
      </c>
      <c r="B1621" s="29">
        <v>1</v>
      </c>
      <c r="C1621" s="29" t="s">
        <v>1050</v>
      </c>
      <c r="D1621" s="29" t="s">
        <v>1051</v>
      </c>
      <c r="E1621" s="29">
        <v>150</v>
      </c>
      <c r="G1621" s="29" t="s">
        <v>1035</v>
      </c>
      <c r="H1621" s="29">
        <v>1</v>
      </c>
      <c r="I1621" s="29">
        <v>2.95</v>
      </c>
      <c r="J1621" s="29">
        <v>0.4425</v>
      </c>
      <c r="K1621" s="29">
        <v>0.4425</v>
      </c>
      <c r="L1621" s="29" t="s">
        <v>1032</v>
      </c>
      <c r="M1621" s="29">
        <v>1</v>
      </c>
      <c r="N1621" s="29">
        <v>0.15</v>
      </c>
      <c r="O1621" s="29">
        <v>1</v>
      </c>
      <c r="P1621" s="29">
        <v>0.4425</v>
      </c>
      <c r="Q1621" s="29" t="s">
        <v>1033</v>
      </c>
    </row>
    <row r="1622" spans="1:17" x14ac:dyDescent="0.3">
      <c r="B1622" s="29">
        <v>2</v>
      </c>
      <c r="C1622" s="29" t="s">
        <v>1089</v>
      </c>
      <c r="D1622" s="29" t="s">
        <v>1099</v>
      </c>
      <c r="E1622" s="29">
        <v>250</v>
      </c>
      <c r="G1622" s="29" t="s">
        <v>1035</v>
      </c>
      <c r="H1622" s="29">
        <v>1</v>
      </c>
      <c r="I1622" s="29">
        <v>20.9</v>
      </c>
      <c r="J1622" s="29">
        <v>5.2249999999999996</v>
      </c>
      <c r="K1622" s="29">
        <v>5.2249999999999996</v>
      </c>
      <c r="L1622" s="29" t="s">
        <v>1032</v>
      </c>
      <c r="M1622" s="29">
        <v>1</v>
      </c>
      <c r="N1622" s="29">
        <v>0.25</v>
      </c>
      <c r="O1622" s="29">
        <v>1</v>
      </c>
      <c r="P1622" s="29">
        <v>5.2249999999999996</v>
      </c>
      <c r="Q1622" s="29" t="s">
        <v>1033</v>
      </c>
    </row>
    <row r="1623" spans="1:17" x14ac:dyDescent="0.3">
      <c r="A1623" s="29" t="s">
        <v>826</v>
      </c>
      <c r="B1623" s="29">
        <v>1</v>
      </c>
      <c r="C1623" s="29" t="s">
        <v>1050</v>
      </c>
      <c r="D1623" s="29" t="s">
        <v>1051</v>
      </c>
      <c r="E1623" s="29">
        <v>150</v>
      </c>
      <c r="G1623" s="29" t="s">
        <v>1035</v>
      </c>
      <c r="H1623" s="29">
        <v>1</v>
      </c>
      <c r="I1623" s="29">
        <v>2.95</v>
      </c>
      <c r="J1623" s="29">
        <v>0.4425</v>
      </c>
      <c r="K1623" s="29">
        <v>0.4425</v>
      </c>
      <c r="L1623" s="29" t="s">
        <v>1032</v>
      </c>
      <c r="M1623" s="29">
        <v>1</v>
      </c>
      <c r="N1623" s="29">
        <v>0.15</v>
      </c>
      <c r="O1623" s="29">
        <v>1</v>
      </c>
      <c r="P1623" s="29">
        <v>0.4425</v>
      </c>
      <c r="Q1623" s="29" t="s">
        <v>1033</v>
      </c>
    </row>
    <row r="1624" spans="1:17" x14ac:dyDescent="0.3">
      <c r="B1624" s="29">
        <v>2</v>
      </c>
      <c r="C1624" s="29" t="s">
        <v>1089</v>
      </c>
      <c r="D1624" s="29" t="s">
        <v>1099</v>
      </c>
      <c r="E1624" s="29">
        <v>250</v>
      </c>
      <c r="G1624" s="29" t="s">
        <v>1035</v>
      </c>
      <c r="H1624" s="29">
        <v>1</v>
      </c>
      <c r="I1624" s="29">
        <v>20.9</v>
      </c>
      <c r="J1624" s="29">
        <v>5.2249999999999996</v>
      </c>
      <c r="K1624" s="29">
        <v>5.2249999999999996</v>
      </c>
      <c r="L1624" s="29" t="s">
        <v>1032</v>
      </c>
      <c r="M1624" s="29">
        <v>1</v>
      </c>
      <c r="N1624" s="29">
        <v>0.25</v>
      </c>
      <c r="O1624" s="29">
        <v>1</v>
      </c>
      <c r="P1624" s="29">
        <v>5.2249999999999996</v>
      </c>
      <c r="Q1624" s="29" t="s">
        <v>1033</v>
      </c>
    </row>
    <row r="1625" spans="1:17" x14ac:dyDescent="0.3">
      <c r="A1625" s="29" t="s">
        <v>826</v>
      </c>
      <c r="B1625" s="29">
        <v>1</v>
      </c>
      <c r="C1625" s="29" t="s">
        <v>1050</v>
      </c>
      <c r="D1625" s="29" t="s">
        <v>1051</v>
      </c>
      <c r="E1625" s="29">
        <v>150</v>
      </c>
      <c r="G1625" s="29" t="s">
        <v>1035</v>
      </c>
      <c r="H1625" s="29">
        <v>1</v>
      </c>
      <c r="I1625" s="29">
        <v>2.95</v>
      </c>
      <c r="J1625" s="29">
        <v>0.4425</v>
      </c>
      <c r="K1625" s="29">
        <v>0.4425</v>
      </c>
      <c r="L1625" s="29" t="s">
        <v>1032</v>
      </c>
      <c r="M1625" s="29">
        <v>1</v>
      </c>
      <c r="N1625" s="29">
        <v>0.15</v>
      </c>
      <c r="O1625" s="29">
        <v>1</v>
      </c>
      <c r="P1625" s="29">
        <v>0.4425</v>
      </c>
      <c r="Q1625" s="29" t="s">
        <v>1033</v>
      </c>
    </row>
    <row r="1626" spans="1:17" x14ac:dyDescent="0.3">
      <c r="B1626" s="29">
        <v>2</v>
      </c>
      <c r="C1626" s="29" t="s">
        <v>1089</v>
      </c>
      <c r="D1626" s="29" t="s">
        <v>1099</v>
      </c>
      <c r="E1626" s="29">
        <v>250</v>
      </c>
      <c r="G1626" s="29" t="s">
        <v>1035</v>
      </c>
      <c r="H1626" s="29">
        <v>1</v>
      </c>
      <c r="I1626" s="29">
        <v>20.9</v>
      </c>
      <c r="J1626" s="29">
        <v>5.2249999999999996</v>
      </c>
      <c r="K1626" s="29">
        <v>5.2249999999999996</v>
      </c>
      <c r="L1626" s="29" t="s">
        <v>1032</v>
      </c>
      <c r="M1626" s="29">
        <v>1</v>
      </c>
      <c r="N1626" s="29">
        <v>0.25</v>
      </c>
      <c r="O1626" s="29">
        <v>1</v>
      </c>
      <c r="P1626" s="29">
        <v>5.2249999999999996</v>
      </c>
      <c r="Q1626" s="29" t="s">
        <v>1033</v>
      </c>
    </row>
    <row r="1627" spans="1:17" x14ac:dyDescent="0.3">
      <c r="A1627" s="29" t="s">
        <v>826</v>
      </c>
      <c r="B1627" s="29">
        <v>1</v>
      </c>
      <c r="C1627" s="29" t="s">
        <v>1050</v>
      </c>
      <c r="D1627" s="29" t="s">
        <v>1051</v>
      </c>
      <c r="E1627" s="29">
        <v>150</v>
      </c>
      <c r="G1627" s="29" t="s">
        <v>1035</v>
      </c>
      <c r="H1627" s="29">
        <v>1</v>
      </c>
      <c r="I1627" s="29">
        <v>2.95</v>
      </c>
      <c r="J1627" s="29">
        <v>0.4425</v>
      </c>
      <c r="K1627" s="29">
        <v>0.4425</v>
      </c>
      <c r="L1627" s="29" t="s">
        <v>1032</v>
      </c>
      <c r="M1627" s="29">
        <v>1</v>
      </c>
      <c r="N1627" s="29">
        <v>0.15</v>
      </c>
      <c r="O1627" s="29">
        <v>1</v>
      </c>
      <c r="P1627" s="29">
        <v>0.4425</v>
      </c>
      <c r="Q1627" s="29" t="s">
        <v>1033</v>
      </c>
    </row>
    <row r="1628" spans="1:17" x14ac:dyDescent="0.3">
      <c r="B1628" s="29">
        <v>2</v>
      </c>
      <c r="C1628" s="29" t="s">
        <v>1089</v>
      </c>
      <c r="D1628" s="29" t="s">
        <v>1099</v>
      </c>
      <c r="E1628" s="29">
        <v>250</v>
      </c>
      <c r="G1628" s="29" t="s">
        <v>1035</v>
      </c>
      <c r="H1628" s="29">
        <v>1</v>
      </c>
      <c r="I1628" s="29">
        <v>20.9</v>
      </c>
      <c r="J1628" s="29">
        <v>5.2249999999999996</v>
      </c>
      <c r="K1628" s="29">
        <v>5.2249999999999996</v>
      </c>
      <c r="L1628" s="29" t="s">
        <v>1032</v>
      </c>
      <c r="M1628" s="29">
        <v>1</v>
      </c>
      <c r="N1628" s="29">
        <v>0.25</v>
      </c>
      <c r="O1628" s="29">
        <v>1</v>
      </c>
      <c r="P1628" s="29">
        <v>5.2249999999999996</v>
      </c>
      <c r="Q1628" s="29" t="s">
        <v>1033</v>
      </c>
    </row>
    <row r="1629" spans="1:17" x14ac:dyDescent="0.3">
      <c r="A1629" s="29" t="s">
        <v>826</v>
      </c>
      <c r="B1629" s="29">
        <v>1</v>
      </c>
      <c r="C1629" s="29" t="s">
        <v>1050</v>
      </c>
      <c r="D1629" s="29" t="s">
        <v>1051</v>
      </c>
      <c r="E1629" s="29">
        <v>150</v>
      </c>
      <c r="G1629" s="29" t="s">
        <v>1035</v>
      </c>
      <c r="H1629" s="29">
        <v>1</v>
      </c>
      <c r="I1629" s="29">
        <v>2.95</v>
      </c>
      <c r="J1629" s="29">
        <v>0.4425</v>
      </c>
      <c r="K1629" s="29">
        <v>0.4425</v>
      </c>
      <c r="L1629" s="29" t="s">
        <v>1032</v>
      </c>
      <c r="M1629" s="29">
        <v>1</v>
      </c>
      <c r="N1629" s="29">
        <v>0.15</v>
      </c>
      <c r="O1629" s="29">
        <v>1</v>
      </c>
      <c r="P1629" s="29">
        <v>0.4425</v>
      </c>
      <c r="Q1629" s="29" t="s">
        <v>1033</v>
      </c>
    </row>
    <row r="1630" spans="1:17" x14ac:dyDescent="0.3">
      <c r="B1630" s="29">
        <v>2</v>
      </c>
      <c r="C1630" s="29" t="s">
        <v>1089</v>
      </c>
      <c r="D1630" s="29" t="s">
        <v>1099</v>
      </c>
      <c r="E1630" s="29">
        <v>250</v>
      </c>
      <c r="G1630" s="29" t="s">
        <v>1035</v>
      </c>
      <c r="H1630" s="29">
        <v>1</v>
      </c>
      <c r="I1630" s="29">
        <v>20.9</v>
      </c>
      <c r="J1630" s="29">
        <v>5.2249999999999996</v>
      </c>
      <c r="K1630" s="29">
        <v>5.2249999999999996</v>
      </c>
      <c r="L1630" s="29" t="s">
        <v>1032</v>
      </c>
      <c r="M1630" s="29">
        <v>1</v>
      </c>
      <c r="N1630" s="29">
        <v>0.25</v>
      </c>
      <c r="O1630" s="29">
        <v>1</v>
      </c>
      <c r="P1630" s="29">
        <v>5.2249999999999996</v>
      </c>
      <c r="Q1630" s="29" t="s">
        <v>1033</v>
      </c>
    </row>
    <row r="1631" spans="1:17" x14ac:dyDescent="0.3">
      <c r="A1631" s="29" t="s">
        <v>827</v>
      </c>
      <c r="B1631" s="29">
        <v>1</v>
      </c>
      <c r="C1631" s="29" t="s">
        <v>1050</v>
      </c>
      <c r="D1631" s="29" t="s">
        <v>1051</v>
      </c>
      <c r="E1631" s="29">
        <v>150</v>
      </c>
      <c r="G1631" s="29" t="s">
        <v>1102</v>
      </c>
      <c r="H1631" s="29">
        <v>1</v>
      </c>
      <c r="I1631" s="29">
        <v>2.95</v>
      </c>
      <c r="J1631" s="29">
        <v>0.4425</v>
      </c>
      <c r="K1631" s="29">
        <v>0.4425</v>
      </c>
      <c r="L1631" s="29" t="s">
        <v>1032</v>
      </c>
      <c r="M1631" s="29">
        <v>1</v>
      </c>
      <c r="N1631" s="29">
        <v>0.15</v>
      </c>
      <c r="O1631" s="29">
        <v>1</v>
      </c>
      <c r="P1631" s="29">
        <v>0.4425</v>
      </c>
      <c r="Q1631" s="29" t="s">
        <v>1033</v>
      </c>
    </row>
    <row r="1632" spans="1:17" x14ac:dyDescent="0.3">
      <c r="B1632" s="29">
        <v>2</v>
      </c>
      <c r="C1632" s="29" t="s">
        <v>1089</v>
      </c>
      <c r="D1632" s="29" t="s">
        <v>1099</v>
      </c>
      <c r="E1632" s="29">
        <v>250</v>
      </c>
      <c r="G1632" s="29" t="s">
        <v>1102</v>
      </c>
      <c r="H1632" s="29">
        <v>1</v>
      </c>
      <c r="I1632" s="29">
        <v>20.9</v>
      </c>
      <c r="J1632" s="29">
        <v>5.2249999999999996</v>
      </c>
      <c r="K1632" s="29">
        <v>5.2249999999999996</v>
      </c>
      <c r="L1632" s="29" t="s">
        <v>1032</v>
      </c>
      <c r="M1632" s="29">
        <v>1</v>
      </c>
      <c r="N1632" s="29">
        <v>0.25</v>
      </c>
      <c r="O1632" s="29">
        <v>1</v>
      </c>
      <c r="P1632" s="29">
        <v>5.2249999999999996</v>
      </c>
      <c r="Q1632" s="29" t="s">
        <v>1033</v>
      </c>
    </row>
    <row r="1633" spans="1:17" x14ac:dyDescent="0.3">
      <c r="A1633" s="29" t="s">
        <v>828</v>
      </c>
      <c r="B1633" s="29">
        <v>1</v>
      </c>
      <c r="C1633" s="29" t="s">
        <v>1050</v>
      </c>
      <c r="D1633" s="29" t="s">
        <v>1051</v>
      </c>
      <c r="E1633" s="29">
        <v>150</v>
      </c>
      <c r="G1633" s="29" t="s">
        <v>1102</v>
      </c>
      <c r="H1633" s="29">
        <v>1</v>
      </c>
      <c r="I1633" s="29">
        <v>2.95</v>
      </c>
      <c r="J1633" s="29">
        <v>0.4425</v>
      </c>
      <c r="K1633" s="29">
        <v>0.4425</v>
      </c>
      <c r="L1633" s="29" t="s">
        <v>1032</v>
      </c>
      <c r="M1633" s="29">
        <v>1</v>
      </c>
      <c r="N1633" s="29">
        <v>0.15</v>
      </c>
      <c r="O1633" s="29">
        <v>1</v>
      </c>
      <c r="P1633" s="29">
        <v>0.4425</v>
      </c>
      <c r="Q1633" s="29" t="s">
        <v>1033</v>
      </c>
    </row>
    <row r="1634" spans="1:17" x14ac:dyDescent="0.3">
      <c r="B1634" s="29">
        <v>2</v>
      </c>
      <c r="C1634" s="29" t="s">
        <v>1089</v>
      </c>
      <c r="D1634" s="29" t="s">
        <v>1099</v>
      </c>
      <c r="E1634" s="29">
        <v>250</v>
      </c>
      <c r="G1634" s="29" t="s">
        <v>1102</v>
      </c>
      <c r="H1634" s="29">
        <v>1</v>
      </c>
      <c r="I1634" s="29">
        <v>20.9</v>
      </c>
      <c r="J1634" s="29">
        <v>5.2249999999999996</v>
      </c>
      <c r="K1634" s="29">
        <v>5.2249999999999996</v>
      </c>
      <c r="L1634" s="29" t="s">
        <v>1032</v>
      </c>
      <c r="M1634" s="29">
        <v>1</v>
      </c>
      <c r="N1634" s="29">
        <v>0.25</v>
      </c>
      <c r="O1634" s="29">
        <v>1</v>
      </c>
      <c r="P1634" s="29">
        <v>5.2249999999999996</v>
      </c>
      <c r="Q1634" s="29" t="s">
        <v>1033</v>
      </c>
    </row>
    <row r="1635" spans="1:17" x14ac:dyDescent="0.3">
      <c r="A1635" s="29" t="s">
        <v>829</v>
      </c>
      <c r="B1635" s="29">
        <v>1</v>
      </c>
      <c r="C1635" s="29" t="s">
        <v>1050</v>
      </c>
      <c r="D1635" s="29" t="s">
        <v>1051</v>
      </c>
      <c r="E1635" s="29">
        <v>150</v>
      </c>
      <c r="G1635" s="29" t="s">
        <v>1031</v>
      </c>
      <c r="H1635" s="29">
        <v>1</v>
      </c>
      <c r="I1635" s="29">
        <v>2.95</v>
      </c>
      <c r="J1635" s="29">
        <v>0.4425</v>
      </c>
      <c r="K1635" s="29">
        <v>0.4425</v>
      </c>
      <c r="L1635" s="29" t="s">
        <v>1032</v>
      </c>
      <c r="M1635" s="29">
        <v>1</v>
      </c>
      <c r="N1635" s="29">
        <v>0.15</v>
      </c>
      <c r="O1635" s="29">
        <v>1</v>
      </c>
      <c r="P1635" s="29">
        <v>0.4425</v>
      </c>
      <c r="Q1635" s="29" t="s">
        <v>1033</v>
      </c>
    </row>
    <row r="1636" spans="1:17" x14ac:dyDescent="0.3">
      <c r="B1636" s="29">
        <v>2</v>
      </c>
      <c r="C1636" s="29" t="s">
        <v>1089</v>
      </c>
      <c r="D1636" s="29" t="s">
        <v>1099</v>
      </c>
      <c r="E1636" s="29">
        <v>403</v>
      </c>
      <c r="G1636" s="29" t="s">
        <v>1031</v>
      </c>
      <c r="H1636" s="29">
        <v>1</v>
      </c>
      <c r="I1636" s="29">
        <v>20.9</v>
      </c>
      <c r="J1636" s="29">
        <v>8.4227000000000007</v>
      </c>
      <c r="K1636" s="29">
        <v>8.4227000000000007</v>
      </c>
      <c r="L1636" s="29" t="s">
        <v>1032</v>
      </c>
      <c r="M1636" s="29">
        <v>1</v>
      </c>
      <c r="N1636" s="29">
        <v>0.40300000000000002</v>
      </c>
      <c r="O1636" s="29">
        <v>1</v>
      </c>
      <c r="P1636" s="29">
        <v>8.4227000000000007</v>
      </c>
      <c r="Q1636" s="29" t="s">
        <v>1033</v>
      </c>
    </row>
    <row r="1637" spans="1:17" x14ac:dyDescent="0.3">
      <c r="A1637" s="29" t="s">
        <v>830</v>
      </c>
      <c r="B1637" s="29">
        <v>1</v>
      </c>
      <c r="C1637" s="29" t="s">
        <v>1050</v>
      </c>
      <c r="D1637" s="29" t="s">
        <v>1051</v>
      </c>
      <c r="E1637" s="29">
        <v>150</v>
      </c>
      <c r="G1637" s="29" t="s">
        <v>1035</v>
      </c>
      <c r="H1637" s="29">
        <v>1</v>
      </c>
      <c r="I1637" s="29">
        <v>2.95</v>
      </c>
      <c r="J1637" s="29">
        <v>0.4425</v>
      </c>
      <c r="K1637" s="29">
        <v>0.4425</v>
      </c>
      <c r="L1637" s="29" t="s">
        <v>1032</v>
      </c>
      <c r="M1637" s="29">
        <v>1</v>
      </c>
      <c r="N1637" s="29">
        <v>0.15</v>
      </c>
      <c r="O1637" s="29">
        <v>1</v>
      </c>
      <c r="P1637" s="29">
        <v>0.4425</v>
      </c>
      <c r="Q1637" s="29" t="s">
        <v>1033</v>
      </c>
    </row>
    <row r="1638" spans="1:17" x14ac:dyDescent="0.3">
      <c r="B1638" s="29">
        <v>2</v>
      </c>
      <c r="C1638" s="29" t="s">
        <v>1089</v>
      </c>
      <c r="D1638" s="29" t="s">
        <v>1099</v>
      </c>
      <c r="E1638" s="29">
        <v>150</v>
      </c>
      <c r="G1638" s="29" t="s">
        <v>1035</v>
      </c>
      <c r="H1638" s="29">
        <v>1</v>
      </c>
      <c r="I1638" s="29">
        <v>20.9</v>
      </c>
      <c r="J1638" s="29">
        <v>3.1349999999999998</v>
      </c>
      <c r="K1638" s="29">
        <v>3.1349999999999998</v>
      </c>
      <c r="L1638" s="29" t="s">
        <v>1032</v>
      </c>
      <c r="M1638" s="29">
        <v>1</v>
      </c>
      <c r="N1638" s="29">
        <v>0.15</v>
      </c>
      <c r="O1638" s="29">
        <v>1</v>
      </c>
      <c r="P1638" s="29">
        <v>3.1349999999999998</v>
      </c>
      <c r="Q1638" s="29" t="s">
        <v>1033</v>
      </c>
    </row>
    <row r="1639" spans="1:17" x14ac:dyDescent="0.3">
      <c r="A1639" s="29" t="s">
        <v>830</v>
      </c>
      <c r="B1639" s="29">
        <v>1</v>
      </c>
      <c r="C1639" s="29" t="s">
        <v>1050</v>
      </c>
      <c r="D1639" s="29" t="s">
        <v>1051</v>
      </c>
      <c r="E1639" s="29">
        <v>150</v>
      </c>
      <c r="G1639" s="29" t="s">
        <v>1035</v>
      </c>
      <c r="H1639" s="29">
        <v>1</v>
      </c>
      <c r="I1639" s="29">
        <v>2.95</v>
      </c>
      <c r="J1639" s="29">
        <v>0.4425</v>
      </c>
      <c r="K1639" s="29">
        <v>0.4425</v>
      </c>
      <c r="L1639" s="29" t="s">
        <v>1032</v>
      </c>
      <c r="M1639" s="29">
        <v>1</v>
      </c>
      <c r="N1639" s="29">
        <v>0.15</v>
      </c>
      <c r="O1639" s="29">
        <v>1</v>
      </c>
      <c r="P1639" s="29">
        <v>0.4425</v>
      </c>
      <c r="Q1639" s="29" t="s">
        <v>1033</v>
      </c>
    </row>
    <row r="1640" spans="1:17" x14ac:dyDescent="0.3">
      <c r="B1640" s="29">
        <v>2</v>
      </c>
      <c r="C1640" s="29" t="s">
        <v>1089</v>
      </c>
      <c r="D1640" s="29" t="s">
        <v>1099</v>
      </c>
      <c r="E1640" s="29">
        <v>150</v>
      </c>
      <c r="G1640" s="29" t="s">
        <v>1035</v>
      </c>
      <c r="H1640" s="29">
        <v>1</v>
      </c>
      <c r="I1640" s="29">
        <v>20.9</v>
      </c>
      <c r="J1640" s="29">
        <v>3.1349999999999998</v>
      </c>
      <c r="K1640" s="29">
        <v>3.1349999999999998</v>
      </c>
      <c r="L1640" s="29" t="s">
        <v>1032</v>
      </c>
      <c r="M1640" s="29">
        <v>1</v>
      </c>
      <c r="N1640" s="29">
        <v>0.15</v>
      </c>
      <c r="O1640" s="29">
        <v>1</v>
      </c>
      <c r="P1640" s="29">
        <v>3.1349999999999998</v>
      </c>
      <c r="Q1640" s="29" t="s">
        <v>1033</v>
      </c>
    </row>
    <row r="1641" spans="1:17" x14ac:dyDescent="0.3">
      <c r="A1641" s="29" t="s">
        <v>831</v>
      </c>
      <c r="B1641" s="29">
        <v>1</v>
      </c>
      <c r="C1641" s="29" t="s">
        <v>1050</v>
      </c>
      <c r="D1641" s="29" t="s">
        <v>1051</v>
      </c>
      <c r="E1641" s="29">
        <v>150</v>
      </c>
      <c r="G1641" s="29" t="s">
        <v>1035</v>
      </c>
      <c r="H1641" s="29">
        <v>1</v>
      </c>
      <c r="I1641" s="29">
        <v>2.95</v>
      </c>
      <c r="J1641" s="29">
        <v>0.4425</v>
      </c>
      <c r="K1641" s="29">
        <v>0.4425</v>
      </c>
      <c r="L1641" s="29" t="s">
        <v>1032</v>
      </c>
      <c r="M1641" s="29">
        <v>1</v>
      </c>
      <c r="N1641" s="29">
        <v>0.15</v>
      </c>
      <c r="O1641" s="29">
        <v>1</v>
      </c>
      <c r="P1641" s="29">
        <v>0.4425</v>
      </c>
      <c r="Q1641" s="29" t="s">
        <v>1033</v>
      </c>
    </row>
    <row r="1642" spans="1:17" x14ac:dyDescent="0.3">
      <c r="B1642" s="29">
        <v>2</v>
      </c>
      <c r="C1642" s="29" t="s">
        <v>1089</v>
      </c>
      <c r="D1642" s="29" t="s">
        <v>1100</v>
      </c>
      <c r="E1642" s="29">
        <v>250</v>
      </c>
      <c r="G1642" s="29" t="s">
        <v>1035</v>
      </c>
      <c r="H1642" s="29">
        <v>1</v>
      </c>
      <c r="I1642" s="29">
        <v>49.9</v>
      </c>
      <c r="J1642" s="29">
        <v>12.475</v>
      </c>
      <c r="K1642" s="29">
        <v>12.475</v>
      </c>
      <c r="L1642" s="29" t="s">
        <v>1032</v>
      </c>
      <c r="M1642" s="29">
        <v>1</v>
      </c>
      <c r="N1642" s="29">
        <v>0.25</v>
      </c>
      <c r="O1642" s="29">
        <v>1</v>
      </c>
      <c r="P1642" s="29">
        <v>12.475</v>
      </c>
      <c r="Q1642" s="29" t="s">
        <v>1033</v>
      </c>
    </row>
    <row r="1643" spans="1:17" x14ac:dyDescent="0.3">
      <c r="B1643" s="29">
        <v>3</v>
      </c>
      <c r="C1643" s="29" t="s">
        <v>1101</v>
      </c>
      <c r="D1643" s="29">
        <v>9</v>
      </c>
      <c r="E1643" s="29">
        <v>168.25</v>
      </c>
      <c r="F1643" s="29">
        <v>300</v>
      </c>
      <c r="G1643" s="29" t="s">
        <v>1035</v>
      </c>
      <c r="H1643" s="29">
        <v>1</v>
      </c>
      <c r="J1643" s="29">
        <v>3.5660587499999998</v>
      </c>
      <c r="K1643" s="29">
        <v>3.5660587499999998</v>
      </c>
      <c r="L1643" s="29" t="s">
        <v>1036</v>
      </c>
      <c r="M1643" s="29">
        <v>1</v>
      </c>
      <c r="O1643" s="29">
        <v>1</v>
      </c>
      <c r="P1643" s="29">
        <v>3.5660587499999998</v>
      </c>
      <c r="Q1643" s="29" t="s">
        <v>1037</v>
      </c>
    </row>
    <row r="1644" spans="1:17" x14ac:dyDescent="0.3">
      <c r="A1644" s="29" t="s">
        <v>832</v>
      </c>
      <c r="B1644" s="29">
        <v>1</v>
      </c>
      <c r="C1644" s="29" t="s">
        <v>1050</v>
      </c>
      <c r="D1644" s="29" t="s">
        <v>1051</v>
      </c>
      <c r="E1644" s="29">
        <v>150</v>
      </c>
      <c r="G1644" s="29" t="s">
        <v>1031</v>
      </c>
      <c r="H1644" s="29">
        <v>1</v>
      </c>
      <c r="I1644" s="29">
        <v>2.95</v>
      </c>
      <c r="J1644" s="29">
        <v>0.4425</v>
      </c>
      <c r="K1644" s="29">
        <v>0.4425</v>
      </c>
      <c r="L1644" s="29" t="s">
        <v>1032</v>
      </c>
      <c r="M1644" s="29">
        <v>1</v>
      </c>
      <c r="N1644" s="29">
        <v>0.15</v>
      </c>
      <c r="O1644" s="29">
        <v>1</v>
      </c>
      <c r="P1644" s="29">
        <v>0.4425</v>
      </c>
      <c r="Q1644" s="29" t="s">
        <v>1033</v>
      </c>
    </row>
    <row r="1645" spans="1:17" x14ac:dyDescent="0.3">
      <c r="B1645" s="29">
        <v>2</v>
      </c>
      <c r="C1645" s="29" t="s">
        <v>1089</v>
      </c>
      <c r="D1645" s="29" t="s">
        <v>1100</v>
      </c>
      <c r="E1645" s="29">
        <v>250</v>
      </c>
      <c r="G1645" s="29" t="s">
        <v>1031</v>
      </c>
      <c r="H1645" s="29">
        <v>1</v>
      </c>
      <c r="I1645" s="29">
        <v>49.9</v>
      </c>
      <c r="J1645" s="29">
        <v>12.475</v>
      </c>
      <c r="K1645" s="29">
        <v>12.475</v>
      </c>
      <c r="L1645" s="29" t="s">
        <v>1032</v>
      </c>
      <c r="M1645" s="29">
        <v>1</v>
      </c>
      <c r="N1645" s="29">
        <v>0.25</v>
      </c>
      <c r="O1645" s="29">
        <v>1</v>
      </c>
      <c r="P1645" s="29">
        <v>12.475</v>
      </c>
      <c r="Q1645" s="29" t="s">
        <v>1033</v>
      </c>
    </row>
    <row r="1646" spans="1:17" x14ac:dyDescent="0.3">
      <c r="B1646" s="29">
        <v>3</v>
      </c>
      <c r="C1646" s="29" t="s">
        <v>1101</v>
      </c>
      <c r="D1646" s="29">
        <v>9</v>
      </c>
      <c r="E1646" s="29">
        <v>168.25</v>
      </c>
      <c r="F1646" s="29">
        <v>300</v>
      </c>
      <c r="G1646" s="29" t="s">
        <v>1035</v>
      </c>
      <c r="H1646" s="29">
        <v>1</v>
      </c>
      <c r="J1646" s="29">
        <v>3.5660587499999998</v>
      </c>
      <c r="K1646" s="29">
        <v>3.5660587499999998</v>
      </c>
      <c r="L1646" s="29" t="s">
        <v>1036</v>
      </c>
      <c r="M1646" s="29">
        <v>1</v>
      </c>
      <c r="O1646" s="29">
        <v>1</v>
      </c>
      <c r="P1646" s="29">
        <v>3.5660587499999998</v>
      </c>
      <c r="Q1646" s="29" t="s">
        <v>1037</v>
      </c>
    </row>
    <row r="1647" spans="1:17" x14ac:dyDescent="0.3">
      <c r="A1647" s="29" t="s">
        <v>833</v>
      </c>
      <c r="B1647" s="29">
        <v>1</v>
      </c>
      <c r="C1647" s="29" t="s">
        <v>1050</v>
      </c>
      <c r="D1647" s="29" t="s">
        <v>1051</v>
      </c>
      <c r="E1647" s="29">
        <v>150</v>
      </c>
      <c r="G1647" s="29" t="s">
        <v>1035</v>
      </c>
      <c r="H1647" s="29">
        <v>1</v>
      </c>
      <c r="I1647" s="29">
        <v>2.95</v>
      </c>
      <c r="J1647" s="29">
        <v>0.4425</v>
      </c>
      <c r="K1647" s="29">
        <v>0.4425</v>
      </c>
      <c r="L1647" s="29" t="s">
        <v>1032</v>
      </c>
      <c r="M1647" s="29">
        <v>1</v>
      </c>
      <c r="N1647" s="29">
        <v>0.15</v>
      </c>
      <c r="O1647" s="29">
        <v>1</v>
      </c>
      <c r="P1647" s="29">
        <v>0.4425</v>
      </c>
      <c r="Q1647" s="29" t="s">
        <v>1033</v>
      </c>
    </row>
    <row r="1648" spans="1:17" x14ac:dyDescent="0.3">
      <c r="B1648" s="29">
        <v>2</v>
      </c>
      <c r="C1648" s="29" t="s">
        <v>1089</v>
      </c>
      <c r="D1648" s="29" t="s">
        <v>1100</v>
      </c>
      <c r="E1648" s="29">
        <v>250</v>
      </c>
      <c r="G1648" s="29" t="s">
        <v>1035</v>
      </c>
      <c r="H1648" s="29">
        <v>1</v>
      </c>
      <c r="I1648" s="29">
        <v>49.9</v>
      </c>
      <c r="J1648" s="29">
        <v>12.475</v>
      </c>
      <c r="K1648" s="29">
        <v>12.475</v>
      </c>
      <c r="L1648" s="29" t="s">
        <v>1032</v>
      </c>
      <c r="M1648" s="29">
        <v>1</v>
      </c>
      <c r="N1648" s="29">
        <v>0.25</v>
      </c>
      <c r="O1648" s="29">
        <v>1</v>
      </c>
      <c r="P1648" s="29">
        <v>12.475</v>
      </c>
      <c r="Q1648" s="29" t="s">
        <v>1033</v>
      </c>
    </row>
    <row r="1649" spans="1:17" x14ac:dyDescent="0.3">
      <c r="B1649" s="29">
        <v>3</v>
      </c>
      <c r="C1649" s="29" t="s">
        <v>1101</v>
      </c>
      <c r="D1649" s="29">
        <v>9</v>
      </c>
      <c r="E1649" s="29">
        <v>176.2</v>
      </c>
      <c r="F1649" s="29">
        <v>300</v>
      </c>
      <c r="G1649" s="29" t="s">
        <v>1035</v>
      </c>
      <c r="H1649" s="29">
        <v>1</v>
      </c>
      <c r="J1649" s="29">
        <v>3.7345589999999995</v>
      </c>
      <c r="K1649" s="29">
        <v>3.7345589999999995</v>
      </c>
      <c r="L1649" s="29" t="s">
        <v>1036</v>
      </c>
      <c r="M1649" s="29">
        <v>1</v>
      </c>
      <c r="O1649" s="29">
        <v>1</v>
      </c>
      <c r="P1649" s="29">
        <v>3.7345589999999995</v>
      </c>
      <c r="Q1649" s="29" t="s">
        <v>1037</v>
      </c>
    </row>
    <row r="1650" spans="1:17" x14ac:dyDescent="0.3">
      <c r="A1650" s="29" t="s">
        <v>834</v>
      </c>
      <c r="B1650" s="29">
        <v>1</v>
      </c>
      <c r="C1650" s="29" t="s">
        <v>1050</v>
      </c>
      <c r="D1650" s="29" t="s">
        <v>1051</v>
      </c>
      <c r="E1650" s="29">
        <v>150</v>
      </c>
      <c r="G1650" s="29" t="s">
        <v>1031</v>
      </c>
      <c r="H1650" s="29">
        <v>1</v>
      </c>
      <c r="I1650" s="29">
        <v>2.95</v>
      </c>
      <c r="J1650" s="29">
        <v>0.4425</v>
      </c>
      <c r="K1650" s="29">
        <v>0.4425</v>
      </c>
      <c r="L1650" s="29" t="s">
        <v>1032</v>
      </c>
      <c r="M1650" s="29">
        <v>1</v>
      </c>
      <c r="N1650" s="29">
        <v>0.15</v>
      </c>
      <c r="O1650" s="29">
        <v>1</v>
      </c>
      <c r="P1650" s="29">
        <v>0.4425</v>
      </c>
      <c r="Q1650" s="29" t="s">
        <v>1033</v>
      </c>
    </row>
    <row r="1651" spans="1:17" x14ac:dyDescent="0.3">
      <c r="B1651" s="29">
        <v>2</v>
      </c>
      <c r="C1651" s="29" t="s">
        <v>1089</v>
      </c>
      <c r="D1651" s="29" t="s">
        <v>1100</v>
      </c>
      <c r="E1651" s="29">
        <v>250</v>
      </c>
      <c r="G1651" s="29" t="s">
        <v>1031</v>
      </c>
      <c r="H1651" s="29">
        <v>1</v>
      </c>
      <c r="I1651" s="29">
        <v>49.9</v>
      </c>
      <c r="J1651" s="29">
        <v>12.475</v>
      </c>
      <c r="K1651" s="29">
        <v>12.475</v>
      </c>
      <c r="L1651" s="29" t="s">
        <v>1032</v>
      </c>
      <c r="M1651" s="29">
        <v>1</v>
      </c>
      <c r="N1651" s="29">
        <v>0.25</v>
      </c>
      <c r="O1651" s="29">
        <v>1</v>
      </c>
      <c r="P1651" s="29">
        <v>12.475</v>
      </c>
      <c r="Q1651" s="29" t="s">
        <v>1033</v>
      </c>
    </row>
    <row r="1652" spans="1:17" x14ac:dyDescent="0.3">
      <c r="B1652" s="29">
        <v>3</v>
      </c>
      <c r="C1652" s="29" t="s">
        <v>1101</v>
      </c>
      <c r="D1652" s="29">
        <v>9</v>
      </c>
      <c r="E1652" s="29">
        <v>176.2</v>
      </c>
      <c r="F1652" s="29">
        <v>300</v>
      </c>
      <c r="G1652" s="29" t="s">
        <v>1035</v>
      </c>
      <c r="H1652" s="29">
        <v>1</v>
      </c>
      <c r="J1652" s="29">
        <v>3.7345589999999995</v>
      </c>
      <c r="K1652" s="29">
        <v>3.7345589999999995</v>
      </c>
      <c r="L1652" s="29" t="s">
        <v>1036</v>
      </c>
      <c r="M1652" s="29">
        <v>1</v>
      </c>
      <c r="O1652" s="29">
        <v>1</v>
      </c>
      <c r="P1652" s="29">
        <v>3.7345589999999995</v>
      </c>
      <c r="Q1652" s="29" t="s">
        <v>1037</v>
      </c>
    </row>
    <row r="1653" spans="1:17" x14ac:dyDescent="0.3">
      <c r="A1653" s="29" t="s">
        <v>835</v>
      </c>
      <c r="B1653" s="29">
        <v>1</v>
      </c>
      <c r="C1653" s="29" t="s">
        <v>1050</v>
      </c>
      <c r="D1653" s="29" t="s">
        <v>1051</v>
      </c>
      <c r="E1653" s="29">
        <v>150</v>
      </c>
      <c r="G1653" s="29" t="s">
        <v>1035</v>
      </c>
      <c r="H1653" s="29">
        <v>1</v>
      </c>
      <c r="I1653" s="29">
        <v>2.95</v>
      </c>
      <c r="J1653" s="29">
        <v>0.4425</v>
      </c>
      <c r="K1653" s="29">
        <v>0.4425</v>
      </c>
      <c r="L1653" s="29" t="s">
        <v>1032</v>
      </c>
      <c r="M1653" s="29">
        <v>1</v>
      </c>
      <c r="N1653" s="29">
        <v>0.15</v>
      </c>
      <c r="O1653" s="29">
        <v>1</v>
      </c>
      <c r="P1653" s="29">
        <v>0.4425</v>
      </c>
      <c r="Q1653" s="29" t="s">
        <v>1033</v>
      </c>
    </row>
    <row r="1654" spans="1:17" x14ac:dyDescent="0.3">
      <c r="B1654" s="29">
        <v>2</v>
      </c>
      <c r="C1654" s="29" t="s">
        <v>1089</v>
      </c>
      <c r="D1654" s="29" t="s">
        <v>1100</v>
      </c>
      <c r="E1654" s="29">
        <v>250</v>
      </c>
      <c r="G1654" s="29" t="s">
        <v>1035</v>
      </c>
      <c r="H1654" s="29">
        <v>1</v>
      </c>
      <c r="I1654" s="29">
        <v>49.9</v>
      </c>
      <c r="J1654" s="29">
        <v>12.475</v>
      </c>
      <c r="K1654" s="29">
        <v>12.475</v>
      </c>
      <c r="L1654" s="29" t="s">
        <v>1032</v>
      </c>
      <c r="M1654" s="29">
        <v>1</v>
      </c>
      <c r="N1654" s="29">
        <v>0.25</v>
      </c>
      <c r="O1654" s="29">
        <v>1</v>
      </c>
      <c r="P1654" s="29">
        <v>12.475</v>
      </c>
      <c r="Q1654" s="29" t="s">
        <v>1033</v>
      </c>
    </row>
    <row r="1655" spans="1:17" x14ac:dyDescent="0.3">
      <c r="B1655" s="29">
        <v>3</v>
      </c>
      <c r="C1655" s="29" t="s">
        <v>1101</v>
      </c>
      <c r="D1655" s="29">
        <v>9</v>
      </c>
      <c r="E1655" s="29">
        <v>188.9</v>
      </c>
      <c r="F1655" s="29">
        <v>300</v>
      </c>
      <c r="G1655" s="29" t="s">
        <v>1035</v>
      </c>
      <c r="H1655" s="29">
        <v>1</v>
      </c>
      <c r="J1655" s="29">
        <v>4.0037355000000003</v>
      </c>
      <c r="K1655" s="29">
        <v>4.0037355000000003</v>
      </c>
      <c r="L1655" s="29" t="s">
        <v>1036</v>
      </c>
      <c r="M1655" s="29">
        <v>1</v>
      </c>
      <c r="O1655" s="29">
        <v>1</v>
      </c>
      <c r="P1655" s="29">
        <v>4.0037355000000003</v>
      </c>
      <c r="Q1655" s="29" t="s">
        <v>1037</v>
      </c>
    </row>
    <row r="1656" spans="1:17" x14ac:dyDescent="0.3">
      <c r="A1656" s="29" t="s">
        <v>836</v>
      </c>
      <c r="B1656" s="29">
        <v>1</v>
      </c>
      <c r="C1656" s="29" t="s">
        <v>1050</v>
      </c>
      <c r="D1656" s="29" t="s">
        <v>1051</v>
      </c>
      <c r="E1656" s="29">
        <v>150</v>
      </c>
      <c r="G1656" s="29" t="s">
        <v>1035</v>
      </c>
      <c r="H1656" s="29">
        <v>1</v>
      </c>
      <c r="I1656" s="29">
        <v>2.95</v>
      </c>
      <c r="J1656" s="29">
        <v>0.4425</v>
      </c>
      <c r="K1656" s="29">
        <v>0.4425</v>
      </c>
      <c r="L1656" s="29" t="s">
        <v>1032</v>
      </c>
      <c r="M1656" s="29">
        <v>1</v>
      </c>
      <c r="N1656" s="29">
        <v>0.15</v>
      </c>
      <c r="O1656" s="29">
        <v>1</v>
      </c>
      <c r="P1656" s="29">
        <v>0.4425</v>
      </c>
      <c r="Q1656" s="29" t="s">
        <v>1033</v>
      </c>
    </row>
    <row r="1657" spans="1:17" x14ac:dyDescent="0.3">
      <c r="B1657" s="29">
        <v>2</v>
      </c>
      <c r="C1657" s="29" t="s">
        <v>1103</v>
      </c>
      <c r="D1657" s="29">
        <v>12</v>
      </c>
      <c r="E1657" s="29">
        <v>320</v>
      </c>
      <c r="F1657" s="29">
        <v>300</v>
      </c>
      <c r="G1657" s="29" t="s">
        <v>1035</v>
      </c>
      <c r="H1657" s="29">
        <v>1</v>
      </c>
      <c r="J1657" s="29">
        <v>9.0431999999999988</v>
      </c>
      <c r="K1657" s="29">
        <v>9.0431999999999988</v>
      </c>
      <c r="L1657" s="29" t="s">
        <v>1036</v>
      </c>
      <c r="M1657" s="29">
        <v>1</v>
      </c>
      <c r="O1657" s="29">
        <v>1</v>
      </c>
      <c r="P1657" s="29">
        <v>9.0431999999999988</v>
      </c>
      <c r="Q1657" s="29" t="s">
        <v>1037</v>
      </c>
    </row>
    <row r="1658" spans="1:17" x14ac:dyDescent="0.3">
      <c r="B1658" s="29">
        <v>3</v>
      </c>
      <c r="C1658" s="29" t="s">
        <v>1104</v>
      </c>
      <c r="D1658" s="29">
        <v>12</v>
      </c>
      <c r="E1658" s="29">
        <v>100</v>
      </c>
      <c r="F1658" s="29">
        <v>300</v>
      </c>
      <c r="G1658" s="29" t="s">
        <v>1035</v>
      </c>
      <c r="H1658" s="29">
        <v>1</v>
      </c>
      <c r="J1658" s="29">
        <v>2.8260000000000001</v>
      </c>
      <c r="K1658" s="29">
        <v>2.8260000000000001</v>
      </c>
      <c r="L1658" s="29" t="s">
        <v>1036</v>
      </c>
      <c r="M1658" s="29">
        <v>1</v>
      </c>
      <c r="O1658" s="29">
        <v>1</v>
      </c>
      <c r="P1658" s="29">
        <v>2.8260000000000001</v>
      </c>
      <c r="Q1658" s="29" t="s">
        <v>1037</v>
      </c>
    </row>
    <row r="1659" spans="1:17" x14ac:dyDescent="0.3">
      <c r="B1659" s="29">
        <v>4</v>
      </c>
      <c r="C1659" s="29" t="s">
        <v>1101</v>
      </c>
      <c r="D1659" s="29">
        <v>12</v>
      </c>
      <c r="E1659" s="29">
        <v>201.6</v>
      </c>
      <c r="F1659" s="29">
        <v>300</v>
      </c>
      <c r="G1659" s="29" t="s">
        <v>1035</v>
      </c>
      <c r="H1659" s="29">
        <v>1</v>
      </c>
      <c r="J1659" s="29">
        <v>5.6972159999999992</v>
      </c>
      <c r="K1659" s="29">
        <v>5.6972159999999992</v>
      </c>
      <c r="L1659" s="29" t="s">
        <v>1036</v>
      </c>
      <c r="M1659" s="29">
        <v>1</v>
      </c>
      <c r="O1659" s="29">
        <v>1</v>
      </c>
      <c r="P1659" s="29">
        <v>5.6972159999999992</v>
      </c>
      <c r="Q1659" s="29" t="s">
        <v>1037</v>
      </c>
    </row>
    <row r="1660" spans="1:17" x14ac:dyDescent="0.3">
      <c r="A1660" s="29" t="s">
        <v>837</v>
      </c>
      <c r="B1660" s="29">
        <v>1</v>
      </c>
      <c r="C1660" s="29" t="s">
        <v>1050</v>
      </c>
      <c r="D1660" s="29" t="s">
        <v>1051</v>
      </c>
      <c r="E1660" s="29">
        <v>150</v>
      </c>
      <c r="G1660" s="29" t="s">
        <v>1031</v>
      </c>
      <c r="H1660" s="29">
        <v>1</v>
      </c>
      <c r="I1660" s="29">
        <v>2.95</v>
      </c>
      <c r="J1660" s="29">
        <v>0.4425</v>
      </c>
      <c r="K1660" s="29">
        <v>0.4425</v>
      </c>
      <c r="L1660" s="29" t="s">
        <v>1032</v>
      </c>
      <c r="M1660" s="29">
        <v>1</v>
      </c>
      <c r="N1660" s="29">
        <v>0.15</v>
      </c>
      <c r="O1660" s="29">
        <v>1</v>
      </c>
      <c r="P1660" s="29">
        <v>0.4425</v>
      </c>
      <c r="Q1660" s="29" t="s">
        <v>1033</v>
      </c>
    </row>
    <row r="1661" spans="1:17" x14ac:dyDescent="0.3">
      <c r="B1661" s="29">
        <v>2</v>
      </c>
      <c r="C1661" s="29" t="s">
        <v>1103</v>
      </c>
      <c r="D1661" s="29">
        <v>12</v>
      </c>
      <c r="E1661" s="29">
        <v>320</v>
      </c>
      <c r="F1661" s="29">
        <v>300</v>
      </c>
      <c r="G1661" s="29" t="s">
        <v>1035</v>
      </c>
      <c r="H1661" s="29">
        <v>1</v>
      </c>
      <c r="J1661" s="29">
        <v>9.0431999999999988</v>
      </c>
      <c r="K1661" s="29">
        <v>9.0431999999999988</v>
      </c>
      <c r="L1661" s="29" t="s">
        <v>1036</v>
      </c>
      <c r="M1661" s="29">
        <v>1</v>
      </c>
      <c r="O1661" s="29">
        <v>1</v>
      </c>
      <c r="P1661" s="29">
        <v>9.0431999999999988</v>
      </c>
      <c r="Q1661" s="29" t="s">
        <v>1037</v>
      </c>
    </row>
    <row r="1662" spans="1:17" x14ac:dyDescent="0.3">
      <c r="B1662" s="29">
        <v>3</v>
      </c>
      <c r="C1662" s="29" t="s">
        <v>1104</v>
      </c>
      <c r="D1662" s="29">
        <v>12</v>
      </c>
      <c r="E1662" s="29">
        <v>100</v>
      </c>
      <c r="F1662" s="29">
        <v>300</v>
      </c>
      <c r="G1662" s="29" t="s">
        <v>1035</v>
      </c>
      <c r="H1662" s="29">
        <v>1</v>
      </c>
      <c r="J1662" s="29">
        <v>2.8260000000000001</v>
      </c>
      <c r="K1662" s="29">
        <v>2.8260000000000001</v>
      </c>
      <c r="L1662" s="29" t="s">
        <v>1036</v>
      </c>
      <c r="M1662" s="29">
        <v>1</v>
      </c>
      <c r="O1662" s="29">
        <v>1</v>
      </c>
      <c r="P1662" s="29">
        <v>2.8260000000000001</v>
      </c>
      <c r="Q1662" s="29" t="s">
        <v>1037</v>
      </c>
    </row>
    <row r="1663" spans="1:17" x14ac:dyDescent="0.3">
      <c r="B1663" s="29">
        <v>4</v>
      </c>
      <c r="C1663" s="29" t="s">
        <v>1101</v>
      </c>
      <c r="D1663" s="29">
        <v>12</v>
      </c>
      <c r="E1663" s="29">
        <v>201.6</v>
      </c>
      <c r="F1663" s="29">
        <v>300</v>
      </c>
      <c r="G1663" s="29" t="s">
        <v>1035</v>
      </c>
      <c r="H1663" s="29">
        <v>1</v>
      </c>
      <c r="J1663" s="29">
        <v>5.6972159999999992</v>
      </c>
      <c r="K1663" s="29">
        <v>5.6972159999999992</v>
      </c>
      <c r="L1663" s="29" t="s">
        <v>1036</v>
      </c>
      <c r="M1663" s="29">
        <v>1</v>
      </c>
      <c r="O1663" s="29">
        <v>1</v>
      </c>
      <c r="P1663" s="29">
        <v>5.6972159999999992</v>
      </c>
      <c r="Q1663" s="29" t="s">
        <v>1037</v>
      </c>
    </row>
    <row r="1664" spans="1:17" x14ac:dyDescent="0.3">
      <c r="A1664" s="29" t="s">
        <v>838</v>
      </c>
      <c r="B1664" s="29">
        <v>1</v>
      </c>
      <c r="C1664" s="29" t="s">
        <v>1050</v>
      </c>
      <c r="D1664" s="29" t="s">
        <v>1051</v>
      </c>
      <c r="E1664" s="29">
        <v>150</v>
      </c>
      <c r="G1664" s="29" t="s">
        <v>1035</v>
      </c>
      <c r="H1664" s="29">
        <v>1</v>
      </c>
      <c r="I1664" s="29">
        <v>2.95</v>
      </c>
      <c r="J1664" s="29">
        <v>0.4425</v>
      </c>
      <c r="K1664" s="29">
        <v>0.4425</v>
      </c>
      <c r="L1664" s="29" t="s">
        <v>1032</v>
      </c>
      <c r="M1664" s="29">
        <v>1</v>
      </c>
      <c r="N1664" s="29">
        <v>0.15</v>
      </c>
      <c r="O1664" s="29">
        <v>1</v>
      </c>
      <c r="P1664" s="29">
        <v>0.4425</v>
      </c>
      <c r="Q1664" s="29" t="s">
        <v>1033</v>
      </c>
    </row>
    <row r="1665" spans="1:17" x14ac:dyDescent="0.3">
      <c r="B1665" s="29">
        <v>2</v>
      </c>
      <c r="C1665" s="29" t="s">
        <v>1089</v>
      </c>
      <c r="D1665" s="29" t="s">
        <v>1099</v>
      </c>
      <c r="E1665" s="29">
        <v>150</v>
      </c>
      <c r="G1665" s="29" t="s">
        <v>1035</v>
      </c>
      <c r="H1665" s="29">
        <v>1</v>
      </c>
      <c r="I1665" s="29">
        <v>20.9</v>
      </c>
      <c r="J1665" s="29">
        <v>3.1349999999999998</v>
      </c>
      <c r="K1665" s="29">
        <v>3.1349999999999998</v>
      </c>
      <c r="L1665" s="29" t="s">
        <v>1032</v>
      </c>
      <c r="M1665" s="29">
        <v>1</v>
      </c>
      <c r="N1665" s="29">
        <v>0.15</v>
      </c>
      <c r="O1665" s="29">
        <v>1</v>
      </c>
      <c r="P1665" s="29">
        <v>3.1349999999999998</v>
      </c>
      <c r="Q1665" s="29" t="s">
        <v>1033</v>
      </c>
    </row>
    <row r="1666" spans="1:17" x14ac:dyDescent="0.3">
      <c r="A1666" s="29" t="s">
        <v>838</v>
      </c>
      <c r="B1666" s="29">
        <v>1</v>
      </c>
      <c r="C1666" s="29" t="s">
        <v>1050</v>
      </c>
      <c r="D1666" s="29" t="s">
        <v>1051</v>
      </c>
      <c r="E1666" s="29">
        <v>150</v>
      </c>
      <c r="G1666" s="29" t="s">
        <v>1035</v>
      </c>
      <c r="H1666" s="29">
        <v>1</v>
      </c>
      <c r="I1666" s="29">
        <v>2.95</v>
      </c>
      <c r="J1666" s="29">
        <v>0.4425</v>
      </c>
      <c r="K1666" s="29">
        <v>0.4425</v>
      </c>
      <c r="L1666" s="29" t="s">
        <v>1032</v>
      </c>
      <c r="M1666" s="29">
        <v>1</v>
      </c>
      <c r="N1666" s="29">
        <v>0.15</v>
      </c>
      <c r="O1666" s="29">
        <v>1</v>
      </c>
      <c r="P1666" s="29">
        <v>0.4425</v>
      </c>
      <c r="Q1666" s="29" t="s">
        <v>1033</v>
      </c>
    </row>
    <row r="1667" spans="1:17" x14ac:dyDescent="0.3">
      <c r="B1667" s="29">
        <v>2</v>
      </c>
      <c r="C1667" s="29" t="s">
        <v>1089</v>
      </c>
      <c r="D1667" s="29" t="s">
        <v>1099</v>
      </c>
      <c r="E1667" s="29">
        <v>150</v>
      </c>
      <c r="G1667" s="29" t="s">
        <v>1035</v>
      </c>
      <c r="H1667" s="29">
        <v>1</v>
      </c>
      <c r="I1667" s="29">
        <v>20.9</v>
      </c>
      <c r="J1667" s="29">
        <v>3.1349999999999998</v>
      </c>
      <c r="K1667" s="29">
        <v>3.1349999999999998</v>
      </c>
      <c r="L1667" s="29" t="s">
        <v>1032</v>
      </c>
      <c r="M1667" s="29">
        <v>1</v>
      </c>
      <c r="N1667" s="29">
        <v>0.15</v>
      </c>
      <c r="O1667" s="29">
        <v>1</v>
      </c>
      <c r="P1667" s="29">
        <v>3.1349999999999998</v>
      </c>
      <c r="Q1667" s="29" t="s">
        <v>1033</v>
      </c>
    </row>
    <row r="1668" spans="1:17" x14ac:dyDescent="0.3">
      <c r="A1668" s="29" t="s">
        <v>838</v>
      </c>
      <c r="B1668" s="29">
        <v>1</v>
      </c>
      <c r="C1668" s="29" t="s">
        <v>1050</v>
      </c>
      <c r="D1668" s="29" t="s">
        <v>1051</v>
      </c>
      <c r="E1668" s="29">
        <v>150</v>
      </c>
      <c r="G1668" s="29" t="s">
        <v>1035</v>
      </c>
      <c r="H1668" s="29">
        <v>1</v>
      </c>
      <c r="I1668" s="29">
        <v>2.95</v>
      </c>
      <c r="J1668" s="29">
        <v>0.4425</v>
      </c>
      <c r="K1668" s="29">
        <v>0.4425</v>
      </c>
      <c r="L1668" s="29" t="s">
        <v>1032</v>
      </c>
      <c r="M1668" s="29">
        <v>1</v>
      </c>
      <c r="N1668" s="29">
        <v>0.15</v>
      </c>
      <c r="O1668" s="29">
        <v>1</v>
      </c>
      <c r="P1668" s="29">
        <v>0.4425</v>
      </c>
      <c r="Q1668" s="29" t="s">
        <v>1033</v>
      </c>
    </row>
    <row r="1669" spans="1:17" x14ac:dyDescent="0.3">
      <c r="B1669" s="29">
        <v>2</v>
      </c>
      <c r="C1669" s="29" t="s">
        <v>1089</v>
      </c>
      <c r="D1669" s="29" t="s">
        <v>1099</v>
      </c>
      <c r="E1669" s="29">
        <v>150</v>
      </c>
      <c r="G1669" s="29" t="s">
        <v>1035</v>
      </c>
      <c r="H1669" s="29">
        <v>1</v>
      </c>
      <c r="I1669" s="29">
        <v>20.9</v>
      </c>
      <c r="J1669" s="29">
        <v>3.1349999999999998</v>
      </c>
      <c r="K1669" s="29">
        <v>3.1349999999999998</v>
      </c>
      <c r="L1669" s="29" t="s">
        <v>1032</v>
      </c>
      <c r="M1669" s="29">
        <v>1</v>
      </c>
      <c r="N1669" s="29">
        <v>0.15</v>
      </c>
      <c r="O1669" s="29">
        <v>1</v>
      </c>
      <c r="P1669" s="29">
        <v>3.1349999999999998</v>
      </c>
      <c r="Q1669" s="29" t="s">
        <v>1033</v>
      </c>
    </row>
    <row r="1670" spans="1:17" x14ac:dyDescent="0.3">
      <c r="A1670" s="29" t="s">
        <v>838</v>
      </c>
      <c r="B1670" s="29">
        <v>1</v>
      </c>
      <c r="C1670" s="29" t="s">
        <v>1050</v>
      </c>
      <c r="D1670" s="29" t="s">
        <v>1051</v>
      </c>
      <c r="E1670" s="29">
        <v>150</v>
      </c>
      <c r="G1670" s="29" t="s">
        <v>1035</v>
      </c>
      <c r="H1670" s="29">
        <v>1</v>
      </c>
      <c r="I1670" s="29">
        <v>2.95</v>
      </c>
      <c r="J1670" s="29">
        <v>0.4425</v>
      </c>
      <c r="K1670" s="29">
        <v>0.4425</v>
      </c>
      <c r="L1670" s="29" t="s">
        <v>1032</v>
      </c>
      <c r="M1670" s="29">
        <v>1</v>
      </c>
      <c r="N1670" s="29">
        <v>0.15</v>
      </c>
      <c r="O1670" s="29">
        <v>1</v>
      </c>
      <c r="P1670" s="29">
        <v>0.4425</v>
      </c>
      <c r="Q1670" s="29" t="s">
        <v>1033</v>
      </c>
    </row>
    <row r="1671" spans="1:17" x14ac:dyDescent="0.3">
      <c r="B1671" s="29">
        <v>2</v>
      </c>
      <c r="C1671" s="29" t="s">
        <v>1089</v>
      </c>
      <c r="D1671" s="29" t="s">
        <v>1099</v>
      </c>
      <c r="E1671" s="29">
        <v>150</v>
      </c>
      <c r="G1671" s="29" t="s">
        <v>1035</v>
      </c>
      <c r="H1671" s="29">
        <v>1</v>
      </c>
      <c r="I1671" s="29">
        <v>20.9</v>
      </c>
      <c r="J1671" s="29">
        <v>3.1349999999999998</v>
      </c>
      <c r="K1671" s="29">
        <v>3.1349999999999998</v>
      </c>
      <c r="L1671" s="29" t="s">
        <v>1032</v>
      </c>
      <c r="M1671" s="29">
        <v>1</v>
      </c>
      <c r="N1671" s="29">
        <v>0.15</v>
      </c>
      <c r="O1671" s="29">
        <v>1</v>
      </c>
      <c r="P1671" s="29">
        <v>3.1349999999999998</v>
      </c>
      <c r="Q1671" s="29" t="s">
        <v>1033</v>
      </c>
    </row>
    <row r="1672" spans="1:17" x14ac:dyDescent="0.3">
      <c r="A1672" s="29" t="s">
        <v>838</v>
      </c>
      <c r="B1672" s="29">
        <v>1</v>
      </c>
      <c r="C1672" s="29" t="s">
        <v>1050</v>
      </c>
      <c r="D1672" s="29" t="s">
        <v>1051</v>
      </c>
      <c r="E1672" s="29">
        <v>150</v>
      </c>
      <c r="G1672" s="29" t="s">
        <v>1035</v>
      </c>
      <c r="H1672" s="29">
        <v>1</v>
      </c>
      <c r="I1672" s="29">
        <v>2.95</v>
      </c>
      <c r="J1672" s="29">
        <v>0.4425</v>
      </c>
      <c r="K1672" s="29">
        <v>0.4425</v>
      </c>
      <c r="L1672" s="29" t="s">
        <v>1032</v>
      </c>
      <c r="M1672" s="29">
        <v>1</v>
      </c>
      <c r="N1672" s="29">
        <v>0.15</v>
      </c>
      <c r="O1672" s="29">
        <v>1</v>
      </c>
      <c r="P1672" s="29">
        <v>0.4425</v>
      </c>
      <c r="Q1672" s="29" t="s">
        <v>1033</v>
      </c>
    </row>
    <row r="1673" spans="1:17" x14ac:dyDescent="0.3">
      <c r="B1673" s="29">
        <v>2</v>
      </c>
      <c r="C1673" s="29" t="s">
        <v>1089</v>
      </c>
      <c r="D1673" s="29" t="s">
        <v>1099</v>
      </c>
      <c r="E1673" s="29">
        <v>150</v>
      </c>
      <c r="G1673" s="29" t="s">
        <v>1035</v>
      </c>
      <c r="H1673" s="29">
        <v>1</v>
      </c>
      <c r="I1673" s="29">
        <v>20.9</v>
      </c>
      <c r="J1673" s="29">
        <v>3.1349999999999998</v>
      </c>
      <c r="K1673" s="29">
        <v>3.1349999999999998</v>
      </c>
      <c r="L1673" s="29" t="s">
        <v>1032</v>
      </c>
      <c r="M1673" s="29">
        <v>1</v>
      </c>
      <c r="N1673" s="29">
        <v>0.15</v>
      </c>
      <c r="O1673" s="29">
        <v>1</v>
      </c>
      <c r="P1673" s="29">
        <v>3.1349999999999998</v>
      </c>
      <c r="Q1673" s="29" t="s">
        <v>1033</v>
      </c>
    </row>
    <row r="1674" spans="1:17" x14ac:dyDescent="0.3">
      <c r="A1674" s="29" t="s">
        <v>838</v>
      </c>
      <c r="B1674" s="29">
        <v>1</v>
      </c>
      <c r="C1674" s="29" t="s">
        <v>1050</v>
      </c>
      <c r="D1674" s="29" t="s">
        <v>1051</v>
      </c>
      <c r="E1674" s="29">
        <v>150</v>
      </c>
      <c r="G1674" s="29" t="s">
        <v>1035</v>
      </c>
      <c r="H1674" s="29">
        <v>1</v>
      </c>
      <c r="I1674" s="29">
        <v>2.95</v>
      </c>
      <c r="J1674" s="29">
        <v>0.4425</v>
      </c>
      <c r="K1674" s="29">
        <v>0.4425</v>
      </c>
      <c r="L1674" s="29" t="s">
        <v>1032</v>
      </c>
      <c r="M1674" s="29">
        <v>1</v>
      </c>
      <c r="N1674" s="29">
        <v>0.15</v>
      </c>
      <c r="O1674" s="29">
        <v>1</v>
      </c>
      <c r="P1674" s="29">
        <v>0.4425</v>
      </c>
      <c r="Q1674" s="29" t="s">
        <v>1033</v>
      </c>
    </row>
    <row r="1675" spans="1:17" x14ac:dyDescent="0.3">
      <c r="B1675" s="29">
        <v>2</v>
      </c>
      <c r="C1675" s="29" t="s">
        <v>1089</v>
      </c>
      <c r="D1675" s="29" t="s">
        <v>1099</v>
      </c>
      <c r="E1675" s="29">
        <v>150</v>
      </c>
      <c r="G1675" s="29" t="s">
        <v>1035</v>
      </c>
      <c r="H1675" s="29">
        <v>1</v>
      </c>
      <c r="I1675" s="29">
        <v>20.9</v>
      </c>
      <c r="J1675" s="29">
        <v>3.1349999999999998</v>
      </c>
      <c r="K1675" s="29">
        <v>3.1349999999999998</v>
      </c>
      <c r="L1675" s="29" t="s">
        <v>1032</v>
      </c>
      <c r="M1675" s="29">
        <v>1</v>
      </c>
      <c r="N1675" s="29">
        <v>0.15</v>
      </c>
      <c r="O1675" s="29">
        <v>1</v>
      </c>
      <c r="P1675" s="29">
        <v>3.1349999999999998</v>
      </c>
      <c r="Q1675" s="29" t="s">
        <v>1033</v>
      </c>
    </row>
    <row r="1676" spans="1:17" x14ac:dyDescent="0.3">
      <c r="A1676" s="29" t="s">
        <v>839</v>
      </c>
      <c r="B1676" s="29">
        <v>1</v>
      </c>
      <c r="C1676" s="29" t="s">
        <v>1050</v>
      </c>
      <c r="D1676" s="29" t="s">
        <v>1051</v>
      </c>
      <c r="E1676" s="29">
        <v>150</v>
      </c>
      <c r="G1676" s="29" t="s">
        <v>1031</v>
      </c>
      <c r="H1676" s="29">
        <v>1</v>
      </c>
      <c r="I1676" s="29">
        <v>2.95</v>
      </c>
      <c r="J1676" s="29">
        <v>0.4425</v>
      </c>
      <c r="K1676" s="29">
        <v>0.4425</v>
      </c>
      <c r="L1676" s="29" t="s">
        <v>1032</v>
      </c>
      <c r="M1676" s="29">
        <v>1</v>
      </c>
      <c r="N1676" s="29">
        <v>0.15</v>
      </c>
      <c r="O1676" s="29">
        <v>1</v>
      </c>
      <c r="P1676" s="29">
        <v>0.4425</v>
      </c>
      <c r="Q1676" s="29" t="s">
        <v>1033</v>
      </c>
    </row>
    <row r="1677" spans="1:17" x14ac:dyDescent="0.3">
      <c r="B1677" s="29">
        <v>2</v>
      </c>
      <c r="C1677" s="29" t="s">
        <v>1089</v>
      </c>
      <c r="D1677" s="29" t="s">
        <v>1099</v>
      </c>
      <c r="E1677" s="29">
        <v>150</v>
      </c>
      <c r="G1677" s="29" t="s">
        <v>1031</v>
      </c>
      <c r="H1677" s="29">
        <v>1</v>
      </c>
      <c r="I1677" s="29">
        <v>20.9</v>
      </c>
      <c r="J1677" s="29">
        <v>3.1349999999999998</v>
      </c>
      <c r="K1677" s="29">
        <v>3.1349999999999998</v>
      </c>
      <c r="L1677" s="29" t="s">
        <v>1032</v>
      </c>
      <c r="M1677" s="29">
        <v>1</v>
      </c>
      <c r="N1677" s="29">
        <v>0.15</v>
      </c>
      <c r="O1677" s="29">
        <v>1</v>
      </c>
      <c r="P1677" s="29">
        <v>3.1349999999999998</v>
      </c>
      <c r="Q1677" s="29" t="s">
        <v>1033</v>
      </c>
    </row>
    <row r="1678" spans="1:17" x14ac:dyDescent="0.3">
      <c r="A1678" s="29" t="s">
        <v>840</v>
      </c>
      <c r="B1678" s="29">
        <v>1</v>
      </c>
      <c r="C1678" s="29" t="s">
        <v>1050</v>
      </c>
      <c r="D1678" s="29" t="s">
        <v>1051</v>
      </c>
      <c r="E1678" s="29">
        <v>150</v>
      </c>
      <c r="G1678" s="29" t="s">
        <v>1035</v>
      </c>
      <c r="H1678" s="29">
        <v>1</v>
      </c>
      <c r="I1678" s="29">
        <v>2.95</v>
      </c>
      <c r="J1678" s="29">
        <v>0.4425</v>
      </c>
      <c r="K1678" s="29">
        <v>0.4425</v>
      </c>
      <c r="L1678" s="29" t="s">
        <v>1032</v>
      </c>
      <c r="M1678" s="29">
        <v>1</v>
      </c>
      <c r="N1678" s="29">
        <v>0.15</v>
      </c>
      <c r="O1678" s="29">
        <v>1</v>
      </c>
      <c r="P1678" s="29">
        <v>0.4425</v>
      </c>
      <c r="Q1678" s="29" t="s">
        <v>1033</v>
      </c>
    </row>
    <row r="1679" spans="1:17" x14ac:dyDescent="0.3">
      <c r="B1679" s="29">
        <v>2</v>
      </c>
      <c r="C1679" s="29" t="s">
        <v>1103</v>
      </c>
      <c r="D1679" s="29">
        <v>12</v>
      </c>
      <c r="E1679" s="29">
        <v>320</v>
      </c>
      <c r="F1679" s="29">
        <v>300</v>
      </c>
      <c r="G1679" s="29" t="s">
        <v>1035</v>
      </c>
      <c r="H1679" s="29">
        <v>1</v>
      </c>
      <c r="J1679" s="29">
        <v>9.0431999999999988</v>
      </c>
      <c r="K1679" s="29">
        <v>9.0431999999999988</v>
      </c>
      <c r="L1679" s="29" t="s">
        <v>1036</v>
      </c>
      <c r="M1679" s="29">
        <v>1</v>
      </c>
      <c r="O1679" s="29">
        <v>1</v>
      </c>
      <c r="P1679" s="29">
        <v>9.0431999999999988</v>
      </c>
      <c r="Q1679" s="29" t="s">
        <v>1037</v>
      </c>
    </row>
    <row r="1680" spans="1:17" x14ac:dyDescent="0.3">
      <c r="B1680" s="29">
        <v>3</v>
      </c>
      <c r="C1680" s="29" t="s">
        <v>1104</v>
      </c>
      <c r="D1680" s="29">
        <v>12</v>
      </c>
      <c r="E1680" s="29">
        <v>100</v>
      </c>
      <c r="F1680" s="29">
        <v>300</v>
      </c>
      <c r="G1680" s="29" t="s">
        <v>1035</v>
      </c>
      <c r="H1680" s="29">
        <v>1</v>
      </c>
      <c r="J1680" s="29">
        <v>2.8260000000000001</v>
      </c>
      <c r="K1680" s="29">
        <v>2.8260000000000001</v>
      </c>
      <c r="L1680" s="29" t="s">
        <v>1036</v>
      </c>
      <c r="M1680" s="29">
        <v>1</v>
      </c>
      <c r="O1680" s="29">
        <v>1</v>
      </c>
      <c r="P1680" s="29">
        <v>2.8260000000000001</v>
      </c>
      <c r="Q1680" s="29" t="s">
        <v>1037</v>
      </c>
    </row>
    <row r="1681" spans="1:17" x14ac:dyDescent="0.3">
      <c r="B1681" s="29">
        <v>4</v>
      </c>
      <c r="C1681" s="29" t="s">
        <v>1101</v>
      </c>
      <c r="D1681" s="29">
        <v>12</v>
      </c>
      <c r="E1681" s="29">
        <v>227</v>
      </c>
      <c r="F1681" s="29">
        <v>300</v>
      </c>
      <c r="G1681" s="29" t="s">
        <v>1035</v>
      </c>
      <c r="H1681" s="29">
        <v>1</v>
      </c>
      <c r="J1681" s="29">
        <v>6.4150199999999993</v>
      </c>
      <c r="K1681" s="29">
        <v>6.4150199999999993</v>
      </c>
      <c r="L1681" s="29" t="s">
        <v>1036</v>
      </c>
      <c r="M1681" s="29">
        <v>1</v>
      </c>
      <c r="O1681" s="29">
        <v>1</v>
      </c>
      <c r="P1681" s="29">
        <v>6.4150199999999993</v>
      </c>
      <c r="Q1681" s="29" t="s">
        <v>1037</v>
      </c>
    </row>
    <row r="1682" spans="1:17" x14ac:dyDescent="0.3">
      <c r="A1682" s="29" t="s">
        <v>841</v>
      </c>
      <c r="B1682" s="29">
        <v>1</v>
      </c>
      <c r="C1682" s="29" t="s">
        <v>1050</v>
      </c>
      <c r="D1682" s="29" t="s">
        <v>1051</v>
      </c>
      <c r="E1682" s="29">
        <v>150</v>
      </c>
      <c r="G1682" s="29" t="s">
        <v>1035</v>
      </c>
      <c r="H1682" s="29">
        <v>1</v>
      </c>
      <c r="I1682" s="29">
        <v>2.95</v>
      </c>
      <c r="J1682" s="29">
        <v>0.4425</v>
      </c>
      <c r="K1682" s="29">
        <v>0.4425</v>
      </c>
      <c r="L1682" s="29" t="s">
        <v>1032</v>
      </c>
      <c r="M1682" s="29">
        <v>1</v>
      </c>
      <c r="N1682" s="29">
        <v>0.15</v>
      </c>
      <c r="O1682" s="29">
        <v>1</v>
      </c>
      <c r="P1682" s="29">
        <v>0.4425</v>
      </c>
      <c r="Q1682" s="29" t="s">
        <v>1033</v>
      </c>
    </row>
    <row r="1683" spans="1:17" x14ac:dyDescent="0.3">
      <c r="B1683" s="29">
        <v>2</v>
      </c>
      <c r="C1683" s="29" t="s">
        <v>1103</v>
      </c>
      <c r="D1683" s="29">
        <v>12</v>
      </c>
      <c r="E1683" s="29">
        <v>370</v>
      </c>
      <c r="F1683" s="29">
        <v>300</v>
      </c>
      <c r="G1683" s="29" t="s">
        <v>1035</v>
      </c>
      <c r="H1683" s="29">
        <v>1</v>
      </c>
      <c r="J1683" s="29">
        <v>10.456199999999999</v>
      </c>
      <c r="K1683" s="29">
        <v>10.456199999999999</v>
      </c>
      <c r="L1683" s="29" t="s">
        <v>1036</v>
      </c>
      <c r="M1683" s="29">
        <v>1</v>
      </c>
      <c r="O1683" s="29">
        <v>1</v>
      </c>
      <c r="P1683" s="29">
        <v>10.456199999999999</v>
      </c>
      <c r="Q1683" s="29" t="s">
        <v>1037</v>
      </c>
    </row>
    <row r="1684" spans="1:17" x14ac:dyDescent="0.3">
      <c r="B1684" s="29">
        <v>3</v>
      </c>
      <c r="C1684" s="29" t="s">
        <v>1104</v>
      </c>
      <c r="D1684" s="29">
        <v>12</v>
      </c>
      <c r="E1684" s="29">
        <v>100</v>
      </c>
      <c r="F1684" s="29">
        <v>300</v>
      </c>
      <c r="G1684" s="29" t="s">
        <v>1035</v>
      </c>
      <c r="H1684" s="29">
        <v>1</v>
      </c>
      <c r="J1684" s="29">
        <v>2.8260000000000001</v>
      </c>
      <c r="K1684" s="29">
        <v>2.8260000000000001</v>
      </c>
      <c r="L1684" s="29" t="s">
        <v>1036</v>
      </c>
      <c r="M1684" s="29">
        <v>1</v>
      </c>
      <c r="O1684" s="29">
        <v>1</v>
      </c>
      <c r="P1684" s="29">
        <v>2.8260000000000001</v>
      </c>
      <c r="Q1684" s="29" t="s">
        <v>1037</v>
      </c>
    </row>
    <row r="1685" spans="1:17" x14ac:dyDescent="0.3">
      <c r="B1685" s="29">
        <v>4</v>
      </c>
      <c r="C1685" s="29" t="s">
        <v>1101</v>
      </c>
      <c r="D1685" s="29">
        <v>12</v>
      </c>
      <c r="E1685" s="29">
        <v>252.4</v>
      </c>
      <c r="F1685" s="29">
        <v>300</v>
      </c>
      <c r="G1685" s="29" t="s">
        <v>1035</v>
      </c>
      <c r="H1685" s="29">
        <v>1</v>
      </c>
      <c r="J1685" s="29">
        <v>7.1328240000000003</v>
      </c>
      <c r="K1685" s="29">
        <v>7.1328240000000003</v>
      </c>
      <c r="L1685" s="29" t="s">
        <v>1036</v>
      </c>
      <c r="M1685" s="29">
        <v>1</v>
      </c>
      <c r="O1685" s="29">
        <v>1</v>
      </c>
      <c r="P1685" s="29">
        <v>7.1328240000000003</v>
      </c>
      <c r="Q1685" s="29" t="s">
        <v>1037</v>
      </c>
    </row>
    <row r="1686" spans="1:17" x14ac:dyDescent="0.3">
      <c r="A1686" s="29" t="s">
        <v>842</v>
      </c>
      <c r="B1686" s="29">
        <v>1</v>
      </c>
      <c r="C1686" s="29" t="s">
        <v>1050</v>
      </c>
      <c r="D1686" s="29" t="s">
        <v>1051</v>
      </c>
      <c r="E1686" s="29">
        <v>150</v>
      </c>
      <c r="G1686" s="29" t="s">
        <v>1035</v>
      </c>
      <c r="H1686" s="29">
        <v>1</v>
      </c>
      <c r="I1686" s="29">
        <v>2.95</v>
      </c>
      <c r="J1686" s="29">
        <v>0.4425</v>
      </c>
      <c r="K1686" s="29">
        <v>0.4425</v>
      </c>
      <c r="L1686" s="29" t="s">
        <v>1032</v>
      </c>
      <c r="M1686" s="29">
        <v>1</v>
      </c>
      <c r="N1686" s="29">
        <v>0.15</v>
      </c>
      <c r="O1686" s="29">
        <v>1</v>
      </c>
      <c r="P1686" s="29">
        <v>0.4425</v>
      </c>
      <c r="Q1686" s="29" t="s">
        <v>1033</v>
      </c>
    </row>
    <row r="1687" spans="1:17" x14ac:dyDescent="0.3">
      <c r="B1687" s="29">
        <v>2</v>
      </c>
      <c r="C1687" s="29" t="s">
        <v>1089</v>
      </c>
      <c r="D1687" s="29" t="s">
        <v>1099</v>
      </c>
      <c r="E1687" s="29">
        <v>150</v>
      </c>
      <c r="G1687" s="29" t="s">
        <v>1035</v>
      </c>
      <c r="H1687" s="29">
        <v>1</v>
      </c>
      <c r="I1687" s="29">
        <v>20.9</v>
      </c>
      <c r="J1687" s="29">
        <v>3.1349999999999998</v>
      </c>
      <c r="K1687" s="29">
        <v>3.1349999999999998</v>
      </c>
      <c r="L1687" s="29" t="s">
        <v>1032</v>
      </c>
      <c r="M1687" s="29">
        <v>1</v>
      </c>
      <c r="N1687" s="29">
        <v>0.15</v>
      </c>
      <c r="O1687" s="29">
        <v>1</v>
      </c>
      <c r="P1687" s="29">
        <v>3.1349999999999998</v>
      </c>
      <c r="Q1687" s="29" t="s">
        <v>1033</v>
      </c>
    </row>
    <row r="1688" spans="1:17" x14ac:dyDescent="0.3">
      <c r="A1688" s="29" t="s">
        <v>842</v>
      </c>
      <c r="B1688" s="29">
        <v>1</v>
      </c>
      <c r="C1688" s="29" t="s">
        <v>1050</v>
      </c>
      <c r="D1688" s="29" t="s">
        <v>1051</v>
      </c>
      <c r="E1688" s="29">
        <v>150</v>
      </c>
      <c r="G1688" s="29" t="s">
        <v>1035</v>
      </c>
      <c r="H1688" s="29">
        <v>1</v>
      </c>
      <c r="I1688" s="29">
        <v>2.95</v>
      </c>
      <c r="J1688" s="29">
        <v>0.4425</v>
      </c>
      <c r="K1688" s="29">
        <v>0.4425</v>
      </c>
      <c r="L1688" s="29" t="s">
        <v>1032</v>
      </c>
      <c r="M1688" s="29">
        <v>1</v>
      </c>
      <c r="N1688" s="29">
        <v>0.15</v>
      </c>
      <c r="O1688" s="29">
        <v>1</v>
      </c>
      <c r="P1688" s="29">
        <v>0.4425</v>
      </c>
      <c r="Q1688" s="29" t="s">
        <v>1033</v>
      </c>
    </row>
    <row r="1689" spans="1:17" x14ac:dyDescent="0.3">
      <c r="B1689" s="29">
        <v>2</v>
      </c>
      <c r="C1689" s="29" t="s">
        <v>1089</v>
      </c>
      <c r="D1689" s="29" t="s">
        <v>1099</v>
      </c>
      <c r="E1689" s="29">
        <v>150</v>
      </c>
      <c r="G1689" s="29" t="s">
        <v>1035</v>
      </c>
      <c r="H1689" s="29">
        <v>1</v>
      </c>
      <c r="I1689" s="29">
        <v>20.9</v>
      </c>
      <c r="J1689" s="29">
        <v>3.1349999999999998</v>
      </c>
      <c r="K1689" s="29">
        <v>3.1349999999999998</v>
      </c>
      <c r="L1689" s="29" t="s">
        <v>1032</v>
      </c>
      <c r="M1689" s="29">
        <v>1</v>
      </c>
      <c r="N1689" s="29">
        <v>0.15</v>
      </c>
      <c r="O1689" s="29">
        <v>1</v>
      </c>
      <c r="P1689" s="29">
        <v>3.1349999999999998</v>
      </c>
      <c r="Q1689" s="29" t="s">
        <v>1033</v>
      </c>
    </row>
    <row r="1690" spans="1:17" x14ac:dyDescent="0.3">
      <c r="A1690" s="29" t="s">
        <v>842</v>
      </c>
      <c r="B1690" s="29">
        <v>1</v>
      </c>
      <c r="C1690" s="29" t="s">
        <v>1050</v>
      </c>
      <c r="D1690" s="29" t="s">
        <v>1051</v>
      </c>
      <c r="E1690" s="29">
        <v>150</v>
      </c>
      <c r="G1690" s="29" t="s">
        <v>1035</v>
      </c>
      <c r="H1690" s="29">
        <v>1</v>
      </c>
      <c r="I1690" s="29">
        <v>2.95</v>
      </c>
      <c r="J1690" s="29">
        <v>0.4425</v>
      </c>
      <c r="K1690" s="29">
        <v>0.4425</v>
      </c>
      <c r="L1690" s="29" t="s">
        <v>1032</v>
      </c>
      <c r="M1690" s="29">
        <v>1</v>
      </c>
      <c r="N1690" s="29">
        <v>0.15</v>
      </c>
      <c r="O1690" s="29">
        <v>1</v>
      </c>
      <c r="P1690" s="29">
        <v>0.4425</v>
      </c>
      <c r="Q1690" s="29" t="s">
        <v>1033</v>
      </c>
    </row>
    <row r="1691" spans="1:17" x14ac:dyDescent="0.3">
      <c r="B1691" s="29">
        <v>2</v>
      </c>
      <c r="C1691" s="29" t="s">
        <v>1089</v>
      </c>
      <c r="D1691" s="29" t="s">
        <v>1099</v>
      </c>
      <c r="E1691" s="29">
        <v>150</v>
      </c>
      <c r="G1691" s="29" t="s">
        <v>1035</v>
      </c>
      <c r="H1691" s="29">
        <v>1</v>
      </c>
      <c r="I1691" s="29">
        <v>20.9</v>
      </c>
      <c r="J1691" s="29">
        <v>3.1349999999999998</v>
      </c>
      <c r="K1691" s="29">
        <v>3.1349999999999998</v>
      </c>
      <c r="L1691" s="29" t="s">
        <v>1032</v>
      </c>
      <c r="M1691" s="29">
        <v>1</v>
      </c>
      <c r="N1691" s="29">
        <v>0.15</v>
      </c>
      <c r="O1691" s="29">
        <v>1</v>
      </c>
      <c r="P1691" s="29">
        <v>3.1349999999999998</v>
      </c>
      <c r="Q1691" s="29" t="s">
        <v>1033</v>
      </c>
    </row>
    <row r="1692" spans="1:17" x14ac:dyDescent="0.3">
      <c r="A1692" s="29" t="s">
        <v>843</v>
      </c>
      <c r="B1692" s="29">
        <v>1</v>
      </c>
      <c r="C1692" s="29" t="s">
        <v>1050</v>
      </c>
      <c r="D1692" s="29" t="s">
        <v>1051</v>
      </c>
      <c r="E1692" s="29">
        <v>150</v>
      </c>
      <c r="G1692" s="29" t="s">
        <v>1035</v>
      </c>
      <c r="H1692" s="29">
        <v>1</v>
      </c>
      <c r="I1692" s="29">
        <v>2.95</v>
      </c>
      <c r="J1692" s="29">
        <v>0.4425</v>
      </c>
      <c r="K1692" s="29">
        <v>0.4425</v>
      </c>
      <c r="L1692" s="29" t="s">
        <v>1032</v>
      </c>
      <c r="M1692" s="29">
        <v>1</v>
      </c>
      <c r="N1692" s="29">
        <v>0.15</v>
      </c>
      <c r="O1692" s="29">
        <v>1</v>
      </c>
      <c r="P1692" s="29">
        <v>0.4425</v>
      </c>
      <c r="Q1692" s="29" t="s">
        <v>1033</v>
      </c>
    </row>
    <row r="1693" spans="1:17" x14ac:dyDescent="0.3">
      <c r="B1693" s="29">
        <v>2</v>
      </c>
      <c r="C1693" s="29" t="s">
        <v>1089</v>
      </c>
      <c r="D1693" s="29" t="s">
        <v>1099</v>
      </c>
      <c r="E1693" s="29">
        <v>150</v>
      </c>
      <c r="G1693" s="29" t="s">
        <v>1035</v>
      </c>
      <c r="H1693" s="29">
        <v>1</v>
      </c>
      <c r="I1693" s="29">
        <v>20.9</v>
      </c>
      <c r="J1693" s="29">
        <v>3.1349999999999998</v>
      </c>
      <c r="K1693" s="29">
        <v>3.1349999999999998</v>
      </c>
      <c r="L1693" s="29" t="s">
        <v>1032</v>
      </c>
      <c r="M1693" s="29">
        <v>1</v>
      </c>
      <c r="N1693" s="29">
        <v>0.15</v>
      </c>
      <c r="O1693" s="29">
        <v>1</v>
      </c>
      <c r="P1693" s="29">
        <v>3.1349999999999998</v>
      </c>
      <c r="Q1693" s="29" t="s">
        <v>1033</v>
      </c>
    </row>
    <row r="1694" spans="1:17" x14ac:dyDescent="0.3">
      <c r="A1694" s="29" t="s">
        <v>844</v>
      </c>
      <c r="B1694" s="29">
        <v>1</v>
      </c>
      <c r="C1694" s="29" t="s">
        <v>1050</v>
      </c>
      <c r="D1694" s="29" t="s">
        <v>1051</v>
      </c>
      <c r="E1694" s="29">
        <v>150</v>
      </c>
      <c r="G1694" s="29" t="s">
        <v>1035</v>
      </c>
      <c r="H1694" s="29">
        <v>1</v>
      </c>
      <c r="I1694" s="29">
        <v>2.95</v>
      </c>
      <c r="J1694" s="29">
        <v>0.4425</v>
      </c>
      <c r="K1694" s="29">
        <v>0.4425</v>
      </c>
      <c r="L1694" s="29" t="s">
        <v>1032</v>
      </c>
      <c r="M1694" s="29">
        <v>1</v>
      </c>
      <c r="N1694" s="29">
        <v>0.15</v>
      </c>
      <c r="O1694" s="29">
        <v>1</v>
      </c>
      <c r="P1694" s="29">
        <v>0.4425</v>
      </c>
      <c r="Q1694" s="29" t="s">
        <v>1033</v>
      </c>
    </row>
    <row r="1695" spans="1:17" x14ac:dyDescent="0.3">
      <c r="B1695" s="29">
        <v>2</v>
      </c>
      <c r="C1695" s="29" t="s">
        <v>1089</v>
      </c>
      <c r="D1695" s="29" t="s">
        <v>1099</v>
      </c>
      <c r="E1695" s="29">
        <v>250</v>
      </c>
      <c r="G1695" s="29" t="s">
        <v>1035</v>
      </c>
      <c r="H1695" s="29">
        <v>1</v>
      </c>
      <c r="I1695" s="29">
        <v>20.9</v>
      </c>
      <c r="J1695" s="29">
        <v>5.2249999999999996</v>
      </c>
      <c r="K1695" s="29">
        <v>5.2249999999999996</v>
      </c>
      <c r="L1695" s="29" t="s">
        <v>1032</v>
      </c>
      <c r="M1695" s="29">
        <v>1</v>
      </c>
      <c r="N1695" s="29">
        <v>0.25</v>
      </c>
      <c r="O1695" s="29">
        <v>1</v>
      </c>
      <c r="P1695" s="29">
        <v>5.2249999999999996</v>
      </c>
      <c r="Q1695" s="29" t="s">
        <v>1033</v>
      </c>
    </row>
    <row r="1696" spans="1:17" x14ac:dyDescent="0.3">
      <c r="A1696" s="29" t="s">
        <v>844</v>
      </c>
      <c r="B1696" s="29">
        <v>1</v>
      </c>
      <c r="C1696" s="29" t="s">
        <v>1050</v>
      </c>
      <c r="D1696" s="29" t="s">
        <v>1051</v>
      </c>
      <c r="E1696" s="29">
        <v>150</v>
      </c>
      <c r="G1696" s="29" t="s">
        <v>1035</v>
      </c>
      <c r="H1696" s="29">
        <v>1</v>
      </c>
      <c r="I1696" s="29">
        <v>2.95</v>
      </c>
      <c r="J1696" s="29">
        <v>0.4425</v>
      </c>
      <c r="K1696" s="29">
        <v>0.4425</v>
      </c>
      <c r="L1696" s="29" t="s">
        <v>1032</v>
      </c>
      <c r="M1696" s="29">
        <v>1</v>
      </c>
      <c r="N1696" s="29">
        <v>0.15</v>
      </c>
      <c r="O1696" s="29">
        <v>1</v>
      </c>
      <c r="P1696" s="29">
        <v>0.4425</v>
      </c>
      <c r="Q1696" s="29" t="s">
        <v>1033</v>
      </c>
    </row>
    <row r="1697" spans="1:17" x14ac:dyDescent="0.3">
      <c r="B1697" s="29">
        <v>2</v>
      </c>
      <c r="C1697" s="29" t="s">
        <v>1089</v>
      </c>
      <c r="D1697" s="29" t="s">
        <v>1099</v>
      </c>
      <c r="E1697" s="29">
        <v>250</v>
      </c>
      <c r="G1697" s="29" t="s">
        <v>1035</v>
      </c>
      <c r="H1697" s="29">
        <v>1</v>
      </c>
      <c r="I1697" s="29">
        <v>20.9</v>
      </c>
      <c r="J1697" s="29">
        <v>5.2249999999999996</v>
      </c>
      <c r="K1697" s="29">
        <v>5.2249999999999996</v>
      </c>
      <c r="L1697" s="29" t="s">
        <v>1032</v>
      </c>
      <c r="M1697" s="29">
        <v>1</v>
      </c>
      <c r="N1697" s="29">
        <v>0.25</v>
      </c>
      <c r="O1697" s="29">
        <v>1</v>
      </c>
      <c r="P1697" s="29">
        <v>5.2249999999999996</v>
      </c>
      <c r="Q1697" s="29" t="s">
        <v>1033</v>
      </c>
    </row>
    <row r="1698" spans="1:17" x14ac:dyDescent="0.3">
      <c r="A1698" s="29" t="s">
        <v>844</v>
      </c>
      <c r="B1698" s="29">
        <v>1</v>
      </c>
      <c r="C1698" s="29" t="s">
        <v>1050</v>
      </c>
      <c r="D1698" s="29" t="s">
        <v>1051</v>
      </c>
      <c r="E1698" s="29">
        <v>150</v>
      </c>
      <c r="G1698" s="29" t="s">
        <v>1035</v>
      </c>
      <c r="H1698" s="29">
        <v>1</v>
      </c>
      <c r="I1698" s="29">
        <v>2.95</v>
      </c>
      <c r="J1698" s="29">
        <v>0.4425</v>
      </c>
      <c r="K1698" s="29">
        <v>0.4425</v>
      </c>
      <c r="L1698" s="29" t="s">
        <v>1032</v>
      </c>
      <c r="M1698" s="29">
        <v>1</v>
      </c>
      <c r="N1698" s="29">
        <v>0.15</v>
      </c>
      <c r="O1698" s="29">
        <v>1</v>
      </c>
      <c r="P1698" s="29">
        <v>0.4425</v>
      </c>
      <c r="Q1698" s="29" t="s">
        <v>1033</v>
      </c>
    </row>
    <row r="1699" spans="1:17" x14ac:dyDescent="0.3">
      <c r="B1699" s="29">
        <v>2</v>
      </c>
      <c r="C1699" s="29" t="s">
        <v>1089</v>
      </c>
      <c r="D1699" s="29" t="s">
        <v>1099</v>
      </c>
      <c r="E1699" s="29">
        <v>250</v>
      </c>
      <c r="G1699" s="29" t="s">
        <v>1035</v>
      </c>
      <c r="H1699" s="29">
        <v>1</v>
      </c>
      <c r="I1699" s="29">
        <v>20.9</v>
      </c>
      <c r="J1699" s="29">
        <v>5.2249999999999996</v>
      </c>
      <c r="K1699" s="29">
        <v>5.2249999999999996</v>
      </c>
      <c r="L1699" s="29" t="s">
        <v>1032</v>
      </c>
      <c r="M1699" s="29">
        <v>1</v>
      </c>
      <c r="N1699" s="29">
        <v>0.25</v>
      </c>
      <c r="O1699" s="29">
        <v>1</v>
      </c>
      <c r="P1699" s="29">
        <v>5.2249999999999996</v>
      </c>
      <c r="Q1699" s="29" t="s">
        <v>1033</v>
      </c>
    </row>
    <row r="1700" spans="1:17" x14ac:dyDescent="0.3">
      <c r="A1700" s="29" t="s">
        <v>844</v>
      </c>
      <c r="B1700" s="29">
        <v>1</v>
      </c>
      <c r="C1700" s="29" t="s">
        <v>1050</v>
      </c>
      <c r="D1700" s="29" t="s">
        <v>1051</v>
      </c>
      <c r="E1700" s="29">
        <v>150</v>
      </c>
      <c r="G1700" s="29" t="s">
        <v>1035</v>
      </c>
      <c r="H1700" s="29">
        <v>1</v>
      </c>
      <c r="I1700" s="29">
        <v>2.95</v>
      </c>
      <c r="J1700" s="29">
        <v>0.4425</v>
      </c>
      <c r="K1700" s="29">
        <v>0.4425</v>
      </c>
      <c r="L1700" s="29" t="s">
        <v>1032</v>
      </c>
      <c r="M1700" s="29">
        <v>1</v>
      </c>
      <c r="N1700" s="29">
        <v>0.15</v>
      </c>
      <c r="O1700" s="29">
        <v>1</v>
      </c>
      <c r="P1700" s="29">
        <v>0.4425</v>
      </c>
      <c r="Q1700" s="29" t="s">
        <v>1033</v>
      </c>
    </row>
    <row r="1701" spans="1:17" x14ac:dyDescent="0.3">
      <c r="B1701" s="29">
        <v>2</v>
      </c>
      <c r="C1701" s="29" t="s">
        <v>1089</v>
      </c>
      <c r="D1701" s="29" t="s">
        <v>1099</v>
      </c>
      <c r="E1701" s="29">
        <v>250</v>
      </c>
      <c r="G1701" s="29" t="s">
        <v>1035</v>
      </c>
      <c r="H1701" s="29">
        <v>1</v>
      </c>
      <c r="I1701" s="29">
        <v>20.9</v>
      </c>
      <c r="J1701" s="29">
        <v>5.2249999999999996</v>
      </c>
      <c r="K1701" s="29">
        <v>5.2249999999999996</v>
      </c>
      <c r="L1701" s="29" t="s">
        <v>1032</v>
      </c>
      <c r="M1701" s="29">
        <v>1</v>
      </c>
      <c r="N1701" s="29">
        <v>0.25</v>
      </c>
      <c r="O1701" s="29">
        <v>1</v>
      </c>
      <c r="P1701" s="29">
        <v>5.2249999999999996</v>
      </c>
      <c r="Q1701" s="29" t="s">
        <v>1033</v>
      </c>
    </row>
    <row r="1702" spans="1:17" x14ac:dyDescent="0.3">
      <c r="A1702" s="29" t="s">
        <v>844</v>
      </c>
      <c r="B1702" s="29">
        <v>1</v>
      </c>
      <c r="C1702" s="29" t="s">
        <v>1050</v>
      </c>
      <c r="D1702" s="29" t="s">
        <v>1051</v>
      </c>
      <c r="E1702" s="29">
        <v>150</v>
      </c>
      <c r="G1702" s="29" t="s">
        <v>1035</v>
      </c>
      <c r="H1702" s="29">
        <v>1</v>
      </c>
      <c r="I1702" s="29">
        <v>2.95</v>
      </c>
      <c r="J1702" s="29">
        <v>0.4425</v>
      </c>
      <c r="K1702" s="29">
        <v>0.4425</v>
      </c>
      <c r="L1702" s="29" t="s">
        <v>1032</v>
      </c>
      <c r="M1702" s="29">
        <v>1</v>
      </c>
      <c r="N1702" s="29">
        <v>0.15</v>
      </c>
      <c r="O1702" s="29">
        <v>1</v>
      </c>
      <c r="P1702" s="29">
        <v>0.4425</v>
      </c>
      <c r="Q1702" s="29" t="s">
        <v>1033</v>
      </c>
    </row>
    <row r="1703" spans="1:17" x14ac:dyDescent="0.3">
      <c r="B1703" s="29">
        <v>2</v>
      </c>
      <c r="C1703" s="29" t="s">
        <v>1089</v>
      </c>
      <c r="D1703" s="29" t="s">
        <v>1099</v>
      </c>
      <c r="E1703" s="29">
        <v>250</v>
      </c>
      <c r="G1703" s="29" t="s">
        <v>1035</v>
      </c>
      <c r="H1703" s="29">
        <v>1</v>
      </c>
      <c r="I1703" s="29">
        <v>20.9</v>
      </c>
      <c r="J1703" s="29">
        <v>5.2249999999999996</v>
      </c>
      <c r="K1703" s="29">
        <v>5.2249999999999996</v>
      </c>
      <c r="L1703" s="29" t="s">
        <v>1032</v>
      </c>
      <c r="M1703" s="29">
        <v>1</v>
      </c>
      <c r="N1703" s="29">
        <v>0.25</v>
      </c>
      <c r="O1703" s="29">
        <v>1</v>
      </c>
      <c r="P1703" s="29">
        <v>5.2249999999999996</v>
      </c>
      <c r="Q1703" s="29" t="s">
        <v>1033</v>
      </c>
    </row>
    <row r="1704" spans="1:17" x14ac:dyDescent="0.3">
      <c r="A1704" s="29" t="s">
        <v>844</v>
      </c>
      <c r="B1704" s="29">
        <v>1</v>
      </c>
      <c r="C1704" s="29" t="s">
        <v>1050</v>
      </c>
      <c r="D1704" s="29" t="s">
        <v>1051</v>
      </c>
      <c r="E1704" s="29">
        <v>150</v>
      </c>
      <c r="G1704" s="29" t="s">
        <v>1035</v>
      </c>
      <c r="H1704" s="29">
        <v>1</v>
      </c>
      <c r="I1704" s="29">
        <v>2.95</v>
      </c>
      <c r="J1704" s="29">
        <v>0.4425</v>
      </c>
      <c r="K1704" s="29">
        <v>0.4425</v>
      </c>
      <c r="L1704" s="29" t="s">
        <v>1032</v>
      </c>
      <c r="M1704" s="29">
        <v>1</v>
      </c>
      <c r="N1704" s="29">
        <v>0.15</v>
      </c>
      <c r="O1704" s="29">
        <v>1</v>
      </c>
      <c r="P1704" s="29">
        <v>0.4425</v>
      </c>
      <c r="Q1704" s="29" t="s">
        <v>1033</v>
      </c>
    </row>
    <row r="1705" spans="1:17" x14ac:dyDescent="0.3">
      <c r="B1705" s="29">
        <v>2</v>
      </c>
      <c r="C1705" s="29" t="s">
        <v>1089</v>
      </c>
      <c r="D1705" s="29" t="s">
        <v>1099</v>
      </c>
      <c r="E1705" s="29">
        <v>250</v>
      </c>
      <c r="G1705" s="29" t="s">
        <v>1035</v>
      </c>
      <c r="H1705" s="29">
        <v>1</v>
      </c>
      <c r="I1705" s="29">
        <v>20.9</v>
      </c>
      <c r="J1705" s="29">
        <v>5.2249999999999996</v>
      </c>
      <c r="K1705" s="29">
        <v>5.2249999999999996</v>
      </c>
      <c r="L1705" s="29" t="s">
        <v>1032</v>
      </c>
      <c r="M1705" s="29">
        <v>1</v>
      </c>
      <c r="N1705" s="29">
        <v>0.25</v>
      </c>
      <c r="O1705" s="29">
        <v>1</v>
      </c>
      <c r="P1705" s="29">
        <v>5.2249999999999996</v>
      </c>
      <c r="Q1705" s="29" t="s">
        <v>1033</v>
      </c>
    </row>
    <row r="1706" spans="1:17" x14ac:dyDescent="0.3">
      <c r="A1706" s="29" t="s">
        <v>845</v>
      </c>
      <c r="B1706" s="29">
        <v>1</v>
      </c>
      <c r="C1706" s="29" t="s">
        <v>1050</v>
      </c>
      <c r="D1706" s="29" t="s">
        <v>1051</v>
      </c>
      <c r="E1706" s="29">
        <v>150</v>
      </c>
      <c r="G1706" s="29" t="s">
        <v>1035</v>
      </c>
      <c r="H1706" s="29">
        <v>1</v>
      </c>
      <c r="I1706" s="29">
        <v>2.95</v>
      </c>
      <c r="J1706" s="29">
        <v>0.4425</v>
      </c>
      <c r="K1706" s="29">
        <v>0.4425</v>
      </c>
      <c r="L1706" s="29" t="s">
        <v>1032</v>
      </c>
      <c r="M1706" s="29">
        <v>1</v>
      </c>
      <c r="N1706" s="29">
        <v>0.15</v>
      </c>
      <c r="O1706" s="29">
        <v>1</v>
      </c>
      <c r="P1706" s="29">
        <v>0.4425</v>
      </c>
      <c r="Q1706" s="29" t="s">
        <v>1033</v>
      </c>
    </row>
    <row r="1707" spans="1:17" x14ac:dyDescent="0.3">
      <c r="B1707" s="29">
        <v>2</v>
      </c>
      <c r="C1707" s="29" t="s">
        <v>1089</v>
      </c>
      <c r="D1707" s="29" t="s">
        <v>1099</v>
      </c>
      <c r="E1707" s="29">
        <v>250</v>
      </c>
      <c r="G1707" s="29" t="s">
        <v>1035</v>
      </c>
      <c r="H1707" s="29">
        <v>1</v>
      </c>
      <c r="I1707" s="29">
        <v>20.9</v>
      </c>
      <c r="J1707" s="29">
        <v>5.2249999999999996</v>
      </c>
      <c r="K1707" s="29">
        <v>5.2249999999999996</v>
      </c>
      <c r="L1707" s="29" t="s">
        <v>1032</v>
      </c>
      <c r="M1707" s="29">
        <v>1</v>
      </c>
      <c r="N1707" s="29">
        <v>0.25</v>
      </c>
      <c r="O1707" s="29">
        <v>1</v>
      </c>
      <c r="P1707" s="29">
        <v>5.2249999999999996</v>
      </c>
      <c r="Q1707" s="29" t="s">
        <v>1033</v>
      </c>
    </row>
    <row r="1708" spans="1:17" x14ac:dyDescent="0.3">
      <c r="A1708" s="29" t="s">
        <v>845</v>
      </c>
      <c r="B1708" s="29">
        <v>1</v>
      </c>
      <c r="C1708" s="29" t="s">
        <v>1050</v>
      </c>
      <c r="D1708" s="29" t="s">
        <v>1051</v>
      </c>
      <c r="E1708" s="29">
        <v>150</v>
      </c>
      <c r="G1708" s="29" t="s">
        <v>1035</v>
      </c>
      <c r="H1708" s="29">
        <v>1</v>
      </c>
      <c r="I1708" s="29">
        <v>2.95</v>
      </c>
      <c r="J1708" s="29">
        <v>0.4425</v>
      </c>
      <c r="K1708" s="29">
        <v>0.4425</v>
      </c>
      <c r="L1708" s="29" t="s">
        <v>1032</v>
      </c>
      <c r="M1708" s="29">
        <v>1</v>
      </c>
      <c r="N1708" s="29">
        <v>0.15</v>
      </c>
      <c r="O1708" s="29">
        <v>1</v>
      </c>
      <c r="P1708" s="29">
        <v>0.4425</v>
      </c>
      <c r="Q1708" s="29" t="s">
        <v>1033</v>
      </c>
    </row>
    <row r="1709" spans="1:17" x14ac:dyDescent="0.3">
      <c r="B1709" s="29">
        <v>2</v>
      </c>
      <c r="C1709" s="29" t="s">
        <v>1089</v>
      </c>
      <c r="D1709" s="29" t="s">
        <v>1099</v>
      </c>
      <c r="E1709" s="29">
        <v>250</v>
      </c>
      <c r="G1709" s="29" t="s">
        <v>1035</v>
      </c>
      <c r="H1709" s="29">
        <v>1</v>
      </c>
      <c r="I1709" s="29">
        <v>20.9</v>
      </c>
      <c r="J1709" s="29">
        <v>5.2249999999999996</v>
      </c>
      <c r="K1709" s="29">
        <v>5.2249999999999996</v>
      </c>
      <c r="L1709" s="29" t="s">
        <v>1032</v>
      </c>
      <c r="M1709" s="29">
        <v>1</v>
      </c>
      <c r="N1709" s="29">
        <v>0.25</v>
      </c>
      <c r="O1709" s="29">
        <v>1</v>
      </c>
      <c r="P1709" s="29">
        <v>5.2249999999999996</v>
      </c>
      <c r="Q1709" s="29" t="s">
        <v>1033</v>
      </c>
    </row>
    <row r="1710" spans="1:17" x14ac:dyDescent="0.3">
      <c r="A1710" s="29" t="s">
        <v>845</v>
      </c>
      <c r="B1710" s="29">
        <v>1</v>
      </c>
      <c r="C1710" s="29" t="s">
        <v>1050</v>
      </c>
      <c r="D1710" s="29" t="s">
        <v>1051</v>
      </c>
      <c r="E1710" s="29">
        <v>150</v>
      </c>
      <c r="G1710" s="29" t="s">
        <v>1035</v>
      </c>
      <c r="H1710" s="29">
        <v>1</v>
      </c>
      <c r="I1710" s="29">
        <v>2.95</v>
      </c>
      <c r="J1710" s="29">
        <v>0.4425</v>
      </c>
      <c r="K1710" s="29">
        <v>0.4425</v>
      </c>
      <c r="L1710" s="29" t="s">
        <v>1032</v>
      </c>
      <c r="M1710" s="29">
        <v>1</v>
      </c>
      <c r="N1710" s="29">
        <v>0.15</v>
      </c>
      <c r="O1710" s="29">
        <v>1</v>
      </c>
      <c r="P1710" s="29">
        <v>0.4425</v>
      </c>
      <c r="Q1710" s="29" t="s">
        <v>1033</v>
      </c>
    </row>
    <row r="1711" spans="1:17" x14ac:dyDescent="0.3">
      <c r="B1711" s="29">
        <v>2</v>
      </c>
      <c r="C1711" s="29" t="s">
        <v>1089</v>
      </c>
      <c r="D1711" s="29" t="s">
        <v>1099</v>
      </c>
      <c r="E1711" s="29">
        <v>250</v>
      </c>
      <c r="G1711" s="29" t="s">
        <v>1035</v>
      </c>
      <c r="H1711" s="29">
        <v>1</v>
      </c>
      <c r="I1711" s="29">
        <v>20.9</v>
      </c>
      <c r="J1711" s="29">
        <v>5.2249999999999996</v>
      </c>
      <c r="K1711" s="29">
        <v>5.2249999999999996</v>
      </c>
      <c r="L1711" s="29" t="s">
        <v>1032</v>
      </c>
      <c r="M1711" s="29">
        <v>1</v>
      </c>
      <c r="N1711" s="29">
        <v>0.25</v>
      </c>
      <c r="O1711" s="29">
        <v>1</v>
      </c>
      <c r="P1711" s="29">
        <v>5.2249999999999996</v>
      </c>
      <c r="Q1711" s="29" t="s">
        <v>1033</v>
      </c>
    </row>
    <row r="1712" spans="1:17" x14ac:dyDescent="0.3">
      <c r="A1712" s="29" t="s">
        <v>845</v>
      </c>
      <c r="B1712" s="29">
        <v>1</v>
      </c>
      <c r="C1712" s="29" t="s">
        <v>1050</v>
      </c>
      <c r="D1712" s="29" t="s">
        <v>1051</v>
      </c>
      <c r="E1712" s="29">
        <v>150</v>
      </c>
      <c r="G1712" s="29" t="s">
        <v>1035</v>
      </c>
      <c r="H1712" s="29">
        <v>1</v>
      </c>
      <c r="I1712" s="29">
        <v>2.95</v>
      </c>
      <c r="J1712" s="29">
        <v>0.4425</v>
      </c>
      <c r="K1712" s="29">
        <v>0.4425</v>
      </c>
      <c r="L1712" s="29" t="s">
        <v>1032</v>
      </c>
      <c r="M1712" s="29">
        <v>1</v>
      </c>
      <c r="N1712" s="29">
        <v>0.15</v>
      </c>
      <c r="O1712" s="29">
        <v>1</v>
      </c>
      <c r="P1712" s="29">
        <v>0.4425</v>
      </c>
      <c r="Q1712" s="29" t="s">
        <v>1033</v>
      </c>
    </row>
    <row r="1713" spans="1:17" x14ac:dyDescent="0.3">
      <c r="B1713" s="29">
        <v>2</v>
      </c>
      <c r="C1713" s="29" t="s">
        <v>1089</v>
      </c>
      <c r="D1713" s="29" t="s">
        <v>1099</v>
      </c>
      <c r="E1713" s="29">
        <v>250</v>
      </c>
      <c r="G1713" s="29" t="s">
        <v>1035</v>
      </c>
      <c r="H1713" s="29">
        <v>1</v>
      </c>
      <c r="I1713" s="29">
        <v>20.9</v>
      </c>
      <c r="J1713" s="29">
        <v>5.2249999999999996</v>
      </c>
      <c r="K1713" s="29">
        <v>5.2249999999999996</v>
      </c>
      <c r="L1713" s="29" t="s">
        <v>1032</v>
      </c>
      <c r="M1713" s="29">
        <v>1</v>
      </c>
      <c r="N1713" s="29">
        <v>0.25</v>
      </c>
      <c r="O1713" s="29">
        <v>1</v>
      </c>
      <c r="P1713" s="29">
        <v>5.2249999999999996</v>
      </c>
      <c r="Q1713" s="29" t="s">
        <v>1033</v>
      </c>
    </row>
    <row r="1714" spans="1:17" x14ac:dyDescent="0.3">
      <c r="A1714" s="29" t="s">
        <v>845</v>
      </c>
      <c r="B1714" s="29">
        <v>1</v>
      </c>
      <c r="C1714" s="29" t="s">
        <v>1050</v>
      </c>
      <c r="D1714" s="29" t="s">
        <v>1051</v>
      </c>
      <c r="E1714" s="29">
        <v>150</v>
      </c>
      <c r="G1714" s="29" t="s">
        <v>1035</v>
      </c>
      <c r="H1714" s="29">
        <v>1</v>
      </c>
      <c r="I1714" s="29">
        <v>2.95</v>
      </c>
      <c r="J1714" s="29">
        <v>0.4425</v>
      </c>
      <c r="K1714" s="29">
        <v>0.4425</v>
      </c>
      <c r="L1714" s="29" t="s">
        <v>1032</v>
      </c>
      <c r="M1714" s="29">
        <v>1</v>
      </c>
      <c r="N1714" s="29">
        <v>0.15</v>
      </c>
      <c r="O1714" s="29">
        <v>1</v>
      </c>
      <c r="P1714" s="29">
        <v>0.4425</v>
      </c>
      <c r="Q1714" s="29" t="s">
        <v>1033</v>
      </c>
    </row>
    <row r="1715" spans="1:17" x14ac:dyDescent="0.3">
      <c r="B1715" s="29">
        <v>2</v>
      </c>
      <c r="C1715" s="29" t="s">
        <v>1089</v>
      </c>
      <c r="D1715" s="29" t="s">
        <v>1099</v>
      </c>
      <c r="E1715" s="29">
        <v>250</v>
      </c>
      <c r="G1715" s="29" t="s">
        <v>1035</v>
      </c>
      <c r="H1715" s="29">
        <v>1</v>
      </c>
      <c r="I1715" s="29">
        <v>20.9</v>
      </c>
      <c r="J1715" s="29">
        <v>5.2249999999999996</v>
      </c>
      <c r="K1715" s="29">
        <v>5.2249999999999996</v>
      </c>
      <c r="L1715" s="29" t="s">
        <v>1032</v>
      </c>
      <c r="M1715" s="29">
        <v>1</v>
      </c>
      <c r="N1715" s="29">
        <v>0.25</v>
      </c>
      <c r="O1715" s="29">
        <v>1</v>
      </c>
      <c r="P1715" s="29">
        <v>5.2249999999999996</v>
      </c>
      <c r="Q1715" s="29" t="s">
        <v>1033</v>
      </c>
    </row>
    <row r="1716" spans="1:17" x14ac:dyDescent="0.3">
      <c r="A1716" s="29" t="s">
        <v>845</v>
      </c>
      <c r="B1716" s="29">
        <v>1</v>
      </c>
      <c r="C1716" s="29" t="s">
        <v>1050</v>
      </c>
      <c r="D1716" s="29" t="s">
        <v>1051</v>
      </c>
      <c r="E1716" s="29">
        <v>150</v>
      </c>
      <c r="G1716" s="29" t="s">
        <v>1035</v>
      </c>
      <c r="H1716" s="29">
        <v>1</v>
      </c>
      <c r="I1716" s="29">
        <v>2.95</v>
      </c>
      <c r="J1716" s="29">
        <v>0.4425</v>
      </c>
      <c r="K1716" s="29">
        <v>0.4425</v>
      </c>
      <c r="L1716" s="29" t="s">
        <v>1032</v>
      </c>
      <c r="M1716" s="29">
        <v>1</v>
      </c>
      <c r="N1716" s="29">
        <v>0.15</v>
      </c>
      <c r="O1716" s="29">
        <v>1</v>
      </c>
      <c r="P1716" s="29">
        <v>0.4425</v>
      </c>
      <c r="Q1716" s="29" t="s">
        <v>1033</v>
      </c>
    </row>
    <row r="1717" spans="1:17" x14ac:dyDescent="0.3">
      <c r="B1717" s="29">
        <v>2</v>
      </c>
      <c r="C1717" s="29" t="s">
        <v>1089</v>
      </c>
      <c r="D1717" s="29" t="s">
        <v>1099</v>
      </c>
      <c r="E1717" s="29">
        <v>250</v>
      </c>
      <c r="G1717" s="29" t="s">
        <v>1035</v>
      </c>
      <c r="H1717" s="29">
        <v>1</v>
      </c>
      <c r="I1717" s="29">
        <v>20.9</v>
      </c>
      <c r="J1717" s="29">
        <v>5.2249999999999996</v>
      </c>
      <c r="K1717" s="29">
        <v>5.2249999999999996</v>
      </c>
      <c r="L1717" s="29" t="s">
        <v>1032</v>
      </c>
      <c r="M1717" s="29">
        <v>1</v>
      </c>
      <c r="N1717" s="29">
        <v>0.25</v>
      </c>
      <c r="O1717" s="29">
        <v>1</v>
      </c>
      <c r="P1717" s="29">
        <v>5.2249999999999996</v>
      </c>
      <c r="Q1717" s="29" t="s">
        <v>1033</v>
      </c>
    </row>
    <row r="1718" spans="1:17" x14ac:dyDescent="0.3">
      <c r="A1718" s="29" t="s">
        <v>846</v>
      </c>
      <c r="B1718" s="29">
        <v>1</v>
      </c>
      <c r="C1718" s="29" t="s">
        <v>1050</v>
      </c>
      <c r="D1718" s="29" t="s">
        <v>1051</v>
      </c>
      <c r="E1718" s="29">
        <v>150</v>
      </c>
      <c r="G1718" s="29" t="s">
        <v>1035</v>
      </c>
      <c r="H1718" s="29">
        <v>1</v>
      </c>
      <c r="I1718" s="29">
        <v>2.95</v>
      </c>
      <c r="J1718" s="29">
        <v>0.4425</v>
      </c>
      <c r="K1718" s="29">
        <v>0.4425</v>
      </c>
      <c r="L1718" s="29" t="s">
        <v>1032</v>
      </c>
      <c r="M1718" s="29">
        <v>1</v>
      </c>
      <c r="N1718" s="29">
        <v>0.15</v>
      </c>
      <c r="O1718" s="29">
        <v>1</v>
      </c>
      <c r="P1718" s="29">
        <v>0.4425</v>
      </c>
      <c r="Q1718" s="29" t="s">
        <v>1033</v>
      </c>
    </row>
    <row r="1719" spans="1:17" x14ac:dyDescent="0.3">
      <c r="B1719" s="29">
        <v>2</v>
      </c>
      <c r="C1719" s="29" t="s">
        <v>1089</v>
      </c>
      <c r="D1719" s="29" t="s">
        <v>1099</v>
      </c>
      <c r="E1719" s="29">
        <v>250</v>
      </c>
      <c r="G1719" s="29" t="s">
        <v>1035</v>
      </c>
      <c r="H1719" s="29">
        <v>1</v>
      </c>
      <c r="I1719" s="29">
        <v>20.9</v>
      </c>
      <c r="J1719" s="29">
        <v>5.2249999999999996</v>
      </c>
      <c r="K1719" s="29">
        <v>5.2249999999999996</v>
      </c>
      <c r="L1719" s="29" t="s">
        <v>1032</v>
      </c>
      <c r="M1719" s="29">
        <v>1</v>
      </c>
      <c r="N1719" s="29">
        <v>0.25</v>
      </c>
      <c r="O1719" s="29">
        <v>1</v>
      </c>
      <c r="P1719" s="29">
        <v>5.2249999999999996</v>
      </c>
      <c r="Q1719" s="29" t="s">
        <v>1033</v>
      </c>
    </row>
    <row r="1720" spans="1:17" x14ac:dyDescent="0.3">
      <c r="A1720" s="29" t="s">
        <v>846</v>
      </c>
      <c r="B1720" s="29">
        <v>1</v>
      </c>
      <c r="C1720" s="29" t="s">
        <v>1050</v>
      </c>
      <c r="D1720" s="29" t="s">
        <v>1051</v>
      </c>
      <c r="E1720" s="29">
        <v>150</v>
      </c>
      <c r="G1720" s="29" t="s">
        <v>1035</v>
      </c>
      <c r="H1720" s="29">
        <v>1</v>
      </c>
      <c r="I1720" s="29">
        <v>2.95</v>
      </c>
      <c r="J1720" s="29">
        <v>0.4425</v>
      </c>
      <c r="K1720" s="29">
        <v>0.4425</v>
      </c>
      <c r="L1720" s="29" t="s">
        <v>1032</v>
      </c>
      <c r="M1720" s="29">
        <v>1</v>
      </c>
      <c r="N1720" s="29">
        <v>0.15</v>
      </c>
      <c r="O1720" s="29">
        <v>1</v>
      </c>
      <c r="P1720" s="29">
        <v>0.4425</v>
      </c>
      <c r="Q1720" s="29" t="s">
        <v>1033</v>
      </c>
    </row>
    <row r="1721" spans="1:17" x14ac:dyDescent="0.3">
      <c r="B1721" s="29">
        <v>2</v>
      </c>
      <c r="C1721" s="29" t="s">
        <v>1089</v>
      </c>
      <c r="D1721" s="29" t="s">
        <v>1099</v>
      </c>
      <c r="E1721" s="29">
        <v>250</v>
      </c>
      <c r="G1721" s="29" t="s">
        <v>1035</v>
      </c>
      <c r="H1721" s="29">
        <v>1</v>
      </c>
      <c r="I1721" s="29">
        <v>20.9</v>
      </c>
      <c r="J1721" s="29">
        <v>5.2249999999999996</v>
      </c>
      <c r="K1721" s="29">
        <v>5.2249999999999996</v>
      </c>
      <c r="L1721" s="29" t="s">
        <v>1032</v>
      </c>
      <c r="M1721" s="29">
        <v>1</v>
      </c>
      <c r="N1721" s="29">
        <v>0.25</v>
      </c>
      <c r="O1721" s="29">
        <v>1</v>
      </c>
      <c r="P1721" s="29">
        <v>5.2249999999999996</v>
      </c>
      <c r="Q1721" s="29" t="s">
        <v>1033</v>
      </c>
    </row>
    <row r="1722" spans="1:17" x14ac:dyDescent="0.3">
      <c r="A1722" s="29" t="s">
        <v>846</v>
      </c>
      <c r="B1722" s="29">
        <v>1</v>
      </c>
      <c r="C1722" s="29" t="s">
        <v>1050</v>
      </c>
      <c r="D1722" s="29" t="s">
        <v>1051</v>
      </c>
      <c r="E1722" s="29">
        <v>150</v>
      </c>
      <c r="G1722" s="29" t="s">
        <v>1035</v>
      </c>
      <c r="H1722" s="29">
        <v>1</v>
      </c>
      <c r="I1722" s="29">
        <v>2.95</v>
      </c>
      <c r="J1722" s="29">
        <v>0.4425</v>
      </c>
      <c r="K1722" s="29">
        <v>0.4425</v>
      </c>
      <c r="L1722" s="29" t="s">
        <v>1032</v>
      </c>
      <c r="M1722" s="29">
        <v>1</v>
      </c>
      <c r="N1722" s="29">
        <v>0.15</v>
      </c>
      <c r="O1722" s="29">
        <v>1</v>
      </c>
      <c r="P1722" s="29">
        <v>0.4425</v>
      </c>
      <c r="Q1722" s="29" t="s">
        <v>1033</v>
      </c>
    </row>
    <row r="1723" spans="1:17" x14ac:dyDescent="0.3">
      <c r="B1723" s="29">
        <v>2</v>
      </c>
      <c r="C1723" s="29" t="s">
        <v>1089</v>
      </c>
      <c r="D1723" s="29" t="s">
        <v>1099</v>
      </c>
      <c r="E1723" s="29">
        <v>250</v>
      </c>
      <c r="G1723" s="29" t="s">
        <v>1035</v>
      </c>
      <c r="H1723" s="29">
        <v>1</v>
      </c>
      <c r="I1723" s="29">
        <v>20.9</v>
      </c>
      <c r="J1723" s="29">
        <v>5.2249999999999996</v>
      </c>
      <c r="K1723" s="29">
        <v>5.2249999999999996</v>
      </c>
      <c r="L1723" s="29" t="s">
        <v>1032</v>
      </c>
      <c r="M1723" s="29">
        <v>1</v>
      </c>
      <c r="N1723" s="29">
        <v>0.25</v>
      </c>
      <c r="O1723" s="29">
        <v>1</v>
      </c>
      <c r="P1723" s="29">
        <v>5.2249999999999996</v>
      </c>
      <c r="Q1723" s="29" t="s">
        <v>1033</v>
      </c>
    </row>
    <row r="1724" spans="1:17" x14ac:dyDescent="0.3">
      <c r="A1724" s="29" t="s">
        <v>846</v>
      </c>
      <c r="B1724" s="29">
        <v>1</v>
      </c>
      <c r="C1724" s="29" t="s">
        <v>1050</v>
      </c>
      <c r="D1724" s="29" t="s">
        <v>1051</v>
      </c>
      <c r="E1724" s="29">
        <v>150</v>
      </c>
      <c r="G1724" s="29" t="s">
        <v>1035</v>
      </c>
      <c r="H1724" s="29">
        <v>1</v>
      </c>
      <c r="I1724" s="29">
        <v>2.95</v>
      </c>
      <c r="J1724" s="29">
        <v>0.4425</v>
      </c>
      <c r="K1724" s="29">
        <v>0.4425</v>
      </c>
      <c r="L1724" s="29" t="s">
        <v>1032</v>
      </c>
      <c r="M1724" s="29">
        <v>1</v>
      </c>
      <c r="N1724" s="29">
        <v>0.15</v>
      </c>
      <c r="O1724" s="29">
        <v>1</v>
      </c>
      <c r="P1724" s="29">
        <v>0.4425</v>
      </c>
      <c r="Q1724" s="29" t="s">
        <v>1033</v>
      </c>
    </row>
    <row r="1725" spans="1:17" x14ac:dyDescent="0.3">
      <c r="B1725" s="29">
        <v>2</v>
      </c>
      <c r="C1725" s="29" t="s">
        <v>1089</v>
      </c>
      <c r="D1725" s="29" t="s">
        <v>1099</v>
      </c>
      <c r="E1725" s="29">
        <v>250</v>
      </c>
      <c r="G1725" s="29" t="s">
        <v>1035</v>
      </c>
      <c r="H1725" s="29">
        <v>1</v>
      </c>
      <c r="I1725" s="29">
        <v>20.9</v>
      </c>
      <c r="J1725" s="29">
        <v>5.2249999999999996</v>
      </c>
      <c r="K1725" s="29">
        <v>5.2249999999999996</v>
      </c>
      <c r="L1725" s="29" t="s">
        <v>1032</v>
      </c>
      <c r="M1725" s="29">
        <v>1</v>
      </c>
      <c r="N1725" s="29">
        <v>0.25</v>
      </c>
      <c r="O1725" s="29">
        <v>1</v>
      </c>
      <c r="P1725" s="29">
        <v>5.2249999999999996</v>
      </c>
      <c r="Q1725" s="29" t="s">
        <v>1033</v>
      </c>
    </row>
    <row r="1726" spans="1:17" x14ac:dyDescent="0.3">
      <c r="A1726" s="29" t="s">
        <v>846</v>
      </c>
      <c r="B1726" s="29">
        <v>1</v>
      </c>
      <c r="C1726" s="29" t="s">
        <v>1050</v>
      </c>
      <c r="D1726" s="29" t="s">
        <v>1051</v>
      </c>
      <c r="E1726" s="29">
        <v>150</v>
      </c>
      <c r="G1726" s="29" t="s">
        <v>1035</v>
      </c>
      <c r="H1726" s="29">
        <v>1</v>
      </c>
      <c r="I1726" s="29">
        <v>2.95</v>
      </c>
      <c r="J1726" s="29">
        <v>0.4425</v>
      </c>
      <c r="K1726" s="29">
        <v>0.4425</v>
      </c>
      <c r="L1726" s="29" t="s">
        <v>1032</v>
      </c>
      <c r="M1726" s="29">
        <v>1</v>
      </c>
      <c r="N1726" s="29">
        <v>0.15</v>
      </c>
      <c r="O1726" s="29">
        <v>1</v>
      </c>
      <c r="P1726" s="29">
        <v>0.4425</v>
      </c>
      <c r="Q1726" s="29" t="s">
        <v>1033</v>
      </c>
    </row>
    <row r="1727" spans="1:17" x14ac:dyDescent="0.3">
      <c r="B1727" s="29">
        <v>2</v>
      </c>
      <c r="C1727" s="29" t="s">
        <v>1089</v>
      </c>
      <c r="D1727" s="29" t="s">
        <v>1099</v>
      </c>
      <c r="E1727" s="29">
        <v>250</v>
      </c>
      <c r="G1727" s="29" t="s">
        <v>1035</v>
      </c>
      <c r="H1727" s="29">
        <v>1</v>
      </c>
      <c r="I1727" s="29">
        <v>20.9</v>
      </c>
      <c r="J1727" s="29">
        <v>5.2249999999999996</v>
      </c>
      <c r="K1727" s="29">
        <v>5.2249999999999996</v>
      </c>
      <c r="L1727" s="29" t="s">
        <v>1032</v>
      </c>
      <c r="M1727" s="29">
        <v>1</v>
      </c>
      <c r="N1727" s="29">
        <v>0.25</v>
      </c>
      <c r="O1727" s="29">
        <v>1</v>
      </c>
      <c r="P1727" s="29">
        <v>5.2249999999999996</v>
      </c>
      <c r="Q1727" s="29" t="s">
        <v>1033</v>
      </c>
    </row>
    <row r="1728" spans="1:17" x14ac:dyDescent="0.3">
      <c r="A1728" s="29" t="s">
        <v>846</v>
      </c>
      <c r="B1728" s="29">
        <v>1</v>
      </c>
      <c r="C1728" s="29" t="s">
        <v>1050</v>
      </c>
      <c r="D1728" s="29" t="s">
        <v>1051</v>
      </c>
      <c r="E1728" s="29">
        <v>150</v>
      </c>
      <c r="G1728" s="29" t="s">
        <v>1035</v>
      </c>
      <c r="H1728" s="29">
        <v>1</v>
      </c>
      <c r="I1728" s="29">
        <v>2.95</v>
      </c>
      <c r="J1728" s="29">
        <v>0.4425</v>
      </c>
      <c r="K1728" s="29">
        <v>0.4425</v>
      </c>
      <c r="L1728" s="29" t="s">
        <v>1032</v>
      </c>
      <c r="M1728" s="29">
        <v>1</v>
      </c>
      <c r="N1728" s="29">
        <v>0.15</v>
      </c>
      <c r="O1728" s="29">
        <v>1</v>
      </c>
      <c r="P1728" s="29">
        <v>0.4425</v>
      </c>
      <c r="Q1728" s="29" t="s">
        <v>1033</v>
      </c>
    </row>
    <row r="1729" spans="1:17" x14ac:dyDescent="0.3">
      <c r="B1729" s="29">
        <v>2</v>
      </c>
      <c r="C1729" s="29" t="s">
        <v>1089</v>
      </c>
      <c r="D1729" s="29" t="s">
        <v>1099</v>
      </c>
      <c r="E1729" s="29">
        <v>250</v>
      </c>
      <c r="G1729" s="29" t="s">
        <v>1035</v>
      </c>
      <c r="H1729" s="29">
        <v>1</v>
      </c>
      <c r="I1729" s="29">
        <v>20.9</v>
      </c>
      <c r="J1729" s="29">
        <v>5.2249999999999996</v>
      </c>
      <c r="K1729" s="29">
        <v>5.2249999999999996</v>
      </c>
      <c r="L1729" s="29" t="s">
        <v>1032</v>
      </c>
      <c r="M1729" s="29">
        <v>1</v>
      </c>
      <c r="N1729" s="29">
        <v>0.25</v>
      </c>
      <c r="O1729" s="29">
        <v>1</v>
      </c>
      <c r="P1729" s="29">
        <v>5.2249999999999996</v>
      </c>
      <c r="Q1729" s="29" t="s">
        <v>1033</v>
      </c>
    </row>
    <row r="1730" spans="1:17" x14ac:dyDescent="0.3">
      <c r="A1730" s="29" t="s">
        <v>847</v>
      </c>
      <c r="B1730" s="29">
        <v>1</v>
      </c>
      <c r="C1730" s="29" t="s">
        <v>1050</v>
      </c>
      <c r="D1730" s="29" t="s">
        <v>1051</v>
      </c>
      <c r="E1730" s="29">
        <v>150</v>
      </c>
      <c r="G1730" s="29" t="s">
        <v>1031</v>
      </c>
      <c r="H1730" s="29">
        <v>1</v>
      </c>
      <c r="I1730" s="29">
        <v>2.95</v>
      </c>
      <c r="J1730" s="29">
        <v>0.4425</v>
      </c>
      <c r="K1730" s="29">
        <v>0.4425</v>
      </c>
      <c r="L1730" s="29" t="s">
        <v>1032</v>
      </c>
      <c r="M1730" s="29">
        <v>1</v>
      </c>
      <c r="N1730" s="29">
        <v>0.15</v>
      </c>
      <c r="O1730" s="29">
        <v>1</v>
      </c>
      <c r="P1730" s="29">
        <v>0.4425</v>
      </c>
      <c r="Q1730" s="29" t="s">
        <v>1033</v>
      </c>
    </row>
    <row r="1731" spans="1:17" x14ac:dyDescent="0.3">
      <c r="B1731" s="29">
        <v>2</v>
      </c>
      <c r="C1731" s="29" t="s">
        <v>1089</v>
      </c>
      <c r="D1731" s="29" t="s">
        <v>1099</v>
      </c>
      <c r="E1731" s="29">
        <v>250</v>
      </c>
      <c r="G1731" s="29" t="s">
        <v>1031</v>
      </c>
      <c r="H1731" s="29">
        <v>1</v>
      </c>
      <c r="I1731" s="29">
        <v>20.9</v>
      </c>
      <c r="J1731" s="29">
        <v>5.2249999999999996</v>
      </c>
      <c r="K1731" s="29">
        <v>5.2249999999999996</v>
      </c>
      <c r="L1731" s="29" t="s">
        <v>1032</v>
      </c>
      <c r="M1731" s="29">
        <v>1</v>
      </c>
      <c r="N1731" s="29">
        <v>0.25</v>
      </c>
      <c r="O1731" s="29">
        <v>1</v>
      </c>
      <c r="P1731" s="29">
        <v>5.2249999999999996</v>
      </c>
      <c r="Q1731" s="29" t="s">
        <v>1033</v>
      </c>
    </row>
    <row r="1732" spans="1:17" x14ac:dyDescent="0.3">
      <c r="A1732" s="29" t="s">
        <v>848</v>
      </c>
      <c r="B1732" s="29">
        <v>1</v>
      </c>
      <c r="C1732" s="29" t="s">
        <v>1050</v>
      </c>
      <c r="D1732" s="29" t="s">
        <v>1051</v>
      </c>
      <c r="E1732" s="29">
        <v>150</v>
      </c>
      <c r="G1732" s="29" t="s">
        <v>1102</v>
      </c>
      <c r="H1732" s="29">
        <v>1</v>
      </c>
      <c r="I1732" s="29">
        <v>2.95</v>
      </c>
      <c r="J1732" s="29">
        <v>0.4425</v>
      </c>
      <c r="K1732" s="29">
        <v>0.4425</v>
      </c>
      <c r="L1732" s="29" t="s">
        <v>1032</v>
      </c>
      <c r="M1732" s="29">
        <v>1</v>
      </c>
      <c r="N1732" s="29">
        <v>0.15</v>
      </c>
      <c r="O1732" s="29">
        <v>1</v>
      </c>
      <c r="P1732" s="29">
        <v>0.4425</v>
      </c>
      <c r="Q1732" s="29" t="s">
        <v>1033</v>
      </c>
    </row>
    <row r="1733" spans="1:17" x14ac:dyDescent="0.3">
      <c r="B1733" s="29">
        <v>2</v>
      </c>
      <c r="C1733" s="29" t="s">
        <v>1089</v>
      </c>
      <c r="D1733" s="29" t="s">
        <v>1099</v>
      </c>
      <c r="E1733" s="29">
        <v>250</v>
      </c>
      <c r="G1733" s="29" t="s">
        <v>1102</v>
      </c>
      <c r="H1733" s="29">
        <v>1</v>
      </c>
      <c r="I1733" s="29">
        <v>20.9</v>
      </c>
      <c r="J1733" s="29">
        <v>5.2249999999999996</v>
      </c>
      <c r="K1733" s="29">
        <v>5.2249999999999996</v>
      </c>
      <c r="L1733" s="29" t="s">
        <v>1032</v>
      </c>
      <c r="M1733" s="29">
        <v>1</v>
      </c>
      <c r="N1733" s="29">
        <v>0.25</v>
      </c>
      <c r="O1733" s="29">
        <v>1</v>
      </c>
      <c r="P1733" s="29">
        <v>5.2249999999999996</v>
      </c>
      <c r="Q1733" s="29" t="s">
        <v>1033</v>
      </c>
    </row>
    <row r="1734" spans="1:17" x14ac:dyDescent="0.3">
      <c r="A1734" s="29" t="s">
        <v>849</v>
      </c>
      <c r="B1734" s="29">
        <v>1</v>
      </c>
      <c r="C1734" s="29" t="s">
        <v>1050</v>
      </c>
      <c r="D1734" s="29" t="s">
        <v>1051</v>
      </c>
      <c r="E1734" s="29">
        <v>150</v>
      </c>
      <c r="G1734" s="29" t="s">
        <v>1031</v>
      </c>
      <c r="H1734" s="29">
        <v>1</v>
      </c>
      <c r="I1734" s="29">
        <v>2.95</v>
      </c>
      <c r="J1734" s="29">
        <v>0.4425</v>
      </c>
      <c r="K1734" s="29">
        <v>0.4425</v>
      </c>
      <c r="L1734" s="29" t="s">
        <v>1032</v>
      </c>
      <c r="M1734" s="29">
        <v>1</v>
      </c>
      <c r="N1734" s="29">
        <v>0.15</v>
      </c>
      <c r="O1734" s="29">
        <v>1</v>
      </c>
      <c r="P1734" s="29">
        <v>0.4425</v>
      </c>
      <c r="Q1734" s="29" t="s">
        <v>1033</v>
      </c>
    </row>
    <row r="1735" spans="1:17" x14ac:dyDescent="0.3">
      <c r="B1735" s="29">
        <v>2</v>
      </c>
      <c r="C1735" s="29" t="s">
        <v>1089</v>
      </c>
      <c r="D1735" s="29" t="s">
        <v>1099</v>
      </c>
      <c r="E1735" s="29">
        <v>300</v>
      </c>
      <c r="G1735" s="29" t="s">
        <v>1031</v>
      </c>
      <c r="H1735" s="29">
        <v>1</v>
      </c>
      <c r="I1735" s="29">
        <v>20.9</v>
      </c>
      <c r="J1735" s="29">
        <v>6.27</v>
      </c>
      <c r="K1735" s="29">
        <v>6.27</v>
      </c>
      <c r="L1735" s="29" t="s">
        <v>1032</v>
      </c>
      <c r="M1735" s="29">
        <v>1</v>
      </c>
      <c r="N1735" s="29">
        <v>0.3</v>
      </c>
      <c r="O1735" s="29">
        <v>1</v>
      </c>
      <c r="P1735" s="29">
        <v>6.27</v>
      </c>
      <c r="Q1735" s="29" t="s">
        <v>1033</v>
      </c>
    </row>
    <row r="1736" spans="1:17" x14ac:dyDescent="0.3">
      <c r="A1736" s="29" t="s">
        <v>850</v>
      </c>
      <c r="B1736" s="29">
        <v>1</v>
      </c>
      <c r="C1736" s="29" t="s">
        <v>1050</v>
      </c>
      <c r="D1736" s="29" t="s">
        <v>1051</v>
      </c>
      <c r="E1736" s="29">
        <v>150</v>
      </c>
      <c r="G1736" s="29" t="s">
        <v>1035</v>
      </c>
      <c r="H1736" s="29">
        <v>1</v>
      </c>
      <c r="I1736" s="29">
        <v>2.95</v>
      </c>
      <c r="J1736" s="29">
        <v>0.4425</v>
      </c>
      <c r="K1736" s="29">
        <v>0.4425</v>
      </c>
      <c r="L1736" s="29" t="s">
        <v>1032</v>
      </c>
      <c r="M1736" s="29">
        <v>1</v>
      </c>
      <c r="N1736" s="29">
        <v>0.15</v>
      </c>
      <c r="O1736" s="29">
        <v>1</v>
      </c>
      <c r="P1736" s="29">
        <v>0.4425</v>
      </c>
      <c r="Q1736" s="29" t="s">
        <v>1033</v>
      </c>
    </row>
    <row r="1737" spans="1:17" x14ac:dyDescent="0.3">
      <c r="B1737" s="29">
        <v>2</v>
      </c>
      <c r="C1737" s="29" t="s">
        <v>1089</v>
      </c>
      <c r="D1737" s="29" t="s">
        <v>1099</v>
      </c>
      <c r="E1737" s="29">
        <v>250</v>
      </c>
      <c r="G1737" s="29" t="s">
        <v>1035</v>
      </c>
      <c r="H1737" s="29">
        <v>1</v>
      </c>
      <c r="I1737" s="29">
        <v>20.9</v>
      </c>
      <c r="J1737" s="29">
        <v>5.2249999999999996</v>
      </c>
      <c r="K1737" s="29">
        <v>5.2249999999999996</v>
      </c>
      <c r="L1737" s="29" t="s">
        <v>1032</v>
      </c>
      <c r="M1737" s="29">
        <v>1</v>
      </c>
      <c r="N1737" s="29">
        <v>0.25</v>
      </c>
      <c r="O1737" s="29">
        <v>1</v>
      </c>
      <c r="P1737" s="29">
        <v>5.2249999999999996</v>
      </c>
      <c r="Q1737" s="29" t="s">
        <v>1033</v>
      </c>
    </row>
    <row r="1738" spans="1:17" x14ac:dyDescent="0.3">
      <c r="A1738" s="29" t="s">
        <v>850</v>
      </c>
      <c r="B1738" s="29">
        <v>1</v>
      </c>
      <c r="C1738" s="29" t="s">
        <v>1050</v>
      </c>
      <c r="D1738" s="29" t="s">
        <v>1051</v>
      </c>
      <c r="E1738" s="29">
        <v>150</v>
      </c>
      <c r="G1738" s="29" t="s">
        <v>1035</v>
      </c>
      <c r="H1738" s="29">
        <v>1</v>
      </c>
      <c r="I1738" s="29">
        <v>2.95</v>
      </c>
      <c r="J1738" s="29">
        <v>0.4425</v>
      </c>
      <c r="K1738" s="29">
        <v>0.4425</v>
      </c>
      <c r="L1738" s="29" t="s">
        <v>1032</v>
      </c>
      <c r="M1738" s="29">
        <v>1</v>
      </c>
      <c r="N1738" s="29">
        <v>0.15</v>
      </c>
      <c r="O1738" s="29">
        <v>1</v>
      </c>
      <c r="P1738" s="29">
        <v>0.4425</v>
      </c>
      <c r="Q1738" s="29" t="s">
        <v>1033</v>
      </c>
    </row>
    <row r="1739" spans="1:17" x14ac:dyDescent="0.3">
      <c r="B1739" s="29">
        <v>2</v>
      </c>
      <c r="C1739" s="29" t="s">
        <v>1089</v>
      </c>
      <c r="D1739" s="29" t="s">
        <v>1099</v>
      </c>
      <c r="E1739" s="29">
        <v>250</v>
      </c>
      <c r="G1739" s="29" t="s">
        <v>1035</v>
      </c>
      <c r="H1739" s="29">
        <v>1</v>
      </c>
      <c r="I1739" s="29">
        <v>20.9</v>
      </c>
      <c r="J1739" s="29">
        <v>5.2249999999999996</v>
      </c>
      <c r="K1739" s="29">
        <v>5.2249999999999996</v>
      </c>
      <c r="L1739" s="29" t="s">
        <v>1032</v>
      </c>
      <c r="M1739" s="29">
        <v>1</v>
      </c>
      <c r="N1739" s="29">
        <v>0.25</v>
      </c>
      <c r="O1739" s="29">
        <v>1</v>
      </c>
      <c r="P1739" s="29">
        <v>5.2249999999999996</v>
      </c>
      <c r="Q1739" s="29" t="s">
        <v>1033</v>
      </c>
    </row>
    <row r="1740" spans="1:17" x14ac:dyDescent="0.3">
      <c r="A1740" s="29" t="s">
        <v>850</v>
      </c>
      <c r="B1740" s="29">
        <v>1</v>
      </c>
      <c r="C1740" s="29" t="s">
        <v>1050</v>
      </c>
      <c r="D1740" s="29" t="s">
        <v>1051</v>
      </c>
      <c r="E1740" s="29">
        <v>150</v>
      </c>
      <c r="G1740" s="29" t="s">
        <v>1035</v>
      </c>
      <c r="H1740" s="29">
        <v>1</v>
      </c>
      <c r="I1740" s="29">
        <v>2.95</v>
      </c>
      <c r="J1740" s="29">
        <v>0.4425</v>
      </c>
      <c r="K1740" s="29">
        <v>0.4425</v>
      </c>
      <c r="L1740" s="29" t="s">
        <v>1032</v>
      </c>
      <c r="M1740" s="29">
        <v>1</v>
      </c>
      <c r="N1740" s="29">
        <v>0.15</v>
      </c>
      <c r="O1740" s="29">
        <v>1</v>
      </c>
      <c r="P1740" s="29">
        <v>0.4425</v>
      </c>
      <c r="Q1740" s="29" t="s">
        <v>1033</v>
      </c>
    </row>
    <row r="1741" spans="1:17" x14ac:dyDescent="0.3">
      <c r="B1741" s="29">
        <v>2</v>
      </c>
      <c r="C1741" s="29" t="s">
        <v>1089</v>
      </c>
      <c r="D1741" s="29" t="s">
        <v>1099</v>
      </c>
      <c r="E1741" s="29">
        <v>250</v>
      </c>
      <c r="G1741" s="29" t="s">
        <v>1035</v>
      </c>
      <c r="H1741" s="29">
        <v>1</v>
      </c>
      <c r="I1741" s="29">
        <v>20.9</v>
      </c>
      <c r="J1741" s="29">
        <v>5.2249999999999996</v>
      </c>
      <c r="K1741" s="29">
        <v>5.2249999999999996</v>
      </c>
      <c r="L1741" s="29" t="s">
        <v>1032</v>
      </c>
      <c r="M1741" s="29">
        <v>1</v>
      </c>
      <c r="N1741" s="29">
        <v>0.25</v>
      </c>
      <c r="O1741" s="29">
        <v>1</v>
      </c>
      <c r="P1741" s="29">
        <v>5.2249999999999996</v>
      </c>
      <c r="Q1741" s="29" t="s">
        <v>1033</v>
      </c>
    </row>
    <row r="1742" spans="1:17" x14ac:dyDescent="0.3">
      <c r="A1742" s="29" t="s">
        <v>850</v>
      </c>
      <c r="B1742" s="29">
        <v>1</v>
      </c>
      <c r="C1742" s="29" t="s">
        <v>1050</v>
      </c>
      <c r="D1742" s="29" t="s">
        <v>1051</v>
      </c>
      <c r="E1742" s="29">
        <v>150</v>
      </c>
      <c r="G1742" s="29" t="s">
        <v>1035</v>
      </c>
      <c r="H1742" s="29">
        <v>1</v>
      </c>
      <c r="I1742" s="29">
        <v>2.95</v>
      </c>
      <c r="J1742" s="29">
        <v>0.4425</v>
      </c>
      <c r="K1742" s="29">
        <v>0.4425</v>
      </c>
      <c r="L1742" s="29" t="s">
        <v>1032</v>
      </c>
      <c r="M1742" s="29">
        <v>1</v>
      </c>
      <c r="N1742" s="29">
        <v>0.15</v>
      </c>
      <c r="O1742" s="29">
        <v>1</v>
      </c>
      <c r="P1742" s="29">
        <v>0.4425</v>
      </c>
      <c r="Q1742" s="29" t="s">
        <v>1033</v>
      </c>
    </row>
    <row r="1743" spans="1:17" x14ac:dyDescent="0.3">
      <c r="B1743" s="29">
        <v>2</v>
      </c>
      <c r="C1743" s="29" t="s">
        <v>1089</v>
      </c>
      <c r="D1743" s="29" t="s">
        <v>1099</v>
      </c>
      <c r="E1743" s="29">
        <v>250</v>
      </c>
      <c r="G1743" s="29" t="s">
        <v>1035</v>
      </c>
      <c r="H1743" s="29">
        <v>1</v>
      </c>
      <c r="I1743" s="29">
        <v>20.9</v>
      </c>
      <c r="J1743" s="29">
        <v>5.2249999999999996</v>
      </c>
      <c r="K1743" s="29">
        <v>5.2249999999999996</v>
      </c>
      <c r="L1743" s="29" t="s">
        <v>1032</v>
      </c>
      <c r="M1743" s="29">
        <v>1</v>
      </c>
      <c r="N1743" s="29">
        <v>0.25</v>
      </c>
      <c r="O1743" s="29">
        <v>1</v>
      </c>
      <c r="P1743" s="29">
        <v>5.2249999999999996</v>
      </c>
      <c r="Q1743" s="29" t="s">
        <v>1033</v>
      </c>
    </row>
    <row r="1744" spans="1:17" x14ac:dyDescent="0.3">
      <c r="A1744" s="29" t="s">
        <v>850</v>
      </c>
      <c r="B1744" s="29">
        <v>1</v>
      </c>
      <c r="C1744" s="29" t="s">
        <v>1050</v>
      </c>
      <c r="D1744" s="29" t="s">
        <v>1051</v>
      </c>
      <c r="E1744" s="29">
        <v>150</v>
      </c>
      <c r="G1744" s="29" t="s">
        <v>1035</v>
      </c>
      <c r="H1744" s="29">
        <v>1</v>
      </c>
      <c r="I1744" s="29">
        <v>2.95</v>
      </c>
      <c r="J1744" s="29">
        <v>0.4425</v>
      </c>
      <c r="K1744" s="29">
        <v>0.4425</v>
      </c>
      <c r="L1744" s="29" t="s">
        <v>1032</v>
      </c>
      <c r="M1744" s="29">
        <v>1</v>
      </c>
      <c r="N1744" s="29">
        <v>0.15</v>
      </c>
      <c r="O1744" s="29">
        <v>1</v>
      </c>
      <c r="P1744" s="29">
        <v>0.4425</v>
      </c>
      <c r="Q1744" s="29" t="s">
        <v>1033</v>
      </c>
    </row>
    <row r="1745" spans="1:17" x14ac:dyDescent="0.3">
      <c r="B1745" s="29">
        <v>2</v>
      </c>
      <c r="C1745" s="29" t="s">
        <v>1089</v>
      </c>
      <c r="D1745" s="29" t="s">
        <v>1099</v>
      </c>
      <c r="E1745" s="29">
        <v>250</v>
      </c>
      <c r="G1745" s="29" t="s">
        <v>1035</v>
      </c>
      <c r="H1745" s="29">
        <v>1</v>
      </c>
      <c r="I1745" s="29">
        <v>20.9</v>
      </c>
      <c r="J1745" s="29">
        <v>5.2249999999999996</v>
      </c>
      <c r="K1745" s="29">
        <v>5.2249999999999996</v>
      </c>
      <c r="L1745" s="29" t="s">
        <v>1032</v>
      </c>
      <c r="M1745" s="29">
        <v>1</v>
      </c>
      <c r="N1745" s="29">
        <v>0.25</v>
      </c>
      <c r="O1745" s="29">
        <v>1</v>
      </c>
      <c r="P1745" s="29">
        <v>5.2249999999999996</v>
      </c>
      <c r="Q1745" s="29" t="s">
        <v>1033</v>
      </c>
    </row>
    <row r="1746" spans="1:17" x14ac:dyDescent="0.3">
      <c r="A1746" s="29" t="s">
        <v>851</v>
      </c>
      <c r="B1746" s="29">
        <v>1</v>
      </c>
      <c r="C1746" s="29" t="s">
        <v>1050</v>
      </c>
      <c r="D1746" s="29" t="s">
        <v>1051</v>
      </c>
      <c r="E1746" s="29">
        <v>150</v>
      </c>
      <c r="G1746" s="29" t="s">
        <v>1102</v>
      </c>
      <c r="H1746" s="29">
        <v>1</v>
      </c>
      <c r="I1746" s="29">
        <v>2.95</v>
      </c>
      <c r="J1746" s="29">
        <v>0.4425</v>
      </c>
      <c r="K1746" s="29">
        <v>0.4425</v>
      </c>
      <c r="L1746" s="29" t="s">
        <v>1032</v>
      </c>
      <c r="M1746" s="29">
        <v>1</v>
      </c>
      <c r="N1746" s="29">
        <v>0.15</v>
      </c>
      <c r="O1746" s="29">
        <v>1</v>
      </c>
      <c r="P1746" s="29">
        <v>0.4425</v>
      </c>
      <c r="Q1746" s="29" t="s">
        <v>1033</v>
      </c>
    </row>
    <row r="1747" spans="1:17" x14ac:dyDescent="0.3">
      <c r="B1747" s="29">
        <v>2</v>
      </c>
      <c r="C1747" s="29" t="s">
        <v>1089</v>
      </c>
      <c r="D1747" s="29" t="s">
        <v>1099</v>
      </c>
      <c r="E1747" s="29">
        <v>250</v>
      </c>
      <c r="G1747" s="29" t="s">
        <v>1102</v>
      </c>
      <c r="H1747" s="29">
        <v>1</v>
      </c>
      <c r="I1747" s="29">
        <v>20.9</v>
      </c>
      <c r="J1747" s="29">
        <v>5.2249999999999996</v>
      </c>
      <c r="K1747" s="29">
        <v>5.2249999999999996</v>
      </c>
      <c r="L1747" s="29" t="s">
        <v>1032</v>
      </c>
      <c r="M1747" s="29">
        <v>1</v>
      </c>
      <c r="N1747" s="29">
        <v>0.25</v>
      </c>
      <c r="O1747" s="29">
        <v>1</v>
      </c>
      <c r="P1747" s="29">
        <v>5.2249999999999996</v>
      </c>
      <c r="Q1747" s="29" t="s">
        <v>1033</v>
      </c>
    </row>
    <row r="1748" spans="1:17" x14ac:dyDescent="0.3">
      <c r="A1748" s="29" t="s">
        <v>852</v>
      </c>
      <c r="B1748" s="29">
        <v>1</v>
      </c>
      <c r="C1748" s="29" t="s">
        <v>1050</v>
      </c>
      <c r="D1748" s="29" t="s">
        <v>1051</v>
      </c>
      <c r="E1748" s="29">
        <v>150</v>
      </c>
      <c r="G1748" s="29" t="s">
        <v>1031</v>
      </c>
      <c r="H1748" s="29">
        <v>1</v>
      </c>
      <c r="I1748" s="29">
        <v>2.95</v>
      </c>
      <c r="J1748" s="29">
        <v>0.4425</v>
      </c>
      <c r="K1748" s="29">
        <v>0.4425</v>
      </c>
      <c r="L1748" s="29" t="s">
        <v>1032</v>
      </c>
      <c r="M1748" s="29">
        <v>1</v>
      </c>
      <c r="N1748" s="29">
        <v>0.15</v>
      </c>
      <c r="O1748" s="29">
        <v>1</v>
      </c>
      <c r="P1748" s="29">
        <v>0.4425</v>
      </c>
      <c r="Q1748" s="29" t="s">
        <v>1033</v>
      </c>
    </row>
    <row r="1749" spans="1:17" x14ac:dyDescent="0.3">
      <c r="B1749" s="29">
        <v>2</v>
      </c>
      <c r="C1749" s="29" t="s">
        <v>1089</v>
      </c>
      <c r="D1749" s="29" t="s">
        <v>1099</v>
      </c>
      <c r="E1749" s="29">
        <v>300</v>
      </c>
      <c r="G1749" s="29" t="s">
        <v>1031</v>
      </c>
      <c r="H1749" s="29">
        <v>1</v>
      </c>
      <c r="I1749" s="29">
        <v>20.9</v>
      </c>
      <c r="J1749" s="29">
        <v>6.27</v>
      </c>
      <c r="K1749" s="29">
        <v>6.27</v>
      </c>
      <c r="L1749" s="29" t="s">
        <v>1032</v>
      </c>
      <c r="M1749" s="29">
        <v>1</v>
      </c>
      <c r="N1749" s="29">
        <v>0.3</v>
      </c>
      <c r="O1749" s="29">
        <v>1</v>
      </c>
      <c r="P1749" s="29">
        <v>6.27</v>
      </c>
      <c r="Q1749" s="29" t="s">
        <v>1033</v>
      </c>
    </row>
    <row r="1750" spans="1:17" x14ac:dyDescent="0.3">
      <c r="A1750" s="29" t="s">
        <v>853</v>
      </c>
      <c r="B1750" s="29">
        <v>1</v>
      </c>
      <c r="C1750" s="29" t="s">
        <v>1050</v>
      </c>
      <c r="D1750" s="29" t="s">
        <v>1051</v>
      </c>
      <c r="E1750" s="29">
        <v>150</v>
      </c>
      <c r="G1750" s="29" t="s">
        <v>1035</v>
      </c>
      <c r="H1750" s="29">
        <v>1</v>
      </c>
      <c r="I1750" s="29">
        <v>2.95</v>
      </c>
      <c r="J1750" s="29">
        <v>0.4425</v>
      </c>
      <c r="K1750" s="29">
        <v>0.4425</v>
      </c>
      <c r="L1750" s="29" t="s">
        <v>1032</v>
      </c>
      <c r="M1750" s="29">
        <v>1</v>
      </c>
      <c r="N1750" s="29">
        <v>0.15</v>
      </c>
      <c r="O1750" s="29">
        <v>1</v>
      </c>
      <c r="P1750" s="29">
        <v>0.4425</v>
      </c>
      <c r="Q1750" s="29" t="s">
        <v>1033</v>
      </c>
    </row>
    <row r="1751" spans="1:17" x14ac:dyDescent="0.3">
      <c r="B1751" s="29">
        <v>2</v>
      </c>
      <c r="C1751" s="29" t="s">
        <v>1089</v>
      </c>
      <c r="D1751" s="29" t="s">
        <v>1099</v>
      </c>
      <c r="E1751" s="29">
        <v>150</v>
      </c>
      <c r="G1751" s="29" t="s">
        <v>1035</v>
      </c>
      <c r="H1751" s="29">
        <v>1</v>
      </c>
      <c r="I1751" s="29">
        <v>20.9</v>
      </c>
      <c r="J1751" s="29">
        <v>3.1349999999999998</v>
      </c>
      <c r="K1751" s="29">
        <v>3.1349999999999998</v>
      </c>
      <c r="L1751" s="29" t="s">
        <v>1032</v>
      </c>
      <c r="M1751" s="29">
        <v>1</v>
      </c>
      <c r="N1751" s="29">
        <v>0.15</v>
      </c>
      <c r="O1751" s="29">
        <v>1</v>
      </c>
      <c r="P1751" s="29">
        <v>3.1349999999999998</v>
      </c>
      <c r="Q1751" s="29" t="s">
        <v>1033</v>
      </c>
    </row>
    <row r="1752" spans="1:17" x14ac:dyDescent="0.3">
      <c r="A1752" s="29" t="s">
        <v>854</v>
      </c>
      <c r="B1752" s="29">
        <v>1</v>
      </c>
      <c r="C1752" s="29" t="s">
        <v>1050</v>
      </c>
      <c r="D1752" s="29" t="s">
        <v>1051</v>
      </c>
      <c r="E1752" s="29">
        <v>150</v>
      </c>
      <c r="G1752" s="29" t="s">
        <v>1035</v>
      </c>
      <c r="H1752" s="29">
        <v>1</v>
      </c>
      <c r="I1752" s="29">
        <v>2.95</v>
      </c>
      <c r="J1752" s="29">
        <v>0.4425</v>
      </c>
      <c r="K1752" s="29">
        <v>0.4425</v>
      </c>
      <c r="L1752" s="29" t="s">
        <v>1032</v>
      </c>
      <c r="M1752" s="29">
        <v>1</v>
      </c>
      <c r="N1752" s="29">
        <v>0.15</v>
      </c>
      <c r="O1752" s="29">
        <v>1</v>
      </c>
      <c r="P1752" s="29">
        <v>0.4425</v>
      </c>
      <c r="Q1752" s="29" t="s">
        <v>1033</v>
      </c>
    </row>
    <row r="1753" spans="1:17" x14ac:dyDescent="0.3">
      <c r="B1753" s="29">
        <v>2</v>
      </c>
      <c r="C1753" s="29" t="s">
        <v>1089</v>
      </c>
      <c r="D1753" s="29" t="s">
        <v>1099</v>
      </c>
      <c r="E1753" s="29">
        <v>150</v>
      </c>
      <c r="G1753" s="29" t="s">
        <v>1035</v>
      </c>
      <c r="H1753" s="29">
        <v>1</v>
      </c>
      <c r="I1753" s="29">
        <v>20.9</v>
      </c>
      <c r="J1753" s="29">
        <v>3.1349999999999998</v>
      </c>
      <c r="K1753" s="29">
        <v>3.1349999999999998</v>
      </c>
      <c r="L1753" s="29" t="s">
        <v>1032</v>
      </c>
      <c r="M1753" s="29">
        <v>1</v>
      </c>
      <c r="N1753" s="29">
        <v>0.15</v>
      </c>
      <c r="O1753" s="29">
        <v>1</v>
      </c>
      <c r="P1753" s="29">
        <v>3.1349999999999998</v>
      </c>
      <c r="Q1753" s="29" t="s">
        <v>1033</v>
      </c>
    </row>
    <row r="1754" spans="1:17" x14ac:dyDescent="0.3">
      <c r="A1754" s="29" t="s">
        <v>855</v>
      </c>
      <c r="B1754" s="29">
        <v>1</v>
      </c>
      <c r="C1754" s="29" t="s">
        <v>1050</v>
      </c>
      <c r="D1754" s="29" t="s">
        <v>1051</v>
      </c>
      <c r="E1754" s="29">
        <v>150</v>
      </c>
      <c r="G1754" s="29" t="s">
        <v>1035</v>
      </c>
      <c r="H1754" s="29">
        <v>1</v>
      </c>
      <c r="I1754" s="29">
        <v>2.95</v>
      </c>
      <c r="J1754" s="29">
        <v>0.4425</v>
      </c>
      <c r="K1754" s="29">
        <v>0.4425</v>
      </c>
      <c r="L1754" s="29" t="s">
        <v>1032</v>
      </c>
      <c r="M1754" s="29">
        <v>1</v>
      </c>
      <c r="N1754" s="29">
        <v>0.15</v>
      </c>
      <c r="O1754" s="29">
        <v>1</v>
      </c>
      <c r="P1754" s="29">
        <v>0.4425</v>
      </c>
      <c r="Q1754" s="29" t="s">
        <v>1033</v>
      </c>
    </row>
    <row r="1755" spans="1:17" x14ac:dyDescent="0.3">
      <c r="B1755" s="29">
        <v>2</v>
      </c>
      <c r="C1755" s="29" t="s">
        <v>1089</v>
      </c>
      <c r="D1755" s="29" t="s">
        <v>1099</v>
      </c>
      <c r="E1755" s="29">
        <v>150</v>
      </c>
      <c r="G1755" s="29" t="s">
        <v>1035</v>
      </c>
      <c r="H1755" s="29">
        <v>1</v>
      </c>
      <c r="I1755" s="29">
        <v>20.9</v>
      </c>
      <c r="J1755" s="29">
        <v>3.1349999999999998</v>
      </c>
      <c r="K1755" s="29">
        <v>3.1349999999999998</v>
      </c>
      <c r="L1755" s="29" t="s">
        <v>1032</v>
      </c>
      <c r="M1755" s="29">
        <v>1</v>
      </c>
      <c r="N1755" s="29">
        <v>0.15</v>
      </c>
      <c r="O1755" s="29">
        <v>1</v>
      </c>
      <c r="P1755" s="29">
        <v>3.1349999999999998</v>
      </c>
      <c r="Q1755" s="29" t="s">
        <v>1033</v>
      </c>
    </row>
    <row r="1756" spans="1:17" x14ac:dyDescent="0.3">
      <c r="A1756" s="29" t="s">
        <v>856</v>
      </c>
      <c r="B1756" s="29">
        <v>1</v>
      </c>
      <c r="C1756" s="29" t="s">
        <v>1050</v>
      </c>
      <c r="D1756" s="29" t="s">
        <v>1051</v>
      </c>
      <c r="E1756" s="29">
        <v>150</v>
      </c>
      <c r="G1756" s="29" t="s">
        <v>1035</v>
      </c>
      <c r="H1756" s="29">
        <v>1</v>
      </c>
      <c r="I1756" s="29">
        <v>2.95</v>
      </c>
      <c r="J1756" s="29">
        <v>0.4425</v>
      </c>
      <c r="K1756" s="29">
        <v>0.4425</v>
      </c>
      <c r="L1756" s="29" t="s">
        <v>1032</v>
      </c>
      <c r="M1756" s="29">
        <v>1</v>
      </c>
      <c r="N1756" s="29">
        <v>0.15</v>
      </c>
      <c r="O1756" s="29">
        <v>1</v>
      </c>
      <c r="P1756" s="29">
        <v>0.4425</v>
      </c>
      <c r="Q1756" s="29" t="s">
        <v>1033</v>
      </c>
    </row>
    <row r="1757" spans="1:17" x14ac:dyDescent="0.3">
      <c r="B1757" s="29">
        <v>2</v>
      </c>
      <c r="C1757" s="29" t="s">
        <v>1089</v>
      </c>
      <c r="D1757" s="29" t="s">
        <v>1099</v>
      </c>
      <c r="E1757" s="29">
        <v>250</v>
      </c>
      <c r="G1757" s="29" t="s">
        <v>1035</v>
      </c>
      <c r="H1757" s="29">
        <v>1</v>
      </c>
      <c r="I1757" s="29">
        <v>20.9</v>
      </c>
      <c r="J1757" s="29">
        <v>5.2249999999999996</v>
      </c>
      <c r="K1757" s="29">
        <v>5.2249999999999996</v>
      </c>
      <c r="L1757" s="29" t="s">
        <v>1032</v>
      </c>
      <c r="M1757" s="29">
        <v>1</v>
      </c>
      <c r="N1757" s="29">
        <v>0.25</v>
      </c>
      <c r="O1757" s="29">
        <v>1</v>
      </c>
      <c r="P1757" s="29">
        <v>5.2249999999999996</v>
      </c>
      <c r="Q1757" s="29" t="s">
        <v>1033</v>
      </c>
    </row>
    <row r="1758" spans="1:17" x14ac:dyDescent="0.3">
      <c r="A1758" s="29" t="s">
        <v>856</v>
      </c>
      <c r="B1758" s="29">
        <v>1</v>
      </c>
      <c r="C1758" s="29" t="s">
        <v>1050</v>
      </c>
      <c r="D1758" s="29" t="s">
        <v>1051</v>
      </c>
      <c r="E1758" s="29">
        <v>150</v>
      </c>
      <c r="G1758" s="29" t="s">
        <v>1035</v>
      </c>
      <c r="H1758" s="29">
        <v>1</v>
      </c>
      <c r="I1758" s="29">
        <v>2.95</v>
      </c>
      <c r="J1758" s="29">
        <v>0.4425</v>
      </c>
      <c r="K1758" s="29">
        <v>0.4425</v>
      </c>
      <c r="L1758" s="29" t="s">
        <v>1032</v>
      </c>
      <c r="M1758" s="29">
        <v>1</v>
      </c>
      <c r="N1758" s="29">
        <v>0.15</v>
      </c>
      <c r="O1758" s="29">
        <v>1</v>
      </c>
      <c r="P1758" s="29">
        <v>0.4425</v>
      </c>
      <c r="Q1758" s="29" t="s">
        <v>1033</v>
      </c>
    </row>
    <row r="1759" spans="1:17" x14ac:dyDescent="0.3">
      <c r="B1759" s="29">
        <v>2</v>
      </c>
      <c r="C1759" s="29" t="s">
        <v>1089</v>
      </c>
      <c r="D1759" s="29" t="s">
        <v>1099</v>
      </c>
      <c r="E1759" s="29">
        <v>250</v>
      </c>
      <c r="G1759" s="29" t="s">
        <v>1035</v>
      </c>
      <c r="H1759" s="29">
        <v>1</v>
      </c>
      <c r="I1759" s="29">
        <v>20.9</v>
      </c>
      <c r="J1759" s="29">
        <v>5.2249999999999996</v>
      </c>
      <c r="K1759" s="29">
        <v>5.2249999999999996</v>
      </c>
      <c r="L1759" s="29" t="s">
        <v>1032</v>
      </c>
      <c r="M1759" s="29">
        <v>1</v>
      </c>
      <c r="N1759" s="29">
        <v>0.25</v>
      </c>
      <c r="O1759" s="29">
        <v>1</v>
      </c>
      <c r="P1759" s="29">
        <v>5.2249999999999996</v>
      </c>
      <c r="Q1759" s="29" t="s">
        <v>1033</v>
      </c>
    </row>
    <row r="1760" spans="1:17" x14ac:dyDescent="0.3">
      <c r="A1760" s="29" t="s">
        <v>857</v>
      </c>
      <c r="B1760" s="29">
        <v>1</v>
      </c>
      <c r="C1760" s="29" t="s">
        <v>1050</v>
      </c>
      <c r="D1760" s="29" t="s">
        <v>1051</v>
      </c>
      <c r="E1760" s="29">
        <v>150</v>
      </c>
      <c r="G1760" s="29" t="s">
        <v>1035</v>
      </c>
      <c r="H1760" s="29">
        <v>1</v>
      </c>
      <c r="I1760" s="29">
        <v>2.95</v>
      </c>
      <c r="J1760" s="29">
        <v>0.4425</v>
      </c>
      <c r="K1760" s="29">
        <v>0.4425</v>
      </c>
      <c r="L1760" s="29" t="s">
        <v>1032</v>
      </c>
      <c r="M1760" s="29">
        <v>1</v>
      </c>
      <c r="N1760" s="29">
        <v>0.15</v>
      </c>
      <c r="O1760" s="29">
        <v>1</v>
      </c>
      <c r="P1760" s="29">
        <v>0.4425</v>
      </c>
      <c r="Q1760" s="29" t="s">
        <v>1033</v>
      </c>
    </row>
    <row r="1761" spans="1:17" x14ac:dyDescent="0.3">
      <c r="B1761" s="29">
        <v>2</v>
      </c>
      <c r="C1761" s="29" t="s">
        <v>1089</v>
      </c>
      <c r="D1761" s="29" t="s">
        <v>1099</v>
      </c>
      <c r="E1761" s="29">
        <v>150</v>
      </c>
      <c r="G1761" s="29" t="s">
        <v>1035</v>
      </c>
      <c r="H1761" s="29">
        <v>1</v>
      </c>
      <c r="I1761" s="29">
        <v>20.9</v>
      </c>
      <c r="J1761" s="29">
        <v>3.1349999999999998</v>
      </c>
      <c r="K1761" s="29">
        <v>3.1349999999999998</v>
      </c>
      <c r="L1761" s="29" t="s">
        <v>1032</v>
      </c>
      <c r="M1761" s="29">
        <v>1</v>
      </c>
      <c r="N1761" s="29">
        <v>0.15</v>
      </c>
      <c r="O1761" s="29">
        <v>1</v>
      </c>
      <c r="P1761" s="29">
        <v>3.1349999999999998</v>
      </c>
      <c r="Q1761" s="29" t="s">
        <v>1033</v>
      </c>
    </row>
    <row r="1762" spans="1:17" x14ac:dyDescent="0.3">
      <c r="A1762" s="29" t="s">
        <v>858</v>
      </c>
      <c r="B1762" s="29">
        <v>1</v>
      </c>
      <c r="C1762" s="29" t="s">
        <v>1105</v>
      </c>
      <c r="D1762" s="29" t="s">
        <v>1106</v>
      </c>
      <c r="G1762" s="29" t="s">
        <v>1031</v>
      </c>
      <c r="H1762" s="29">
        <v>1</v>
      </c>
      <c r="J1762" s="29">
        <v>1</v>
      </c>
      <c r="K1762" s="29">
        <v>1</v>
      </c>
      <c r="L1762" s="29" t="s">
        <v>1039</v>
      </c>
      <c r="M1762" s="29">
        <v>1</v>
      </c>
      <c r="O1762" s="29">
        <v>1</v>
      </c>
      <c r="P1762" s="29">
        <v>1</v>
      </c>
      <c r="Q1762" s="29" t="s">
        <v>1040</v>
      </c>
    </row>
    <row r="1763" spans="1:17" x14ac:dyDescent="0.3">
      <c r="A1763" s="29" t="s">
        <v>858</v>
      </c>
      <c r="B1763" s="29">
        <v>1</v>
      </c>
      <c r="C1763" s="29" t="s">
        <v>1105</v>
      </c>
      <c r="D1763" s="29" t="s">
        <v>1106</v>
      </c>
      <c r="G1763" s="29" t="s">
        <v>1031</v>
      </c>
      <c r="H1763" s="29">
        <v>1</v>
      </c>
      <c r="J1763" s="29">
        <v>1</v>
      </c>
      <c r="K1763" s="29">
        <v>1</v>
      </c>
      <c r="L1763" s="29" t="s">
        <v>1039</v>
      </c>
      <c r="M1763" s="29">
        <v>1</v>
      </c>
      <c r="O1763" s="29">
        <v>1</v>
      </c>
      <c r="P1763" s="29">
        <v>1</v>
      </c>
      <c r="Q1763" s="29" t="s">
        <v>1040</v>
      </c>
    </row>
    <row r="1764" spans="1:17" x14ac:dyDescent="0.3">
      <c r="A1764" s="29" t="s">
        <v>858</v>
      </c>
      <c r="B1764" s="29">
        <v>1</v>
      </c>
      <c r="C1764" s="29" t="s">
        <v>1105</v>
      </c>
      <c r="D1764" s="29" t="s">
        <v>1106</v>
      </c>
      <c r="G1764" s="29" t="s">
        <v>1031</v>
      </c>
      <c r="H1764" s="29">
        <v>1</v>
      </c>
      <c r="J1764" s="29">
        <v>1</v>
      </c>
      <c r="K1764" s="29">
        <v>1</v>
      </c>
      <c r="L1764" s="29" t="s">
        <v>1039</v>
      </c>
      <c r="M1764" s="29">
        <v>1</v>
      </c>
      <c r="O1764" s="29">
        <v>1</v>
      </c>
      <c r="P1764" s="29">
        <v>1</v>
      </c>
      <c r="Q1764" s="29" t="s">
        <v>1040</v>
      </c>
    </row>
    <row r="1765" spans="1:17" x14ac:dyDescent="0.3">
      <c r="A1765" s="29" t="s">
        <v>859</v>
      </c>
      <c r="B1765" s="29">
        <v>1</v>
      </c>
      <c r="C1765" s="29" t="s">
        <v>1105</v>
      </c>
      <c r="D1765" s="29" t="s">
        <v>1107</v>
      </c>
      <c r="G1765" s="29" t="s">
        <v>1031</v>
      </c>
      <c r="H1765" s="29">
        <v>1</v>
      </c>
      <c r="J1765" s="29">
        <v>1</v>
      </c>
      <c r="K1765" s="29">
        <v>1</v>
      </c>
      <c r="L1765" s="29" t="s">
        <v>1039</v>
      </c>
      <c r="M1765" s="29">
        <v>1</v>
      </c>
      <c r="O1765" s="29">
        <v>1</v>
      </c>
      <c r="P1765" s="29">
        <v>1</v>
      </c>
      <c r="Q1765" s="29" t="s">
        <v>1040</v>
      </c>
    </row>
    <row r="1766" spans="1:17" x14ac:dyDescent="0.3">
      <c r="A1766" s="29" t="s">
        <v>860</v>
      </c>
      <c r="B1766" s="29">
        <v>1</v>
      </c>
      <c r="C1766" s="29" t="s">
        <v>1105</v>
      </c>
      <c r="D1766" s="29" t="s">
        <v>1108</v>
      </c>
      <c r="G1766" s="29" t="s">
        <v>1031</v>
      </c>
      <c r="H1766" s="29">
        <v>1</v>
      </c>
      <c r="J1766" s="29">
        <v>1</v>
      </c>
      <c r="K1766" s="29">
        <v>1</v>
      </c>
      <c r="L1766" s="29" t="s">
        <v>1039</v>
      </c>
      <c r="M1766" s="29">
        <v>1</v>
      </c>
      <c r="O1766" s="29">
        <v>1</v>
      </c>
      <c r="P1766" s="29">
        <v>1</v>
      </c>
      <c r="Q1766" s="29" t="s">
        <v>1040</v>
      </c>
    </row>
    <row r="1767" spans="1:17" x14ac:dyDescent="0.3">
      <c r="A1767" s="29" t="s">
        <v>861</v>
      </c>
      <c r="B1767" s="29">
        <v>1</v>
      </c>
      <c r="C1767" s="29" t="s">
        <v>1105</v>
      </c>
      <c r="D1767" s="29" t="s">
        <v>1108</v>
      </c>
      <c r="G1767" s="29" t="s">
        <v>1031</v>
      </c>
      <c r="H1767" s="29">
        <v>1</v>
      </c>
      <c r="J1767" s="29">
        <v>1</v>
      </c>
      <c r="K1767" s="29">
        <v>1</v>
      </c>
      <c r="L1767" s="29" t="s">
        <v>1039</v>
      </c>
      <c r="M1767" s="29">
        <v>1</v>
      </c>
      <c r="O1767" s="29">
        <v>1</v>
      </c>
      <c r="P1767" s="29">
        <v>1</v>
      </c>
      <c r="Q1767" s="29" t="s">
        <v>1040</v>
      </c>
    </row>
    <row r="1768" spans="1:17" x14ac:dyDescent="0.3">
      <c r="A1768" s="29" t="s">
        <v>862</v>
      </c>
      <c r="B1768" s="29">
        <v>1</v>
      </c>
      <c r="C1768" s="29" t="s">
        <v>1105</v>
      </c>
      <c r="D1768" s="29" t="s">
        <v>1109</v>
      </c>
      <c r="G1768" s="29" t="s">
        <v>1031</v>
      </c>
      <c r="H1768" s="29">
        <v>1</v>
      </c>
      <c r="J1768" s="29">
        <v>1</v>
      </c>
      <c r="K1768" s="29">
        <v>1</v>
      </c>
      <c r="L1768" s="29" t="s">
        <v>1039</v>
      </c>
      <c r="M1768" s="29">
        <v>1</v>
      </c>
      <c r="O1768" s="29">
        <v>1</v>
      </c>
      <c r="P1768" s="29">
        <v>1</v>
      </c>
      <c r="Q1768" s="29" t="s">
        <v>1040</v>
      </c>
    </row>
    <row r="1769" spans="1:17" x14ac:dyDescent="0.3">
      <c r="A1769" s="29" t="s">
        <v>863</v>
      </c>
      <c r="B1769" s="29">
        <v>1</v>
      </c>
      <c r="C1769" s="29" t="s">
        <v>1105</v>
      </c>
      <c r="D1769" s="29" t="s">
        <v>1110</v>
      </c>
      <c r="G1769" s="29" t="s">
        <v>1031</v>
      </c>
      <c r="H1769" s="29">
        <v>1</v>
      </c>
      <c r="J1769" s="29">
        <v>1</v>
      </c>
      <c r="K1769" s="29">
        <v>1</v>
      </c>
      <c r="L1769" s="29" t="s">
        <v>1039</v>
      </c>
      <c r="M1769" s="29">
        <v>1</v>
      </c>
      <c r="O1769" s="29">
        <v>1</v>
      </c>
      <c r="P1769" s="29">
        <v>1</v>
      </c>
      <c r="Q1769" s="29" t="s">
        <v>1040</v>
      </c>
    </row>
    <row r="1770" spans="1:17" x14ac:dyDescent="0.3">
      <c r="A1770" s="29" t="s">
        <v>863</v>
      </c>
      <c r="B1770" s="29">
        <v>1</v>
      </c>
      <c r="C1770" s="29" t="s">
        <v>1105</v>
      </c>
      <c r="D1770" s="29" t="s">
        <v>1110</v>
      </c>
      <c r="G1770" s="29" t="s">
        <v>1031</v>
      </c>
      <c r="H1770" s="29">
        <v>1</v>
      </c>
      <c r="J1770" s="29">
        <v>1</v>
      </c>
      <c r="K1770" s="29">
        <v>1</v>
      </c>
      <c r="L1770" s="29" t="s">
        <v>1039</v>
      </c>
      <c r="M1770" s="29">
        <v>1</v>
      </c>
      <c r="O1770" s="29">
        <v>1</v>
      </c>
      <c r="P1770" s="29">
        <v>1</v>
      </c>
      <c r="Q1770" s="29" t="s">
        <v>1040</v>
      </c>
    </row>
    <row r="1771" spans="1:17" x14ac:dyDescent="0.3">
      <c r="A1771" s="29" t="s">
        <v>863</v>
      </c>
      <c r="B1771" s="29">
        <v>1</v>
      </c>
      <c r="C1771" s="29" t="s">
        <v>1105</v>
      </c>
      <c r="D1771" s="29" t="s">
        <v>1110</v>
      </c>
      <c r="G1771" s="29" t="s">
        <v>1031</v>
      </c>
      <c r="H1771" s="29">
        <v>1</v>
      </c>
      <c r="J1771" s="29">
        <v>1</v>
      </c>
      <c r="K1771" s="29">
        <v>1</v>
      </c>
      <c r="L1771" s="29" t="s">
        <v>1039</v>
      </c>
      <c r="M1771" s="29">
        <v>1</v>
      </c>
      <c r="O1771" s="29">
        <v>1</v>
      </c>
      <c r="P1771" s="29">
        <v>1</v>
      </c>
      <c r="Q1771" s="29" t="s">
        <v>1040</v>
      </c>
    </row>
    <row r="1772" spans="1:17" x14ac:dyDescent="0.3">
      <c r="A1772" s="29" t="s">
        <v>863</v>
      </c>
      <c r="B1772" s="29">
        <v>1</v>
      </c>
      <c r="C1772" s="29" t="s">
        <v>1105</v>
      </c>
      <c r="D1772" s="29" t="s">
        <v>1110</v>
      </c>
      <c r="G1772" s="29" t="s">
        <v>1031</v>
      </c>
      <c r="H1772" s="29">
        <v>1</v>
      </c>
      <c r="J1772" s="29">
        <v>1</v>
      </c>
      <c r="K1772" s="29">
        <v>1</v>
      </c>
      <c r="L1772" s="29" t="s">
        <v>1039</v>
      </c>
      <c r="M1772" s="29">
        <v>1</v>
      </c>
      <c r="O1772" s="29">
        <v>1</v>
      </c>
      <c r="P1772" s="29">
        <v>1</v>
      </c>
      <c r="Q1772" s="29" t="s">
        <v>1040</v>
      </c>
    </row>
    <row r="1773" spans="1:17" x14ac:dyDescent="0.3">
      <c r="A1773" s="29" t="s">
        <v>864</v>
      </c>
      <c r="B1773" s="29">
        <v>1</v>
      </c>
      <c r="C1773" s="29" t="s">
        <v>1111</v>
      </c>
      <c r="D1773" s="29">
        <v>9</v>
      </c>
      <c r="E1773" s="29">
        <v>55</v>
      </c>
      <c r="F1773" s="29">
        <v>80</v>
      </c>
      <c r="G1773" s="29" t="s">
        <v>1035</v>
      </c>
      <c r="H1773" s="29">
        <v>1</v>
      </c>
      <c r="J1773" s="29">
        <v>0.31085999999999997</v>
      </c>
      <c r="K1773" s="29">
        <v>0.31085999999999997</v>
      </c>
      <c r="L1773" s="29" t="s">
        <v>1036</v>
      </c>
      <c r="M1773" s="29">
        <v>1</v>
      </c>
      <c r="O1773" s="29">
        <v>1</v>
      </c>
      <c r="P1773" s="29">
        <v>0.31085999999999997</v>
      </c>
      <c r="Q1773" s="29" t="s">
        <v>1037</v>
      </c>
    </row>
    <row r="1774" spans="1:17" x14ac:dyDescent="0.3">
      <c r="A1774" s="29" t="s">
        <v>864</v>
      </c>
      <c r="B1774" s="29">
        <v>1</v>
      </c>
      <c r="C1774" s="29" t="s">
        <v>1111</v>
      </c>
      <c r="D1774" s="29">
        <v>9</v>
      </c>
      <c r="E1774" s="29">
        <v>55</v>
      </c>
      <c r="F1774" s="29">
        <v>80</v>
      </c>
      <c r="G1774" s="29" t="s">
        <v>1035</v>
      </c>
      <c r="H1774" s="29">
        <v>1</v>
      </c>
      <c r="J1774" s="29">
        <v>0.31085999999999997</v>
      </c>
      <c r="K1774" s="29">
        <v>0.31085999999999997</v>
      </c>
      <c r="L1774" s="29" t="s">
        <v>1036</v>
      </c>
      <c r="M1774" s="29">
        <v>1</v>
      </c>
      <c r="O1774" s="29">
        <v>1</v>
      </c>
      <c r="P1774" s="29">
        <v>0.31085999999999997</v>
      </c>
      <c r="Q1774" s="29" t="s">
        <v>1037</v>
      </c>
    </row>
    <row r="1775" spans="1:17" x14ac:dyDescent="0.3">
      <c r="A1775" s="29" t="s">
        <v>864</v>
      </c>
      <c r="B1775" s="29">
        <v>1</v>
      </c>
      <c r="C1775" s="29" t="s">
        <v>1111</v>
      </c>
      <c r="D1775" s="29">
        <v>9</v>
      </c>
      <c r="E1775" s="29">
        <v>55</v>
      </c>
      <c r="F1775" s="29">
        <v>80</v>
      </c>
      <c r="G1775" s="29" t="s">
        <v>1035</v>
      </c>
      <c r="H1775" s="29">
        <v>1</v>
      </c>
      <c r="J1775" s="29">
        <v>0.31085999999999997</v>
      </c>
      <c r="K1775" s="29">
        <v>0.31085999999999997</v>
      </c>
      <c r="L1775" s="29" t="s">
        <v>1036</v>
      </c>
      <c r="M1775" s="29">
        <v>1</v>
      </c>
      <c r="O1775" s="29">
        <v>1</v>
      </c>
      <c r="P1775" s="29">
        <v>0.31085999999999997</v>
      </c>
      <c r="Q1775" s="29" t="s">
        <v>1037</v>
      </c>
    </row>
    <row r="1776" spans="1:17" x14ac:dyDescent="0.3">
      <c r="A1776" s="29" t="s">
        <v>864</v>
      </c>
      <c r="B1776" s="29">
        <v>1</v>
      </c>
      <c r="C1776" s="29" t="s">
        <v>1111</v>
      </c>
      <c r="D1776" s="29">
        <v>9</v>
      </c>
      <c r="E1776" s="29">
        <v>55</v>
      </c>
      <c r="F1776" s="29">
        <v>80</v>
      </c>
      <c r="G1776" s="29" t="s">
        <v>1035</v>
      </c>
      <c r="H1776" s="29">
        <v>1</v>
      </c>
      <c r="J1776" s="29">
        <v>0.31085999999999997</v>
      </c>
      <c r="K1776" s="29">
        <v>0.31085999999999997</v>
      </c>
      <c r="L1776" s="29" t="s">
        <v>1036</v>
      </c>
      <c r="M1776" s="29">
        <v>1</v>
      </c>
      <c r="O1776" s="29">
        <v>1</v>
      </c>
      <c r="P1776" s="29">
        <v>0.31085999999999997</v>
      </c>
      <c r="Q1776" s="29" t="s">
        <v>1037</v>
      </c>
    </row>
    <row r="1777" spans="1:17" x14ac:dyDescent="0.3">
      <c r="A1777" s="29" t="s">
        <v>865</v>
      </c>
      <c r="B1777" s="29">
        <v>1</v>
      </c>
      <c r="C1777" s="29" t="s">
        <v>1111</v>
      </c>
      <c r="D1777" s="29">
        <v>6</v>
      </c>
      <c r="E1777" s="29">
        <v>55</v>
      </c>
      <c r="F1777" s="29">
        <v>80</v>
      </c>
      <c r="G1777" s="29" t="s">
        <v>1031</v>
      </c>
      <c r="H1777" s="29">
        <v>1</v>
      </c>
      <c r="J1777" s="29">
        <v>0.20935199999999998</v>
      </c>
      <c r="K1777" s="29">
        <v>0.20935199999999998</v>
      </c>
      <c r="L1777" s="29" t="s">
        <v>1036</v>
      </c>
      <c r="M1777" s="29">
        <v>1</v>
      </c>
      <c r="O1777" s="29">
        <v>1</v>
      </c>
      <c r="P1777" s="29">
        <v>0.20935199999999998</v>
      </c>
      <c r="Q1777" s="29" t="s">
        <v>1037</v>
      </c>
    </row>
    <row r="1778" spans="1:17" x14ac:dyDescent="0.3">
      <c r="A1778" s="29" t="s">
        <v>866</v>
      </c>
      <c r="B1778" s="29">
        <v>1</v>
      </c>
      <c r="C1778" s="29" t="s">
        <v>1111</v>
      </c>
      <c r="D1778" s="29">
        <v>9</v>
      </c>
      <c r="E1778" s="29">
        <v>55</v>
      </c>
      <c r="F1778" s="29">
        <v>80</v>
      </c>
      <c r="G1778" s="29" t="s">
        <v>1035</v>
      </c>
      <c r="H1778" s="29">
        <v>1</v>
      </c>
      <c r="J1778" s="29">
        <v>0.31085999999999997</v>
      </c>
      <c r="K1778" s="29">
        <v>0.31085999999999997</v>
      </c>
      <c r="L1778" s="29" t="s">
        <v>1036</v>
      </c>
      <c r="M1778" s="29">
        <v>1</v>
      </c>
      <c r="O1778" s="29">
        <v>1</v>
      </c>
      <c r="P1778" s="29">
        <v>0.31085999999999997</v>
      </c>
      <c r="Q1778" s="29" t="s">
        <v>1037</v>
      </c>
    </row>
    <row r="1779" spans="1:17" x14ac:dyDescent="0.3">
      <c r="A1779" s="29" t="s">
        <v>866</v>
      </c>
      <c r="B1779" s="29">
        <v>1</v>
      </c>
      <c r="C1779" s="29" t="s">
        <v>1111</v>
      </c>
      <c r="D1779" s="29">
        <v>9</v>
      </c>
      <c r="E1779" s="29">
        <v>55</v>
      </c>
      <c r="F1779" s="29">
        <v>80</v>
      </c>
      <c r="G1779" s="29" t="s">
        <v>1035</v>
      </c>
      <c r="H1779" s="29">
        <v>1</v>
      </c>
      <c r="J1779" s="29">
        <v>0.31085999999999997</v>
      </c>
      <c r="K1779" s="29">
        <v>0.31085999999999997</v>
      </c>
      <c r="L1779" s="29" t="s">
        <v>1036</v>
      </c>
      <c r="M1779" s="29">
        <v>1</v>
      </c>
      <c r="O1779" s="29">
        <v>1</v>
      </c>
      <c r="P1779" s="29">
        <v>0.31085999999999997</v>
      </c>
      <c r="Q1779" s="29" t="s">
        <v>1037</v>
      </c>
    </row>
    <row r="1780" spans="1:17" x14ac:dyDescent="0.3">
      <c r="A1780" s="29" t="s">
        <v>867</v>
      </c>
      <c r="B1780" s="29">
        <v>1</v>
      </c>
      <c r="C1780" s="29" t="s">
        <v>1111</v>
      </c>
      <c r="D1780" s="29">
        <v>9</v>
      </c>
      <c r="E1780" s="29">
        <v>55</v>
      </c>
      <c r="F1780" s="29">
        <v>80</v>
      </c>
      <c r="G1780" s="29" t="s">
        <v>1035</v>
      </c>
      <c r="H1780" s="29">
        <v>1</v>
      </c>
      <c r="J1780" s="29">
        <v>0.31085999999999997</v>
      </c>
      <c r="K1780" s="29">
        <v>0.31085999999999997</v>
      </c>
      <c r="L1780" s="29" t="s">
        <v>1036</v>
      </c>
      <c r="M1780" s="29">
        <v>1</v>
      </c>
      <c r="O1780" s="29">
        <v>1</v>
      </c>
      <c r="P1780" s="29">
        <v>0.31085999999999997</v>
      </c>
      <c r="Q1780" s="29" t="s">
        <v>1037</v>
      </c>
    </row>
    <row r="1781" spans="1:17" x14ac:dyDescent="0.3">
      <c r="A1781" s="29" t="s">
        <v>867</v>
      </c>
      <c r="B1781" s="29">
        <v>1</v>
      </c>
      <c r="C1781" s="29" t="s">
        <v>1111</v>
      </c>
      <c r="D1781" s="29">
        <v>9</v>
      </c>
      <c r="E1781" s="29">
        <v>55</v>
      </c>
      <c r="F1781" s="29">
        <v>80</v>
      </c>
      <c r="G1781" s="29" t="s">
        <v>1035</v>
      </c>
      <c r="H1781" s="29">
        <v>1</v>
      </c>
      <c r="J1781" s="29">
        <v>0.31085999999999997</v>
      </c>
      <c r="K1781" s="29">
        <v>0.31085999999999997</v>
      </c>
      <c r="L1781" s="29" t="s">
        <v>1036</v>
      </c>
      <c r="M1781" s="29">
        <v>1</v>
      </c>
      <c r="O1781" s="29">
        <v>1</v>
      </c>
      <c r="P1781" s="29">
        <v>0.31085999999999997</v>
      </c>
      <c r="Q1781" s="29" t="s">
        <v>1037</v>
      </c>
    </row>
    <row r="1782" spans="1:17" x14ac:dyDescent="0.3">
      <c r="A1782" s="29" t="s">
        <v>867</v>
      </c>
      <c r="B1782" s="29">
        <v>1</v>
      </c>
      <c r="C1782" s="29" t="s">
        <v>1111</v>
      </c>
      <c r="D1782" s="29">
        <v>9</v>
      </c>
      <c r="E1782" s="29">
        <v>55</v>
      </c>
      <c r="F1782" s="29">
        <v>80</v>
      </c>
      <c r="G1782" s="29" t="s">
        <v>1035</v>
      </c>
      <c r="H1782" s="29">
        <v>1</v>
      </c>
      <c r="J1782" s="29">
        <v>0.31085999999999997</v>
      </c>
      <c r="K1782" s="29">
        <v>0.31085999999999997</v>
      </c>
      <c r="L1782" s="29" t="s">
        <v>1036</v>
      </c>
      <c r="M1782" s="29">
        <v>1</v>
      </c>
      <c r="O1782" s="29">
        <v>1</v>
      </c>
      <c r="P1782" s="29">
        <v>0.31085999999999997</v>
      </c>
      <c r="Q1782" s="29" t="s">
        <v>1037</v>
      </c>
    </row>
    <row r="1783" spans="1:17" x14ac:dyDescent="0.3">
      <c r="A1783" s="29" t="s">
        <v>867</v>
      </c>
      <c r="B1783" s="29">
        <v>1</v>
      </c>
      <c r="C1783" s="29" t="s">
        <v>1111</v>
      </c>
      <c r="D1783" s="29">
        <v>9</v>
      </c>
      <c r="E1783" s="29">
        <v>55</v>
      </c>
      <c r="F1783" s="29">
        <v>80</v>
      </c>
      <c r="G1783" s="29" t="s">
        <v>1035</v>
      </c>
      <c r="H1783" s="29">
        <v>1</v>
      </c>
      <c r="J1783" s="29">
        <v>0.31085999999999997</v>
      </c>
      <c r="K1783" s="29">
        <v>0.31085999999999997</v>
      </c>
      <c r="L1783" s="29" t="s">
        <v>1036</v>
      </c>
      <c r="M1783" s="29">
        <v>1</v>
      </c>
      <c r="O1783" s="29">
        <v>1</v>
      </c>
      <c r="P1783" s="29">
        <v>0.31085999999999997</v>
      </c>
      <c r="Q1783" s="29" t="s">
        <v>1037</v>
      </c>
    </row>
    <row r="1784" spans="1:17" x14ac:dyDescent="0.3">
      <c r="A1784" s="29" t="s">
        <v>867</v>
      </c>
      <c r="B1784" s="29">
        <v>1</v>
      </c>
      <c r="C1784" s="29" t="s">
        <v>1111</v>
      </c>
      <c r="D1784" s="29">
        <v>9</v>
      </c>
      <c r="E1784" s="29">
        <v>55</v>
      </c>
      <c r="F1784" s="29">
        <v>80</v>
      </c>
      <c r="G1784" s="29" t="s">
        <v>1035</v>
      </c>
      <c r="H1784" s="29">
        <v>1</v>
      </c>
      <c r="J1784" s="29">
        <v>0.31085999999999997</v>
      </c>
      <c r="K1784" s="29">
        <v>0.31085999999999997</v>
      </c>
      <c r="L1784" s="29" t="s">
        <v>1036</v>
      </c>
      <c r="M1784" s="29">
        <v>1</v>
      </c>
      <c r="O1784" s="29">
        <v>1</v>
      </c>
      <c r="P1784" s="29">
        <v>0.31085999999999997</v>
      </c>
      <c r="Q1784" s="29" t="s">
        <v>1037</v>
      </c>
    </row>
    <row r="1785" spans="1:17" x14ac:dyDescent="0.3">
      <c r="A1785" s="29" t="s">
        <v>867</v>
      </c>
      <c r="B1785" s="29">
        <v>1</v>
      </c>
      <c r="C1785" s="29" t="s">
        <v>1111</v>
      </c>
      <c r="D1785" s="29">
        <v>9</v>
      </c>
      <c r="E1785" s="29">
        <v>55</v>
      </c>
      <c r="F1785" s="29">
        <v>80</v>
      </c>
      <c r="G1785" s="29" t="s">
        <v>1035</v>
      </c>
      <c r="H1785" s="29">
        <v>1</v>
      </c>
      <c r="J1785" s="29">
        <v>0.31085999999999997</v>
      </c>
      <c r="K1785" s="29">
        <v>0.31085999999999997</v>
      </c>
      <c r="L1785" s="29" t="s">
        <v>1036</v>
      </c>
      <c r="M1785" s="29">
        <v>1</v>
      </c>
      <c r="O1785" s="29">
        <v>1</v>
      </c>
      <c r="P1785" s="29">
        <v>0.31085999999999997</v>
      </c>
      <c r="Q1785" s="29" t="s">
        <v>1037</v>
      </c>
    </row>
    <row r="1786" spans="1:17" x14ac:dyDescent="0.3">
      <c r="A1786" s="29" t="s">
        <v>867</v>
      </c>
      <c r="B1786" s="29">
        <v>1</v>
      </c>
      <c r="C1786" s="29" t="s">
        <v>1111</v>
      </c>
      <c r="D1786" s="29">
        <v>9</v>
      </c>
      <c r="E1786" s="29">
        <v>55</v>
      </c>
      <c r="F1786" s="29">
        <v>80</v>
      </c>
      <c r="G1786" s="29" t="s">
        <v>1035</v>
      </c>
      <c r="H1786" s="29">
        <v>1</v>
      </c>
      <c r="J1786" s="29">
        <v>0.31085999999999997</v>
      </c>
      <c r="K1786" s="29">
        <v>0.31085999999999997</v>
      </c>
      <c r="L1786" s="29" t="s">
        <v>1036</v>
      </c>
      <c r="M1786" s="29">
        <v>1</v>
      </c>
      <c r="O1786" s="29">
        <v>1</v>
      </c>
      <c r="P1786" s="29">
        <v>0.31085999999999997</v>
      </c>
      <c r="Q1786" s="29" t="s">
        <v>1037</v>
      </c>
    </row>
    <row r="1787" spans="1:17" x14ac:dyDescent="0.3">
      <c r="A1787" s="29" t="s">
        <v>867</v>
      </c>
      <c r="B1787" s="29">
        <v>1</v>
      </c>
      <c r="C1787" s="29" t="s">
        <v>1111</v>
      </c>
      <c r="D1787" s="29">
        <v>9</v>
      </c>
      <c r="E1787" s="29">
        <v>55</v>
      </c>
      <c r="F1787" s="29">
        <v>80</v>
      </c>
      <c r="G1787" s="29" t="s">
        <v>1035</v>
      </c>
      <c r="H1787" s="29">
        <v>1</v>
      </c>
      <c r="J1787" s="29">
        <v>0.31085999999999997</v>
      </c>
      <c r="K1787" s="29">
        <v>0.31085999999999997</v>
      </c>
      <c r="L1787" s="29" t="s">
        <v>1036</v>
      </c>
      <c r="M1787" s="29">
        <v>1</v>
      </c>
      <c r="O1787" s="29">
        <v>1</v>
      </c>
      <c r="P1787" s="29">
        <v>0.31085999999999997</v>
      </c>
      <c r="Q1787" s="29" t="s">
        <v>1037</v>
      </c>
    </row>
    <row r="1788" spans="1:17" x14ac:dyDescent="0.3">
      <c r="A1788" s="29" t="s">
        <v>867</v>
      </c>
      <c r="B1788" s="29">
        <v>1</v>
      </c>
      <c r="C1788" s="29" t="s">
        <v>1111</v>
      </c>
      <c r="D1788" s="29">
        <v>9</v>
      </c>
      <c r="E1788" s="29">
        <v>55</v>
      </c>
      <c r="F1788" s="29">
        <v>80</v>
      </c>
      <c r="G1788" s="29" t="s">
        <v>1035</v>
      </c>
      <c r="H1788" s="29">
        <v>1</v>
      </c>
      <c r="J1788" s="29">
        <v>0.31085999999999997</v>
      </c>
      <c r="K1788" s="29">
        <v>0.31085999999999997</v>
      </c>
      <c r="L1788" s="29" t="s">
        <v>1036</v>
      </c>
      <c r="M1788" s="29">
        <v>1</v>
      </c>
      <c r="O1788" s="29">
        <v>1</v>
      </c>
      <c r="P1788" s="29">
        <v>0.31085999999999997</v>
      </c>
      <c r="Q1788" s="29" t="s">
        <v>1037</v>
      </c>
    </row>
    <row r="1789" spans="1:17" x14ac:dyDescent="0.3">
      <c r="A1789" s="29" t="s">
        <v>868</v>
      </c>
      <c r="B1789" s="29">
        <v>1</v>
      </c>
      <c r="C1789" s="29" t="s">
        <v>1111</v>
      </c>
      <c r="D1789" s="29">
        <v>9</v>
      </c>
      <c r="E1789" s="29">
        <v>55</v>
      </c>
      <c r="F1789" s="29">
        <v>80</v>
      </c>
      <c r="G1789" s="29" t="s">
        <v>1035</v>
      </c>
      <c r="H1789" s="29">
        <v>1</v>
      </c>
      <c r="J1789" s="29">
        <v>0.31085999999999997</v>
      </c>
      <c r="K1789" s="29">
        <v>0.31085999999999997</v>
      </c>
      <c r="L1789" s="29" t="s">
        <v>1036</v>
      </c>
      <c r="M1789" s="29">
        <v>1</v>
      </c>
      <c r="O1789" s="29">
        <v>1</v>
      </c>
      <c r="P1789" s="29">
        <v>0.31085999999999997</v>
      </c>
      <c r="Q1789" s="29" t="s">
        <v>1037</v>
      </c>
    </row>
    <row r="1790" spans="1:17" x14ac:dyDescent="0.3">
      <c r="A1790" s="29" t="s">
        <v>869</v>
      </c>
      <c r="B1790" s="29">
        <v>1</v>
      </c>
      <c r="C1790" s="29" t="s">
        <v>1111</v>
      </c>
      <c r="D1790" s="29">
        <v>6</v>
      </c>
      <c r="E1790" s="29">
        <v>55</v>
      </c>
      <c r="F1790" s="29">
        <v>80</v>
      </c>
      <c r="G1790" s="29" t="s">
        <v>1031</v>
      </c>
      <c r="H1790" s="29">
        <v>1</v>
      </c>
      <c r="J1790" s="29">
        <v>0.20935199999999998</v>
      </c>
      <c r="K1790" s="29">
        <v>0.20935199999999998</v>
      </c>
      <c r="L1790" s="29" t="s">
        <v>1036</v>
      </c>
      <c r="M1790" s="29">
        <v>1</v>
      </c>
      <c r="O1790" s="29">
        <v>1</v>
      </c>
      <c r="P1790" s="29">
        <v>0.20935199999999998</v>
      </c>
      <c r="Q1790" s="29" t="s">
        <v>1037</v>
      </c>
    </row>
    <row r="1791" spans="1:17" x14ac:dyDescent="0.3">
      <c r="A1791" s="29" t="s">
        <v>869</v>
      </c>
      <c r="B1791" s="29">
        <v>1</v>
      </c>
      <c r="C1791" s="29" t="s">
        <v>1111</v>
      </c>
      <c r="D1791" s="29">
        <v>6</v>
      </c>
      <c r="E1791" s="29">
        <v>55</v>
      </c>
      <c r="F1791" s="29">
        <v>80</v>
      </c>
      <c r="G1791" s="29" t="s">
        <v>1031</v>
      </c>
      <c r="H1791" s="29">
        <v>1</v>
      </c>
      <c r="J1791" s="29">
        <v>0.20935199999999998</v>
      </c>
      <c r="K1791" s="29">
        <v>0.20935199999999998</v>
      </c>
      <c r="L1791" s="29" t="s">
        <v>1036</v>
      </c>
      <c r="M1791" s="29">
        <v>1</v>
      </c>
      <c r="O1791" s="29">
        <v>1</v>
      </c>
      <c r="P1791" s="29">
        <v>0.20935199999999998</v>
      </c>
      <c r="Q1791" s="29" t="s">
        <v>1037</v>
      </c>
    </row>
    <row r="1792" spans="1:17" x14ac:dyDescent="0.3">
      <c r="A1792" s="29" t="s">
        <v>870</v>
      </c>
      <c r="B1792" s="29">
        <v>1</v>
      </c>
      <c r="C1792" s="29" t="s">
        <v>1111</v>
      </c>
      <c r="D1792" s="29">
        <v>9</v>
      </c>
      <c r="E1792" s="29">
        <v>55</v>
      </c>
      <c r="F1792" s="29">
        <v>80</v>
      </c>
      <c r="G1792" s="29" t="s">
        <v>1035</v>
      </c>
      <c r="H1792" s="29">
        <v>1</v>
      </c>
      <c r="J1792" s="29">
        <v>0.31085999999999997</v>
      </c>
      <c r="K1792" s="29">
        <v>0.31085999999999997</v>
      </c>
      <c r="L1792" s="29" t="s">
        <v>1036</v>
      </c>
      <c r="M1792" s="29">
        <v>1</v>
      </c>
      <c r="O1792" s="29">
        <v>1</v>
      </c>
      <c r="P1792" s="29">
        <v>0.31085999999999997</v>
      </c>
      <c r="Q1792" s="29" t="s">
        <v>1037</v>
      </c>
    </row>
    <row r="1793" spans="1:17" x14ac:dyDescent="0.3">
      <c r="A1793" s="29" t="s">
        <v>871</v>
      </c>
      <c r="B1793" s="29">
        <v>1</v>
      </c>
      <c r="C1793" s="29" t="s">
        <v>1111</v>
      </c>
      <c r="D1793" s="29">
        <v>9</v>
      </c>
      <c r="E1793" s="29">
        <v>55</v>
      </c>
      <c r="F1793" s="29">
        <v>80</v>
      </c>
      <c r="G1793" s="29" t="s">
        <v>1035</v>
      </c>
      <c r="H1793" s="29">
        <v>1</v>
      </c>
      <c r="J1793" s="29">
        <v>0.31085999999999997</v>
      </c>
      <c r="K1793" s="29">
        <v>0.31085999999999997</v>
      </c>
      <c r="L1793" s="29" t="s">
        <v>1036</v>
      </c>
      <c r="M1793" s="29">
        <v>1</v>
      </c>
      <c r="O1793" s="29">
        <v>1</v>
      </c>
      <c r="P1793" s="29">
        <v>0.31085999999999997</v>
      </c>
      <c r="Q1793" s="29" t="s">
        <v>1037</v>
      </c>
    </row>
    <row r="1794" spans="1:17" x14ac:dyDescent="0.3">
      <c r="A1794" s="29" t="s">
        <v>871</v>
      </c>
      <c r="B1794" s="29">
        <v>1</v>
      </c>
      <c r="C1794" s="29" t="s">
        <v>1111</v>
      </c>
      <c r="D1794" s="29">
        <v>9</v>
      </c>
      <c r="E1794" s="29">
        <v>55</v>
      </c>
      <c r="F1794" s="29">
        <v>80</v>
      </c>
      <c r="G1794" s="29" t="s">
        <v>1035</v>
      </c>
      <c r="H1794" s="29">
        <v>1</v>
      </c>
      <c r="J1794" s="29">
        <v>0.31085999999999997</v>
      </c>
      <c r="K1794" s="29">
        <v>0.31085999999999997</v>
      </c>
      <c r="L1794" s="29" t="s">
        <v>1036</v>
      </c>
      <c r="M1794" s="29">
        <v>1</v>
      </c>
      <c r="O1794" s="29">
        <v>1</v>
      </c>
      <c r="P1794" s="29">
        <v>0.31085999999999997</v>
      </c>
      <c r="Q1794" s="29" t="s">
        <v>1037</v>
      </c>
    </row>
    <row r="1795" spans="1:17" x14ac:dyDescent="0.3">
      <c r="A1795" s="29" t="s">
        <v>871</v>
      </c>
      <c r="B1795" s="29">
        <v>1</v>
      </c>
      <c r="C1795" s="29" t="s">
        <v>1111</v>
      </c>
      <c r="D1795" s="29">
        <v>9</v>
      </c>
      <c r="E1795" s="29">
        <v>55</v>
      </c>
      <c r="F1795" s="29">
        <v>80</v>
      </c>
      <c r="G1795" s="29" t="s">
        <v>1035</v>
      </c>
      <c r="H1795" s="29">
        <v>1</v>
      </c>
      <c r="J1795" s="29">
        <v>0.31085999999999997</v>
      </c>
      <c r="K1795" s="29">
        <v>0.31085999999999997</v>
      </c>
      <c r="L1795" s="29" t="s">
        <v>1036</v>
      </c>
      <c r="M1795" s="29">
        <v>1</v>
      </c>
      <c r="O1795" s="29">
        <v>1</v>
      </c>
      <c r="P1795" s="29">
        <v>0.31085999999999997</v>
      </c>
      <c r="Q1795" s="29" t="s">
        <v>1037</v>
      </c>
    </row>
    <row r="1796" spans="1:17" x14ac:dyDescent="0.3">
      <c r="A1796" s="29" t="s">
        <v>871</v>
      </c>
      <c r="B1796" s="29">
        <v>1</v>
      </c>
      <c r="C1796" s="29" t="s">
        <v>1111</v>
      </c>
      <c r="D1796" s="29">
        <v>9</v>
      </c>
      <c r="E1796" s="29">
        <v>55</v>
      </c>
      <c r="F1796" s="29">
        <v>80</v>
      </c>
      <c r="G1796" s="29" t="s">
        <v>1035</v>
      </c>
      <c r="H1796" s="29">
        <v>1</v>
      </c>
      <c r="J1796" s="29">
        <v>0.31085999999999997</v>
      </c>
      <c r="K1796" s="29">
        <v>0.31085999999999997</v>
      </c>
      <c r="L1796" s="29" t="s">
        <v>1036</v>
      </c>
      <c r="M1796" s="29">
        <v>1</v>
      </c>
      <c r="O1796" s="29">
        <v>1</v>
      </c>
      <c r="P1796" s="29">
        <v>0.31085999999999997</v>
      </c>
      <c r="Q1796" s="29" t="s">
        <v>1037</v>
      </c>
    </row>
    <row r="1797" spans="1:17" x14ac:dyDescent="0.3">
      <c r="A1797" s="29" t="s">
        <v>871</v>
      </c>
      <c r="B1797" s="29">
        <v>1</v>
      </c>
      <c r="C1797" s="29" t="s">
        <v>1111</v>
      </c>
      <c r="D1797" s="29">
        <v>9</v>
      </c>
      <c r="E1797" s="29">
        <v>55</v>
      </c>
      <c r="F1797" s="29">
        <v>80</v>
      </c>
      <c r="G1797" s="29" t="s">
        <v>1035</v>
      </c>
      <c r="H1797" s="29">
        <v>1</v>
      </c>
      <c r="J1797" s="29">
        <v>0.31085999999999997</v>
      </c>
      <c r="K1797" s="29">
        <v>0.31085999999999997</v>
      </c>
      <c r="L1797" s="29" t="s">
        <v>1036</v>
      </c>
      <c r="M1797" s="29">
        <v>1</v>
      </c>
      <c r="O1797" s="29">
        <v>1</v>
      </c>
      <c r="P1797" s="29">
        <v>0.31085999999999997</v>
      </c>
      <c r="Q1797" s="29" t="s">
        <v>1037</v>
      </c>
    </row>
    <row r="1798" spans="1:17" x14ac:dyDescent="0.3">
      <c r="A1798" s="29" t="s">
        <v>871</v>
      </c>
      <c r="B1798" s="29">
        <v>1</v>
      </c>
      <c r="C1798" s="29" t="s">
        <v>1111</v>
      </c>
      <c r="D1798" s="29">
        <v>9</v>
      </c>
      <c r="E1798" s="29">
        <v>55</v>
      </c>
      <c r="F1798" s="29">
        <v>80</v>
      </c>
      <c r="G1798" s="29" t="s">
        <v>1035</v>
      </c>
      <c r="H1798" s="29">
        <v>1</v>
      </c>
      <c r="J1798" s="29">
        <v>0.31085999999999997</v>
      </c>
      <c r="K1798" s="29">
        <v>0.31085999999999997</v>
      </c>
      <c r="L1798" s="29" t="s">
        <v>1036</v>
      </c>
      <c r="M1798" s="29">
        <v>1</v>
      </c>
      <c r="O1798" s="29">
        <v>1</v>
      </c>
      <c r="P1798" s="29">
        <v>0.31085999999999997</v>
      </c>
      <c r="Q1798" s="29" t="s">
        <v>1037</v>
      </c>
    </row>
    <row r="1799" spans="1:17" x14ac:dyDescent="0.3">
      <c r="A1799" s="29" t="s">
        <v>871</v>
      </c>
      <c r="B1799" s="29">
        <v>1</v>
      </c>
      <c r="C1799" s="29" t="s">
        <v>1111</v>
      </c>
      <c r="D1799" s="29">
        <v>9</v>
      </c>
      <c r="E1799" s="29">
        <v>55</v>
      </c>
      <c r="F1799" s="29">
        <v>80</v>
      </c>
      <c r="G1799" s="29" t="s">
        <v>1035</v>
      </c>
      <c r="H1799" s="29">
        <v>1</v>
      </c>
      <c r="J1799" s="29">
        <v>0.31085999999999997</v>
      </c>
      <c r="K1799" s="29">
        <v>0.31085999999999997</v>
      </c>
      <c r="L1799" s="29" t="s">
        <v>1036</v>
      </c>
      <c r="M1799" s="29">
        <v>1</v>
      </c>
      <c r="O1799" s="29">
        <v>1</v>
      </c>
      <c r="P1799" s="29">
        <v>0.31085999999999997</v>
      </c>
      <c r="Q1799" s="29" t="s">
        <v>1037</v>
      </c>
    </row>
    <row r="1800" spans="1:17" x14ac:dyDescent="0.3">
      <c r="A1800" s="29" t="s">
        <v>871</v>
      </c>
      <c r="B1800" s="29">
        <v>1</v>
      </c>
      <c r="C1800" s="29" t="s">
        <v>1111</v>
      </c>
      <c r="D1800" s="29">
        <v>9</v>
      </c>
      <c r="E1800" s="29">
        <v>55</v>
      </c>
      <c r="F1800" s="29">
        <v>80</v>
      </c>
      <c r="G1800" s="29" t="s">
        <v>1035</v>
      </c>
      <c r="H1800" s="29">
        <v>1</v>
      </c>
      <c r="J1800" s="29">
        <v>0.31085999999999997</v>
      </c>
      <c r="K1800" s="29">
        <v>0.31085999999999997</v>
      </c>
      <c r="L1800" s="29" t="s">
        <v>1036</v>
      </c>
      <c r="M1800" s="29">
        <v>1</v>
      </c>
      <c r="O1800" s="29">
        <v>1</v>
      </c>
      <c r="P1800" s="29">
        <v>0.31085999999999997</v>
      </c>
      <c r="Q1800" s="29" t="s">
        <v>1037</v>
      </c>
    </row>
    <row r="1801" spans="1:17" x14ac:dyDescent="0.3">
      <c r="A1801" s="29" t="s">
        <v>872</v>
      </c>
      <c r="B1801" s="29">
        <v>1</v>
      </c>
      <c r="C1801" s="29" t="s">
        <v>1111</v>
      </c>
      <c r="D1801" s="29">
        <v>9</v>
      </c>
      <c r="E1801" s="29">
        <v>55</v>
      </c>
      <c r="F1801" s="29">
        <v>80</v>
      </c>
      <c r="G1801" s="29" t="s">
        <v>1035</v>
      </c>
      <c r="H1801" s="29">
        <v>1</v>
      </c>
      <c r="J1801" s="29">
        <v>0.31085999999999997</v>
      </c>
      <c r="K1801" s="29">
        <v>0.31085999999999997</v>
      </c>
      <c r="L1801" s="29" t="s">
        <v>1036</v>
      </c>
      <c r="M1801" s="29">
        <v>1</v>
      </c>
      <c r="O1801" s="29">
        <v>1</v>
      </c>
      <c r="P1801" s="29">
        <v>0.31085999999999997</v>
      </c>
      <c r="Q1801" s="29" t="s">
        <v>1037</v>
      </c>
    </row>
    <row r="1802" spans="1:17" x14ac:dyDescent="0.3">
      <c r="A1802" s="29" t="s">
        <v>873</v>
      </c>
      <c r="B1802" s="29">
        <v>1</v>
      </c>
      <c r="C1802" s="29" t="s">
        <v>1111</v>
      </c>
      <c r="D1802" s="29">
        <v>9</v>
      </c>
      <c r="E1802" s="29">
        <v>55</v>
      </c>
      <c r="F1802" s="29">
        <v>80</v>
      </c>
      <c r="G1802" s="29" t="s">
        <v>1035</v>
      </c>
      <c r="H1802" s="29">
        <v>1</v>
      </c>
      <c r="J1802" s="29">
        <v>0.31085999999999997</v>
      </c>
      <c r="K1802" s="29">
        <v>0.31085999999999997</v>
      </c>
      <c r="L1802" s="29" t="s">
        <v>1036</v>
      </c>
      <c r="M1802" s="29">
        <v>1</v>
      </c>
      <c r="O1802" s="29">
        <v>1</v>
      </c>
      <c r="P1802" s="29">
        <v>0.31085999999999997</v>
      </c>
      <c r="Q1802" s="29" t="s">
        <v>1037</v>
      </c>
    </row>
    <row r="1803" spans="1:17" x14ac:dyDescent="0.3">
      <c r="A1803" s="29" t="s">
        <v>873</v>
      </c>
      <c r="B1803" s="29">
        <v>1</v>
      </c>
      <c r="C1803" s="29" t="s">
        <v>1111</v>
      </c>
      <c r="D1803" s="29">
        <v>9</v>
      </c>
      <c r="E1803" s="29">
        <v>55</v>
      </c>
      <c r="F1803" s="29">
        <v>80</v>
      </c>
      <c r="G1803" s="29" t="s">
        <v>1035</v>
      </c>
      <c r="H1803" s="29">
        <v>1</v>
      </c>
      <c r="J1803" s="29">
        <v>0.31085999999999997</v>
      </c>
      <c r="K1803" s="29">
        <v>0.31085999999999997</v>
      </c>
      <c r="L1803" s="29" t="s">
        <v>1036</v>
      </c>
      <c r="M1803" s="29">
        <v>1</v>
      </c>
      <c r="O1803" s="29">
        <v>1</v>
      </c>
      <c r="P1803" s="29">
        <v>0.31085999999999997</v>
      </c>
      <c r="Q1803" s="29" t="s">
        <v>1037</v>
      </c>
    </row>
    <row r="1804" spans="1:17" x14ac:dyDescent="0.3">
      <c r="A1804" s="29" t="s">
        <v>873</v>
      </c>
      <c r="B1804" s="29">
        <v>1</v>
      </c>
      <c r="C1804" s="29" t="s">
        <v>1111</v>
      </c>
      <c r="D1804" s="29">
        <v>9</v>
      </c>
      <c r="E1804" s="29">
        <v>55</v>
      </c>
      <c r="F1804" s="29">
        <v>80</v>
      </c>
      <c r="G1804" s="29" t="s">
        <v>1035</v>
      </c>
      <c r="H1804" s="29">
        <v>1</v>
      </c>
      <c r="J1804" s="29">
        <v>0.31085999999999997</v>
      </c>
      <c r="K1804" s="29">
        <v>0.31085999999999997</v>
      </c>
      <c r="L1804" s="29" t="s">
        <v>1036</v>
      </c>
      <c r="M1804" s="29">
        <v>1</v>
      </c>
      <c r="O1804" s="29">
        <v>1</v>
      </c>
      <c r="P1804" s="29">
        <v>0.31085999999999997</v>
      </c>
      <c r="Q1804" s="29" t="s">
        <v>1037</v>
      </c>
    </row>
    <row r="1805" spans="1:17" x14ac:dyDescent="0.3">
      <c r="A1805" s="29" t="s">
        <v>873</v>
      </c>
      <c r="B1805" s="29">
        <v>1</v>
      </c>
      <c r="C1805" s="29" t="s">
        <v>1111</v>
      </c>
      <c r="D1805" s="29">
        <v>9</v>
      </c>
      <c r="E1805" s="29">
        <v>55</v>
      </c>
      <c r="F1805" s="29">
        <v>80</v>
      </c>
      <c r="G1805" s="29" t="s">
        <v>1035</v>
      </c>
      <c r="H1805" s="29">
        <v>1</v>
      </c>
      <c r="J1805" s="29">
        <v>0.31085999999999997</v>
      </c>
      <c r="K1805" s="29">
        <v>0.31085999999999997</v>
      </c>
      <c r="L1805" s="29" t="s">
        <v>1036</v>
      </c>
      <c r="M1805" s="29">
        <v>1</v>
      </c>
      <c r="O1805" s="29">
        <v>1</v>
      </c>
      <c r="P1805" s="29">
        <v>0.31085999999999997</v>
      </c>
      <c r="Q1805" s="29" t="s">
        <v>1037</v>
      </c>
    </row>
    <row r="1806" spans="1:17" x14ac:dyDescent="0.3">
      <c r="A1806" s="29" t="s">
        <v>873</v>
      </c>
      <c r="B1806" s="29">
        <v>1</v>
      </c>
      <c r="C1806" s="29" t="s">
        <v>1111</v>
      </c>
      <c r="D1806" s="29">
        <v>9</v>
      </c>
      <c r="E1806" s="29">
        <v>55</v>
      </c>
      <c r="F1806" s="29">
        <v>80</v>
      </c>
      <c r="G1806" s="29" t="s">
        <v>1035</v>
      </c>
      <c r="H1806" s="29">
        <v>1</v>
      </c>
      <c r="J1806" s="29">
        <v>0.31085999999999997</v>
      </c>
      <c r="K1806" s="29">
        <v>0.31085999999999997</v>
      </c>
      <c r="L1806" s="29" t="s">
        <v>1036</v>
      </c>
      <c r="M1806" s="29">
        <v>1</v>
      </c>
      <c r="O1806" s="29">
        <v>1</v>
      </c>
      <c r="P1806" s="29">
        <v>0.31085999999999997</v>
      </c>
      <c r="Q1806" s="29" t="s">
        <v>1037</v>
      </c>
    </row>
    <row r="1807" spans="1:17" x14ac:dyDescent="0.3">
      <c r="A1807" s="29" t="s">
        <v>873</v>
      </c>
      <c r="B1807" s="29">
        <v>1</v>
      </c>
      <c r="C1807" s="29" t="s">
        <v>1111</v>
      </c>
      <c r="D1807" s="29">
        <v>9</v>
      </c>
      <c r="E1807" s="29">
        <v>55</v>
      </c>
      <c r="F1807" s="29">
        <v>80</v>
      </c>
      <c r="G1807" s="29" t="s">
        <v>1035</v>
      </c>
      <c r="H1807" s="29">
        <v>1</v>
      </c>
      <c r="J1807" s="29">
        <v>0.31085999999999997</v>
      </c>
      <c r="K1807" s="29">
        <v>0.31085999999999997</v>
      </c>
      <c r="L1807" s="29" t="s">
        <v>1036</v>
      </c>
      <c r="M1807" s="29">
        <v>1</v>
      </c>
      <c r="O1807" s="29">
        <v>1</v>
      </c>
      <c r="P1807" s="29">
        <v>0.31085999999999997</v>
      </c>
      <c r="Q1807" s="29" t="s">
        <v>1037</v>
      </c>
    </row>
    <row r="1808" spans="1:17" x14ac:dyDescent="0.3">
      <c r="A1808" s="29" t="s">
        <v>873</v>
      </c>
      <c r="B1808" s="29">
        <v>1</v>
      </c>
      <c r="C1808" s="29" t="s">
        <v>1111</v>
      </c>
      <c r="D1808" s="29">
        <v>9</v>
      </c>
      <c r="E1808" s="29">
        <v>55</v>
      </c>
      <c r="F1808" s="29">
        <v>80</v>
      </c>
      <c r="G1808" s="29" t="s">
        <v>1035</v>
      </c>
      <c r="H1808" s="29">
        <v>1</v>
      </c>
      <c r="J1808" s="29">
        <v>0.31085999999999997</v>
      </c>
      <c r="K1808" s="29">
        <v>0.31085999999999997</v>
      </c>
      <c r="L1808" s="29" t="s">
        <v>1036</v>
      </c>
      <c r="M1808" s="29">
        <v>1</v>
      </c>
      <c r="O1808" s="29">
        <v>1</v>
      </c>
      <c r="P1808" s="29">
        <v>0.31085999999999997</v>
      </c>
      <c r="Q1808" s="29" t="s">
        <v>1037</v>
      </c>
    </row>
    <row r="1809" spans="1:17" x14ac:dyDescent="0.3">
      <c r="A1809" s="29" t="s">
        <v>873</v>
      </c>
      <c r="B1809" s="29">
        <v>1</v>
      </c>
      <c r="C1809" s="29" t="s">
        <v>1111</v>
      </c>
      <c r="D1809" s="29">
        <v>9</v>
      </c>
      <c r="E1809" s="29">
        <v>55</v>
      </c>
      <c r="F1809" s="29">
        <v>80</v>
      </c>
      <c r="G1809" s="29" t="s">
        <v>1035</v>
      </c>
      <c r="H1809" s="29">
        <v>1</v>
      </c>
      <c r="J1809" s="29">
        <v>0.31085999999999997</v>
      </c>
      <c r="K1809" s="29">
        <v>0.31085999999999997</v>
      </c>
      <c r="L1809" s="29" t="s">
        <v>1036</v>
      </c>
      <c r="M1809" s="29">
        <v>1</v>
      </c>
      <c r="O1809" s="29">
        <v>1</v>
      </c>
      <c r="P1809" s="29">
        <v>0.31085999999999997</v>
      </c>
      <c r="Q1809" s="29" t="s">
        <v>1037</v>
      </c>
    </row>
    <row r="1810" spans="1:17" x14ac:dyDescent="0.3">
      <c r="A1810" s="29" t="s">
        <v>873</v>
      </c>
      <c r="B1810" s="29">
        <v>1</v>
      </c>
      <c r="C1810" s="29" t="s">
        <v>1111</v>
      </c>
      <c r="D1810" s="29">
        <v>9</v>
      </c>
      <c r="E1810" s="29">
        <v>55</v>
      </c>
      <c r="F1810" s="29">
        <v>80</v>
      </c>
      <c r="G1810" s="29" t="s">
        <v>1035</v>
      </c>
      <c r="H1810" s="29">
        <v>1</v>
      </c>
      <c r="J1810" s="29">
        <v>0.31085999999999997</v>
      </c>
      <c r="K1810" s="29">
        <v>0.31085999999999997</v>
      </c>
      <c r="L1810" s="29" t="s">
        <v>1036</v>
      </c>
      <c r="M1810" s="29">
        <v>1</v>
      </c>
      <c r="O1810" s="29">
        <v>1</v>
      </c>
      <c r="P1810" s="29">
        <v>0.31085999999999997</v>
      </c>
      <c r="Q1810" s="29" t="s">
        <v>1037</v>
      </c>
    </row>
    <row r="1811" spans="1:17" x14ac:dyDescent="0.3">
      <c r="A1811" s="29" t="s">
        <v>874</v>
      </c>
      <c r="B1811" s="29">
        <v>1</v>
      </c>
      <c r="C1811" s="29" t="s">
        <v>1111</v>
      </c>
      <c r="D1811" s="29">
        <v>6</v>
      </c>
      <c r="E1811" s="29">
        <v>55</v>
      </c>
      <c r="F1811" s="29">
        <v>80</v>
      </c>
      <c r="G1811" s="29" t="s">
        <v>1031</v>
      </c>
      <c r="H1811" s="29">
        <v>1</v>
      </c>
      <c r="J1811" s="29">
        <v>0.20935199999999998</v>
      </c>
      <c r="K1811" s="29">
        <v>0.20935199999999998</v>
      </c>
      <c r="L1811" s="29" t="s">
        <v>1036</v>
      </c>
      <c r="M1811" s="29">
        <v>1</v>
      </c>
      <c r="O1811" s="29">
        <v>1</v>
      </c>
      <c r="P1811" s="29">
        <v>0.20935199999999998</v>
      </c>
      <c r="Q1811" s="29" t="s">
        <v>1037</v>
      </c>
    </row>
    <row r="1812" spans="1:17" x14ac:dyDescent="0.3">
      <c r="A1812" s="29" t="s">
        <v>874</v>
      </c>
      <c r="B1812" s="29">
        <v>1</v>
      </c>
      <c r="C1812" s="29" t="s">
        <v>1111</v>
      </c>
      <c r="D1812" s="29">
        <v>6</v>
      </c>
      <c r="E1812" s="29">
        <v>55</v>
      </c>
      <c r="F1812" s="29">
        <v>80</v>
      </c>
      <c r="G1812" s="29" t="s">
        <v>1031</v>
      </c>
      <c r="H1812" s="29">
        <v>1</v>
      </c>
      <c r="J1812" s="29">
        <v>0.20935199999999998</v>
      </c>
      <c r="K1812" s="29">
        <v>0.20935199999999998</v>
      </c>
      <c r="L1812" s="29" t="s">
        <v>1036</v>
      </c>
      <c r="M1812" s="29">
        <v>1</v>
      </c>
      <c r="O1812" s="29">
        <v>1</v>
      </c>
      <c r="P1812" s="29">
        <v>0.20935199999999998</v>
      </c>
      <c r="Q1812" s="29" t="s">
        <v>1037</v>
      </c>
    </row>
    <row r="1813" spans="1:17" x14ac:dyDescent="0.3">
      <c r="A1813" s="29" t="s">
        <v>875</v>
      </c>
      <c r="B1813" s="29">
        <v>1</v>
      </c>
      <c r="C1813" s="29" t="s">
        <v>1111</v>
      </c>
      <c r="D1813" s="29">
        <v>9</v>
      </c>
      <c r="E1813" s="29">
        <v>55</v>
      </c>
      <c r="F1813" s="29">
        <v>80</v>
      </c>
      <c r="G1813" s="29" t="s">
        <v>1035</v>
      </c>
      <c r="H1813" s="29">
        <v>1</v>
      </c>
      <c r="J1813" s="29">
        <v>0.31085999999999997</v>
      </c>
      <c r="K1813" s="29">
        <v>0.31085999999999997</v>
      </c>
      <c r="L1813" s="29" t="s">
        <v>1036</v>
      </c>
      <c r="M1813" s="29">
        <v>1</v>
      </c>
      <c r="O1813" s="29">
        <v>1</v>
      </c>
      <c r="P1813" s="29">
        <v>0.31085999999999997</v>
      </c>
      <c r="Q1813" s="29" t="s">
        <v>1037</v>
      </c>
    </row>
    <row r="1814" spans="1:17" x14ac:dyDescent="0.3">
      <c r="A1814" s="29" t="s">
        <v>876</v>
      </c>
      <c r="B1814" s="29">
        <v>1</v>
      </c>
      <c r="C1814" s="29" t="s">
        <v>1111</v>
      </c>
      <c r="D1814" s="29">
        <v>12</v>
      </c>
      <c r="E1814" s="29">
        <v>100</v>
      </c>
      <c r="F1814" s="29">
        <v>150</v>
      </c>
      <c r="G1814" s="29" t="s">
        <v>1035</v>
      </c>
      <c r="H1814" s="29">
        <v>1</v>
      </c>
      <c r="J1814" s="29">
        <v>1.413</v>
      </c>
      <c r="K1814" s="29">
        <v>1.413</v>
      </c>
      <c r="L1814" s="29" t="s">
        <v>1036</v>
      </c>
      <c r="M1814" s="29">
        <v>1</v>
      </c>
      <c r="O1814" s="29">
        <v>1</v>
      </c>
      <c r="P1814" s="29">
        <v>1.413</v>
      </c>
      <c r="Q1814" s="29" t="s">
        <v>1037</v>
      </c>
    </row>
    <row r="1815" spans="1:17" x14ac:dyDescent="0.3">
      <c r="A1815" s="29" t="s">
        <v>876</v>
      </c>
      <c r="B1815" s="29">
        <v>1</v>
      </c>
      <c r="C1815" s="29" t="s">
        <v>1111</v>
      </c>
      <c r="D1815" s="29">
        <v>12</v>
      </c>
      <c r="E1815" s="29">
        <v>100</v>
      </c>
      <c r="F1815" s="29">
        <v>150</v>
      </c>
      <c r="G1815" s="29" t="s">
        <v>1035</v>
      </c>
      <c r="H1815" s="29">
        <v>1</v>
      </c>
      <c r="J1815" s="29">
        <v>1.413</v>
      </c>
      <c r="K1815" s="29">
        <v>1.413</v>
      </c>
      <c r="L1815" s="29" t="s">
        <v>1036</v>
      </c>
      <c r="M1815" s="29">
        <v>1</v>
      </c>
      <c r="O1815" s="29">
        <v>1</v>
      </c>
      <c r="P1815" s="29">
        <v>1.413</v>
      </c>
      <c r="Q1815" s="29" t="s">
        <v>1037</v>
      </c>
    </row>
    <row r="1816" spans="1:17" x14ac:dyDescent="0.3">
      <c r="A1816" s="29" t="s">
        <v>876</v>
      </c>
      <c r="B1816" s="29">
        <v>1</v>
      </c>
      <c r="C1816" s="29" t="s">
        <v>1111</v>
      </c>
      <c r="D1816" s="29">
        <v>12</v>
      </c>
      <c r="E1816" s="29">
        <v>100</v>
      </c>
      <c r="F1816" s="29">
        <v>150</v>
      </c>
      <c r="G1816" s="29" t="s">
        <v>1035</v>
      </c>
      <c r="H1816" s="29">
        <v>1</v>
      </c>
      <c r="J1816" s="29">
        <v>1.413</v>
      </c>
      <c r="K1816" s="29">
        <v>1.413</v>
      </c>
      <c r="L1816" s="29" t="s">
        <v>1036</v>
      </c>
      <c r="M1816" s="29">
        <v>1</v>
      </c>
      <c r="O1816" s="29">
        <v>1</v>
      </c>
      <c r="P1816" s="29">
        <v>1.413</v>
      </c>
      <c r="Q1816" s="29" t="s">
        <v>1037</v>
      </c>
    </row>
    <row r="1817" spans="1:17" x14ac:dyDescent="0.3">
      <c r="A1817" s="29" t="s">
        <v>876</v>
      </c>
      <c r="B1817" s="29">
        <v>1</v>
      </c>
      <c r="C1817" s="29" t="s">
        <v>1111</v>
      </c>
      <c r="D1817" s="29">
        <v>12</v>
      </c>
      <c r="E1817" s="29">
        <v>100</v>
      </c>
      <c r="F1817" s="29">
        <v>150</v>
      </c>
      <c r="G1817" s="29" t="s">
        <v>1035</v>
      </c>
      <c r="H1817" s="29">
        <v>1</v>
      </c>
      <c r="J1817" s="29">
        <v>1.413</v>
      </c>
      <c r="K1817" s="29">
        <v>1.413</v>
      </c>
      <c r="L1817" s="29" t="s">
        <v>1036</v>
      </c>
      <c r="M1817" s="29">
        <v>1</v>
      </c>
      <c r="O1817" s="29">
        <v>1</v>
      </c>
      <c r="P1817" s="29">
        <v>1.413</v>
      </c>
      <c r="Q1817" s="29" t="s">
        <v>1037</v>
      </c>
    </row>
    <row r="1818" spans="1:17" x14ac:dyDescent="0.3">
      <c r="A1818" s="29" t="s">
        <v>876</v>
      </c>
      <c r="B1818" s="29">
        <v>1</v>
      </c>
      <c r="C1818" s="29" t="s">
        <v>1111</v>
      </c>
      <c r="D1818" s="29">
        <v>12</v>
      </c>
      <c r="E1818" s="29">
        <v>100</v>
      </c>
      <c r="F1818" s="29">
        <v>150</v>
      </c>
      <c r="G1818" s="29" t="s">
        <v>1035</v>
      </c>
      <c r="H1818" s="29">
        <v>1</v>
      </c>
      <c r="J1818" s="29">
        <v>1.413</v>
      </c>
      <c r="K1818" s="29">
        <v>1.413</v>
      </c>
      <c r="L1818" s="29" t="s">
        <v>1036</v>
      </c>
      <c r="M1818" s="29">
        <v>1</v>
      </c>
      <c r="O1818" s="29">
        <v>1</v>
      </c>
      <c r="P1818" s="29">
        <v>1.413</v>
      </c>
      <c r="Q1818" s="29" t="s">
        <v>1037</v>
      </c>
    </row>
    <row r="1819" spans="1:17" x14ac:dyDescent="0.3">
      <c r="A1819" s="29" t="s">
        <v>877</v>
      </c>
      <c r="B1819" s="29">
        <v>1</v>
      </c>
      <c r="C1819" s="29" t="s">
        <v>1111</v>
      </c>
      <c r="D1819" s="29">
        <v>9</v>
      </c>
      <c r="E1819" s="29">
        <v>100</v>
      </c>
      <c r="F1819" s="29">
        <v>150</v>
      </c>
      <c r="G1819" s="29" t="s">
        <v>1031</v>
      </c>
      <c r="H1819" s="29">
        <v>1</v>
      </c>
      <c r="J1819" s="29">
        <v>1.0705499999999999</v>
      </c>
      <c r="K1819" s="29">
        <v>1.0705499999999999</v>
      </c>
      <c r="L1819" s="29" t="s">
        <v>1036</v>
      </c>
      <c r="M1819" s="29">
        <v>1</v>
      </c>
      <c r="O1819" s="29">
        <v>1</v>
      </c>
      <c r="P1819" s="29">
        <v>1.0705499999999999</v>
      </c>
      <c r="Q1819" s="29" t="s">
        <v>1037</v>
      </c>
    </row>
    <row r="1820" spans="1:17" x14ac:dyDescent="0.3">
      <c r="A1820" s="29" t="s">
        <v>878</v>
      </c>
      <c r="B1820" s="29">
        <v>1</v>
      </c>
      <c r="C1820" s="29" t="s">
        <v>1111</v>
      </c>
      <c r="D1820" s="29">
        <v>12</v>
      </c>
      <c r="E1820" s="29">
        <v>100</v>
      </c>
      <c r="F1820" s="29">
        <v>150</v>
      </c>
      <c r="G1820" s="29" t="s">
        <v>1035</v>
      </c>
      <c r="H1820" s="29">
        <v>1</v>
      </c>
      <c r="J1820" s="29">
        <v>1.413</v>
      </c>
      <c r="K1820" s="29">
        <v>1.413</v>
      </c>
      <c r="L1820" s="29" t="s">
        <v>1036</v>
      </c>
      <c r="M1820" s="29">
        <v>1</v>
      </c>
      <c r="O1820" s="29">
        <v>1</v>
      </c>
      <c r="P1820" s="29">
        <v>1.413</v>
      </c>
      <c r="Q1820" s="29" t="s">
        <v>1037</v>
      </c>
    </row>
    <row r="1821" spans="1:17" x14ac:dyDescent="0.3">
      <c r="A1821" s="29" t="s">
        <v>878</v>
      </c>
      <c r="B1821" s="29">
        <v>1</v>
      </c>
      <c r="C1821" s="29" t="s">
        <v>1111</v>
      </c>
      <c r="D1821" s="29">
        <v>12</v>
      </c>
      <c r="E1821" s="29">
        <v>100</v>
      </c>
      <c r="F1821" s="29">
        <v>150</v>
      </c>
      <c r="G1821" s="29" t="s">
        <v>1035</v>
      </c>
      <c r="H1821" s="29">
        <v>1</v>
      </c>
      <c r="J1821" s="29">
        <v>1.413</v>
      </c>
      <c r="K1821" s="29">
        <v>1.413</v>
      </c>
      <c r="L1821" s="29" t="s">
        <v>1036</v>
      </c>
      <c r="M1821" s="29">
        <v>1</v>
      </c>
      <c r="O1821" s="29">
        <v>1</v>
      </c>
      <c r="P1821" s="29">
        <v>1.413</v>
      </c>
      <c r="Q1821" s="29" t="s">
        <v>1037</v>
      </c>
    </row>
    <row r="1822" spans="1:17" x14ac:dyDescent="0.3">
      <c r="A1822" s="29" t="s">
        <v>878</v>
      </c>
      <c r="B1822" s="29">
        <v>1</v>
      </c>
      <c r="C1822" s="29" t="s">
        <v>1111</v>
      </c>
      <c r="D1822" s="29">
        <v>12</v>
      </c>
      <c r="E1822" s="29">
        <v>100</v>
      </c>
      <c r="F1822" s="29">
        <v>150</v>
      </c>
      <c r="G1822" s="29" t="s">
        <v>1035</v>
      </c>
      <c r="H1822" s="29">
        <v>1</v>
      </c>
      <c r="J1822" s="29">
        <v>1.413</v>
      </c>
      <c r="K1822" s="29">
        <v>1.413</v>
      </c>
      <c r="L1822" s="29" t="s">
        <v>1036</v>
      </c>
      <c r="M1822" s="29">
        <v>1</v>
      </c>
      <c r="O1822" s="29">
        <v>1</v>
      </c>
      <c r="P1822" s="29">
        <v>1.413</v>
      </c>
      <c r="Q1822" s="29" t="s">
        <v>1037</v>
      </c>
    </row>
    <row r="1823" spans="1:17" x14ac:dyDescent="0.3">
      <c r="A1823" s="29" t="s">
        <v>878</v>
      </c>
      <c r="B1823" s="29">
        <v>1</v>
      </c>
      <c r="C1823" s="29" t="s">
        <v>1111</v>
      </c>
      <c r="D1823" s="29">
        <v>12</v>
      </c>
      <c r="E1823" s="29">
        <v>100</v>
      </c>
      <c r="F1823" s="29">
        <v>150</v>
      </c>
      <c r="G1823" s="29" t="s">
        <v>1035</v>
      </c>
      <c r="H1823" s="29">
        <v>1</v>
      </c>
      <c r="J1823" s="29">
        <v>1.413</v>
      </c>
      <c r="K1823" s="29">
        <v>1.413</v>
      </c>
      <c r="L1823" s="29" t="s">
        <v>1036</v>
      </c>
      <c r="M1823" s="29">
        <v>1</v>
      </c>
      <c r="O1823" s="29">
        <v>1</v>
      </c>
      <c r="P1823" s="29">
        <v>1.413</v>
      </c>
      <c r="Q1823" s="29" t="s">
        <v>1037</v>
      </c>
    </row>
    <row r="1824" spans="1:17" x14ac:dyDescent="0.3">
      <c r="A1824" s="29" t="s">
        <v>878</v>
      </c>
      <c r="B1824" s="29">
        <v>1</v>
      </c>
      <c r="C1824" s="29" t="s">
        <v>1111</v>
      </c>
      <c r="D1824" s="29">
        <v>12</v>
      </c>
      <c r="E1824" s="29">
        <v>100</v>
      </c>
      <c r="F1824" s="29">
        <v>150</v>
      </c>
      <c r="G1824" s="29" t="s">
        <v>1035</v>
      </c>
      <c r="H1824" s="29">
        <v>1</v>
      </c>
      <c r="J1824" s="29">
        <v>1.413</v>
      </c>
      <c r="K1824" s="29">
        <v>1.413</v>
      </c>
      <c r="L1824" s="29" t="s">
        <v>1036</v>
      </c>
      <c r="M1824" s="29">
        <v>1</v>
      </c>
      <c r="O1824" s="29">
        <v>1</v>
      </c>
      <c r="P1824" s="29">
        <v>1.413</v>
      </c>
      <c r="Q1824" s="29" t="s">
        <v>1037</v>
      </c>
    </row>
    <row r="1825" spans="1:17" x14ac:dyDescent="0.3">
      <c r="A1825" s="29" t="s">
        <v>878</v>
      </c>
      <c r="B1825" s="29">
        <v>1</v>
      </c>
      <c r="C1825" s="29" t="s">
        <v>1111</v>
      </c>
      <c r="D1825" s="29">
        <v>12</v>
      </c>
      <c r="E1825" s="29">
        <v>100</v>
      </c>
      <c r="F1825" s="29">
        <v>150</v>
      </c>
      <c r="G1825" s="29" t="s">
        <v>1035</v>
      </c>
      <c r="H1825" s="29">
        <v>1</v>
      </c>
      <c r="J1825" s="29">
        <v>1.413</v>
      </c>
      <c r="K1825" s="29">
        <v>1.413</v>
      </c>
      <c r="L1825" s="29" t="s">
        <v>1036</v>
      </c>
      <c r="M1825" s="29">
        <v>1</v>
      </c>
      <c r="O1825" s="29">
        <v>1</v>
      </c>
      <c r="P1825" s="29">
        <v>1.413</v>
      </c>
      <c r="Q1825" s="29" t="s">
        <v>1037</v>
      </c>
    </row>
    <row r="1826" spans="1:17" x14ac:dyDescent="0.3">
      <c r="A1826" s="29" t="s">
        <v>878</v>
      </c>
      <c r="B1826" s="29">
        <v>1</v>
      </c>
      <c r="C1826" s="29" t="s">
        <v>1111</v>
      </c>
      <c r="D1826" s="29">
        <v>12</v>
      </c>
      <c r="E1826" s="29">
        <v>100</v>
      </c>
      <c r="F1826" s="29">
        <v>150</v>
      </c>
      <c r="G1826" s="29" t="s">
        <v>1035</v>
      </c>
      <c r="H1826" s="29">
        <v>1</v>
      </c>
      <c r="J1826" s="29">
        <v>1.413</v>
      </c>
      <c r="K1826" s="29">
        <v>1.413</v>
      </c>
      <c r="L1826" s="29" t="s">
        <v>1036</v>
      </c>
      <c r="M1826" s="29">
        <v>1</v>
      </c>
      <c r="O1826" s="29">
        <v>1</v>
      </c>
      <c r="P1826" s="29">
        <v>1.413</v>
      </c>
      <c r="Q1826" s="29" t="s">
        <v>1037</v>
      </c>
    </row>
    <row r="1827" spans="1:17" x14ac:dyDescent="0.3">
      <c r="A1827" s="29" t="s">
        <v>879</v>
      </c>
      <c r="B1827" s="29">
        <v>1</v>
      </c>
      <c r="C1827" s="29" t="s">
        <v>1111</v>
      </c>
      <c r="D1827" s="29">
        <v>12</v>
      </c>
      <c r="E1827" s="29">
        <v>100</v>
      </c>
      <c r="F1827" s="29">
        <v>150</v>
      </c>
      <c r="G1827" s="29" t="s">
        <v>1035</v>
      </c>
      <c r="H1827" s="29">
        <v>1</v>
      </c>
      <c r="J1827" s="29">
        <v>1.413</v>
      </c>
      <c r="K1827" s="29">
        <v>1.413</v>
      </c>
      <c r="L1827" s="29" t="s">
        <v>1036</v>
      </c>
      <c r="M1827" s="29">
        <v>1</v>
      </c>
      <c r="O1827" s="29">
        <v>1</v>
      </c>
      <c r="P1827" s="29">
        <v>1.413</v>
      </c>
      <c r="Q1827" s="29" t="s">
        <v>1037</v>
      </c>
    </row>
    <row r="1828" spans="1:17" x14ac:dyDescent="0.3">
      <c r="A1828" s="29" t="s">
        <v>879</v>
      </c>
      <c r="B1828" s="29">
        <v>1</v>
      </c>
      <c r="C1828" s="29" t="s">
        <v>1111</v>
      </c>
      <c r="D1828" s="29">
        <v>12</v>
      </c>
      <c r="E1828" s="29">
        <v>100</v>
      </c>
      <c r="F1828" s="29">
        <v>150</v>
      </c>
      <c r="G1828" s="29" t="s">
        <v>1035</v>
      </c>
      <c r="H1828" s="29">
        <v>1</v>
      </c>
      <c r="J1828" s="29">
        <v>1.413</v>
      </c>
      <c r="K1828" s="29">
        <v>1.413</v>
      </c>
      <c r="L1828" s="29" t="s">
        <v>1036</v>
      </c>
      <c r="M1828" s="29">
        <v>1</v>
      </c>
      <c r="O1828" s="29">
        <v>1</v>
      </c>
      <c r="P1828" s="29">
        <v>1.413</v>
      </c>
      <c r="Q1828" s="29" t="s">
        <v>1037</v>
      </c>
    </row>
    <row r="1829" spans="1:17" x14ac:dyDescent="0.3">
      <c r="A1829" s="29" t="s">
        <v>879</v>
      </c>
      <c r="B1829" s="29">
        <v>1</v>
      </c>
      <c r="C1829" s="29" t="s">
        <v>1111</v>
      </c>
      <c r="D1829" s="29">
        <v>12</v>
      </c>
      <c r="E1829" s="29">
        <v>100</v>
      </c>
      <c r="F1829" s="29">
        <v>150</v>
      </c>
      <c r="G1829" s="29" t="s">
        <v>1035</v>
      </c>
      <c r="H1829" s="29">
        <v>1</v>
      </c>
      <c r="J1829" s="29">
        <v>1.413</v>
      </c>
      <c r="K1829" s="29">
        <v>1.413</v>
      </c>
      <c r="L1829" s="29" t="s">
        <v>1036</v>
      </c>
      <c r="M1829" s="29">
        <v>1</v>
      </c>
      <c r="O1829" s="29">
        <v>1</v>
      </c>
      <c r="P1829" s="29">
        <v>1.413</v>
      </c>
      <c r="Q1829" s="29" t="s">
        <v>1037</v>
      </c>
    </row>
    <row r="1830" spans="1:17" x14ac:dyDescent="0.3">
      <c r="A1830" s="29" t="s">
        <v>879</v>
      </c>
      <c r="B1830" s="29">
        <v>1</v>
      </c>
      <c r="C1830" s="29" t="s">
        <v>1111</v>
      </c>
      <c r="D1830" s="29">
        <v>12</v>
      </c>
      <c r="E1830" s="29">
        <v>100</v>
      </c>
      <c r="F1830" s="29">
        <v>150</v>
      </c>
      <c r="G1830" s="29" t="s">
        <v>1035</v>
      </c>
      <c r="H1830" s="29">
        <v>1</v>
      </c>
      <c r="J1830" s="29">
        <v>1.413</v>
      </c>
      <c r="K1830" s="29">
        <v>1.413</v>
      </c>
      <c r="L1830" s="29" t="s">
        <v>1036</v>
      </c>
      <c r="M1830" s="29">
        <v>1</v>
      </c>
      <c r="O1830" s="29">
        <v>1</v>
      </c>
      <c r="P1830" s="29">
        <v>1.413</v>
      </c>
      <c r="Q1830" s="29" t="s">
        <v>1037</v>
      </c>
    </row>
    <row r="1831" spans="1:17" x14ac:dyDescent="0.3">
      <c r="A1831" s="29" t="s">
        <v>879</v>
      </c>
      <c r="B1831" s="29">
        <v>1</v>
      </c>
      <c r="C1831" s="29" t="s">
        <v>1111</v>
      </c>
      <c r="D1831" s="29">
        <v>12</v>
      </c>
      <c r="E1831" s="29">
        <v>100</v>
      </c>
      <c r="F1831" s="29">
        <v>150</v>
      </c>
      <c r="G1831" s="29" t="s">
        <v>1035</v>
      </c>
      <c r="H1831" s="29">
        <v>1</v>
      </c>
      <c r="J1831" s="29">
        <v>1.413</v>
      </c>
      <c r="K1831" s="29">
        <v>1.413</v>
      </c>
      <c r="L1831" s="29" t="s">
        <v>1036</v>
      </c>
      <c r="M1831" s="29">
        <v>1</v>
      </c>
      <c r="O1831" s="29">
        <v>1</v>
      </c>
      <c r="P1831" s="29">
        <v>1.413</v>
      </c>
      <c r="Q1831" s="29" t="s">
        <v>1037</v>
      </c>
    </row>
    <row r="1832" spans="1:17" x14ac:dyDescent="0.3">
      <c r="A1832" s="29" t="s">
        <v>879</v>
      </c>
      <c r="B1832" s="29">
        <v>1</v>
      </c>
      <c r="C1832" s="29" t="s">
        <v>1111</v>
      </c>
      <c r="D1832" s="29">
        <v>12</v>
      </c>
      <c r="E1832" s="29">
        <v>100</v>
      </c>
      <c r="F1832" s="29">
        <v>150</v>
      </c>
      <c r="G1832" s="29" t="s">
        <v>1035</v>
      </c>
      <c r="H1832" s="29">
        <v>1</v>
      </c>
      <c r="J1832" s="29">
        <v>1.413</v>
      </c>
      <c r="K1832" s="29">
        <v>1.413</v>
      </c>
      <c r="L1832" s="29" t="s">
        <v>1036</v>
      </c>
      <c r="M1832" s="29">
        <v>1</v>
      </c>
      <c r="O1832" s="29">
        <v>1</v>
      </c>
      <c r="P1832" s="29">
        <v>1.413</v>
      </c>
      <c r="Q1832" s="29" t="s">
        <v>1037</v>
      </c>
    </row>
    <row r="1833" spans="1:17" x14ac:dyDescent="0.3">
      <c r="A1833" s="29" t="s">
        <v>880</v>
      </c>
      <c r="B1833" s="29">
        <v>1</v>
      </c>
      <c r="C1833" s="29" t="s">
        <v>1111</v>
      </c>
      <c r="D1833" s="29">
        <v>9</v>
      </c>
      <c r="E1833" s="29">
        <v>100</v>
      </c>
      <c r="F1833" s="29">
        <v>150</v>
      </c>
      <c r="G1833" s="29" t="s">
        <v>1031</v>
      </c>
      <c r="H1833" s="29">
        <v>1</v>
      </c>
      <c r="J1833" s="29">
        <v>1.0705499999999999</v>
      </c>
      <c r="K1833" s="29">
        <v>1.0705499999999999</v>
      </c>
      <c r="L1833" s="29" t="s">
        <v>1036</v>
      </c>
      <c r="M1833" s="29">
        <v>1</v>
      </c>
      <c r="O1833" s="29">
        <v>1</v>
      </c>
      <c r="P1833" s="29">
        <v>1.0705499999999999</v>
      </c>
      <c r="Q1833" s="29" t="s">
        <v>1037</v>
      </c>
    </row>
    <row r="1834" spans="1:17" x14ac:dyDescent="0.3">
      <c r="A1834" s="29" t="s">
        <v>881</v>
      </c>
      <c r="B1834" s="29" t="s">
        <v>1042</v>
      </c>
    </row>
    <row r="1835" spans="1:17" x14ac:dyDescent="0.3">
      <c r="A1835" s="29" t="s">
        <v>881</v>
      </c>
      <c r="B1835" s="29" t="s">
        <v>1042</v>
      </c>
    </row>
    <row r="1836" spans="1:17" x14ac:dyDescent="0.3">
      <c r="A1836" s="29" t="s">
        <v>882</v>
      </c>
      <c r="B1836" s="29" t="s">
        <v>1042</v>
      </c>
    </row>
    <row r="1837" spans="1:17" x14ac:dyDescent="0.3">
      <c r="A1837" s="29" t="s">
        <v>882</v>
      </c>
      <c r="B1837" s="29" t="s">
        <v>1042</v>
      </c>
    </row>
    <row r="1838" spans="1:17" x14ac:dyDescent="0.3">
      <c r="A1838" s="29" t="s">
        <v>883</v>
      </c>
      <c r="B1838" s="29" t="s">
        <v>1042</v>
      </c>
    </row>
    <row r="1839" spans="1:17" x14ac:dyDescent="0.3">
      <c r="A1839" s="29" t="s">
        <v>884</v>
      </c>
      <c r="B1839" s="29" t="s">
        <v>1042</v>
      </c>
    </row>
    <row r="1840" spans="1:17" x14ac:dyDescent="0.3">
      <c r="A1840" s="29" t="s">
        <v>885</v>
      </c>
      <c r="B1840" s="29" t="s">
        <v>1042</v>
      </c>
    </row>
    <row r="1841" spans="1:17" x14ac:dyDescent="0.3">
      <c r="A1841" s="29" t="s">
        <v>886</v>
      </c>
      <c r="B1841" s="29" t="s">
        <v>1042</v>
      </c>
    </row>
    <row r="1842" spans="1:17" x14ac:dyDescent="0.3">
      <c r="A1842" s="29" t="s">
        <v>887</v>
      </c>
      <c r="B1842" s="29" t="s">
        <v>1042</v>
      </c>
    </row>
    <row r="1843" spans="1:17" x14ac:dyDescent="0.3">
      <c r="A1843" s="29" t="s">
        <v>888</v>
      </c>
      <c r="B1843" s="29" t="s">
        <v>1042</v>
      </c>
    </row>
    <row r="1844" spans="1:17" x14ac:dyDescent="0.3">
      <c r="A1844" s="29" t="s">
        <v>889</v>
      </c>
      <c r="B1844" s="29" t="s">
        <v>1042</v>
      </c>
    </row>
    <row r="1845" spans="1:17" x14ac:dyDescent="0.3">
      <c r="A1845" s="29" t="s">
        <v>890</v>
      </c>
      <c r="B1845" s="29" t="s">
        <v>1042</v>
      </c>
    </row>
    <row r="1846" spans="1:17" x14ac:dyDescent="0.3">
      <c r="A1846" s="29" t="s">
        <v>891</v>
      </c>
      <c r="B1846" s="29" t="s">
        <v>1042</v>
      </c>
    </row>
    <row r="1847" spans="1:17" x14ac:dyDescent="0.3">
      <c r="A1847" s="29" t="s">
        <v>892</v>
      </c>
      <c r="B1847" s="29">
        <v>1</v>
      </c>
      <c r="C1847" s="29" t="s">
        <v>1089</v>
      </c>
      <c r="D1847" s="29" t="s">
        <v>1099</v>
      </c>
      <c r="E1847" s="29">
        <v>150</v>
      </c>
      <c r="G1847" s="29" t="s">
        <v>1035</v>
      </c>
      <c r="H1847" s="29">
        <v>1</v>
      </c>
      <c r="I1847" s="29">
        <v>20.9</v>
      </c>
      <c r="J1847" s="29">
        <v>3.1349999999999998</v>
      </c>
      <c r="K1847" s="29">
        <v>3.1349999999999998</v>
      </c>
      <c r="L1847" s="29" t="s">
        <v>1032</v>
      </c>
      <c r="M1847" s="29">
        <v>1</v>
      </c>
      <c r="N1847" s="29">
        <v>0.15</v>
      </c>
      <c r="O1847" s="29">
        <v>1</v>
      </c>
      <c r="P1847" s="29">
        <v>3.1349999999999998</v>
      </c>
      <c r="Q1847" s="29" t="s">
        <v>1033</v>
      </c>
    </row>
    <row r="1848" spans="1:17" x14ac:dyDescent="0.3">
      <c r="A1848" s="29" t="s">
        <v>892</v>
      </c>
      <c r="B1848" s="29">
        <v>1</v>
      </c>
      <c r="C1848" s="29" t="s">
        <v>1089</v>
      </c>
      <c r="D1848" s="29" t="s">
        <v>1099</v>
      </c>
      <c r="E1848" s="29">
        <v>150</v>
      </c>
      <c r="G1848" s="29" t="s">
        <v>1035</v>
      </c>
      <c r="H1848" s="29">
        <v>1</v>
      </c>
      <c r="I1848" s="29">
        <v>20.9</v>
      </c>
      <c r="J1848" s="29">
        <v>3.1349999999999998</v>
      </c>
      <c r="K1848" s="29">
        <v>3.1349999999999998</v>
      </c>
      <c r="L1848" s="29" t="s">
        <v>1032</v>
      </c>
      <c r="M1848" s="29">
        <v>1</v>
      </c>
      <c r="N1848" s="29">
        <v>0.15</v>
      </c>
      <c r="O1848" s="29">
        <v>1</v>
      </c>
      <c r="P1848" s="29">
        <v>3.1349999999999998</v>
      </c>
      <c r="Q1848" s="29" t="s">
        <v>1033</v>
      </c>
    </row>
    <row r="1849" spans="1:17" x14ac:dyDescent="0.3">
      <c r="A1849" s="29" t="s">
        <v>892</v>
      </c>
      <c r="B1849" s="29">
        <v>1</v>
      </c>
      <c r="C1849" s="29" t="s">
        <v>1089</v>
      </c>
      <c r="D1849" s="29" t="s">
        <v>1099</v>
      </c>
      <c r="E1849" s="29">
        <v>150</v>
      </c>
      <c r="G1849" s="29" t="s">
        <v>1035</v>
      </c>
      <c r="H1849" s="29">
        <v>1</v>
      </c>
      <c r="I1849" s="29">
        <v>20.9</v>
      </c>
      <c r="J1849" s="29">
        <v>3.1349999999999998</v>
      </c>
      <c r="K1849" s="29">
        <v>3.1349999999999998</v>
      </c>
      <c r="L1849" s="29" t="s">
        <v>1032</v>
      </c>
      <c r="M1849" s="29">
        <v>1</v>
      </c>
      <c r="N1849" s="29">
        <v>0.15</v>
      </c>
      <c r="O1849" s="29">
        <v>1</v>
      </c>
      <c r="P1849" s="29">
        <v>3.1349999999999998</v>
      </c>
      <c r="Q1849" s="29" t="s">
        <v>1033</v>
      </c>
    </row>
    <row r="1850" spans="1:17" x14ac:dyDescent="0.3">
      <c r="A1850" s="29" t="s">
        <v>892</v>
      </c>
      <c r="B1850" s="29">
        <v>1</v>
      </c>
      <c r="C1850" s="29" t="s">
        <v>1089</v>
      </c>
      <c r="D1850" s="29" t="s">
        <v>1099</v>
      </c>
      <c r="E1850" s="29">
        <v>150</v>
      </c>
      <c r="G1850" s="29" t="s">
        <v>1035</v>
      </c>
      <c r="H1850" s="29">
        <v>1</v>
      </c>
      <c r="I1850" s="29">
        <v>20.9</v>
      </c>
      <c r="J1850" s="29">
        <v>3.1349999999999998</v>
      </c>
      <c r="K1850" s="29">
        <v>3.1349999999999998</v>
      </c>
      <c r="L1850" s="29" t="s">
        <v>1032</v>
      </c>
      <c r="M1850" s="29">
        <v>1</v>
      </c>
      <c r="N1850" s="29">
        <v>0.15</v>
      </c>
      <c r="O1850" s="29">
        <v>1</v>
      </c>
      <c r="P1850" s="29">
        <v>3.1349999999999998</v>
      </c>
      <c r="Q1850" s="29" t="s">
        <v>1033</v>
      </c>
    </row>
    <row r="1851" spans="1:17" x14ac:dyDescent="0.3">
      <c r="A1851" s="29" t="s">
        <v>892</v>
      </c>
      <c r="B1851" s="29">
        <v>1</v>
      </c>
      <c r="C1851" s="29" t="s">
        <v>1089</v>
      </c>
      <c r="D1851" s="29" t="s">
        <v>1099</v>
      </c>
      <c r="E1851" s="29">
        <v>150</v>
      </c>
      <c r="G1851" s="29" t="s">
        <v>1035</v>
      </c>
      <c r="H1851" s="29">
        <v>1</v>
      </c>
      <c r="I1851" s="29">
        <v>20.9</v>
      </c>
      <c r="J1851" s="29">
        <v>3.1349999999999998</v>
      </c>
      <c r="K1851" s="29">
        <v>3.1349999999999998</v>
      </c>
      <c r="L1851" s="29" t="s">
        <v>1032</v>
      </c>
      <c r="M1851" s="29">
        <v>1</v>
      </c>
      <c r="N1851" s="29">
        <v>0.15</v>
      </c>
      <c r="O1851" s="29">
        <v>1</v>
      </c>
      <c r="P1851" s="29">
        <v>3.1349999999999998</v>
      </c>
      <c r="Q1851" s="29" t="s">
        <v>1033</v>
      </c>
    </row>
    <row r="1852" spans="1:17" x14ac:dyDescent="0.3">
      <c r="A1852" s="29" t="s">
        <v>893</v>
      </c>
      <c r="B1852" s="29">
        <v>1</v>
      </c>
      <c r="C1852" s="29" t="s">
        <v>1089</v>
      </c>
      <c r="D1852" s="29" t="s">
        <v>1099</v>
      </c>
      <c r="E1852" s="29">
        <v>150</v>
      </c>
      <c r="G1852" s="29" t="s">
        <v>1031</v>
      </c>
      <c r="H1852" s="29">
        <v>1</v>
      </c>
      <c r="I1852" s="29">
        <v>20.9</v>
      </c>
      <c r="J1852" s="29">
        <v>3.1349999999999998</v>
      </c>
      <c r="K1852" s="29">
        <v>3.1349999999999998</v>
      </c>
      <c r="L1852" s="29" t="s">
        <v>1032</v>
      </c>
      <c r="M1852" s="29">
        <v>1</v>
      </c>
      <c r="N1852" s="29">
        <v>0.15</v>
      </c>
      <c r="O1852" s="29">
        <v>1</v>
      </c>
      <c r="P1852" s="29">
        <v>3.1349999999999998</v>
      </c>
      <c r="Q1852" s="29" t="s">
        <v>1033</v>
      </c>
    </row>
    <row r="1853" spans="1:17" x14ac:dyDescent="0.3">
      <c r="A1853" s="29" t="s">
        <v>893</v>
      </c>
      <c r="B1853" s="29">
        <v>1</v>
      </c>
      <c r="C1853" s="29" t="s">
        <v>1089</v>
      </c>
      <c r="D1853" s="29" t="s">
        <v>1099</v>
      </c>
      <c r="E1853" s="29">
        <v>150</v>
      </c>
      <c r="G1853" s="29" t="s">
        <v>1031</v>
      </c>
      <c r="H1853" s="29">
        <v>1</v>
      </c>
      <c r="I1853" s="29">
        <v>20.9</v>
      </c>
      <c r="J1853" s="29">
        <v>3.1349999999999998</v>
      </c>
      <c r="K1853" s="29">
        <v>3.1349999999999998</v>
      </c>
      <c r="L1853" s="29" t="s">
        <v>1032</v>
      </c>
      <c r="M1853" s="29">
        <v>1</v>
      </c>
      <c r="N1853" s="29">
        <v>0.15</v>
      </c>
      <c r="O1853" s="29">
        <v>1</v>
      </c>
      <c r="P1853" s="29">
        <v>3.1349999999999998</v>
      </c>
      <c r="Q1853" s="29" t="s">
        <v>1033</v>
      </c>
    </row>
    <row r="1854" spans="1:17" x14ac:dyDescent="0.3">
      <c r="A1854" s="29" t="s">
        <v>894</v>
      </c>
      <c r="B1854" s="29">
        <v>1</v>
      </c>
      <c r="C1854" s="29" t="s">
        <v>1089</v>
      </c>
      <c r="D1854" s="29" t="s">
        <v>1099</v>
      </c>
      <c r="E1854" s="29">
        <v>150</v>
      </c>
      <c r="G1854" s="29" t="s">
        <v>1035</v>
      </c>
      <c r="H1854" s="29">
        <v>1</v>
      </c>
      <c r="I1854" s="29">
        <v>20.9</v>
      </c>
      <c r="J1854" s="29">
        <v>3.1349999999999998</v>
      </c>
      <c r="K1854" s="29">
        <v>3.1349999999999998</v>
      </c>
      <c r="L1854" s="29" t="s">
        <v>1032</v>
      </c>
      <c r="M1854" s="29">
        <v>1</v>
      </c>
      <c r="N1854" s="29">
        <v>0.15</v>
      </c>
      <c r="O1854" s="29">
        <v>1</v>
      </c>
      <c r="P1854" s="29">
        <v>3.1349999999999998</v>
      </c>
      <c r="Q1854" s="29" t="s">
        <v>1033</v>
      </c>
    </row>
    <row r="1855" spans="1:17" x14ac:dyDescent="0.3">
      <c r="A1855" s="29" t="s">
        <v>894</v>
      </c>
      <c r="B1855" s="29">
        <v>1</v>
      </c>
      <c r="C1855" s="29" t="s">
        <v>1089</v>
      </c>
      <c r="D1855" s="29" t="s">
        <v>1099</v>
      </c>
      <c r="E1855" s="29">
        <v>150</v>
      </c>
      <c r="G1855" s="29" t="s">
        <v>1035</v>
      </c>
      <c r="H1855" s="29">
        <v>1</v>
      </c>
      <c r="I1855" s="29">
        <v>20.9</v>
      </c>
      <c r="J1855" s="29">
        <v>3.1349999999999998</v>
      </c>
      <c r="K1855" s="29">
        <v>3.1349999999999998</v>
      </c>
      <c r="L1855" s="29" t="s">
        <v>1032</v>
      </c>
      <c r="M1855" s="29">
        <v>1</v>
      </c>
      <c r="N1855" s="29">
        <v>0.15</v>
      </c>
      <c r="O1855" s="29">
        <v>1</v>
      </c>
      <c r="P1855" s="29">
        <v>3.1349999999999998</v>
      </c>
      <c r="Q1855" s="29" t="s">
        <v>1033</v>
      </c>
    </row>
    <row r="1856" spans="1:17" x14ac:dyDescent="0.3">
      <c r="A1856" s="29" t="s">
        <v>895</v>
      </c>
      <c r="B1856" s="29">
        <v>1</v>
      </c>
      <c r="C1856" s="29" t="s">
        <v>1089</v>
      </c>
      <c r="D1856" s="29" t="s">
        <v>1100</v>
      </c>
      <c r="E1856" s="29">
        <v>250</v>
      </c>
      <c r="G1856" s="29" t="s">
        <v>1035</v>
      </c>
      <c r="H1856" s="29">
        <v>1</v>
      </c>
      <c r="I1856" s="29">
        <v>49.9</v>
      </c>
      <c r="J1856" s="29">
        <v>12.475</v>
      </c>
      <c r="K1856" s="29">
        <v>12.475</v>
      </c>
      <c r="L1856" s="29" t="s">
        <v>1032</v>
      </c>
      <c r="M1856" s="29">
        <v>1</v>
      </c>
      <c r="N1856" s="29">
        <v>0.25</v>
      </c>
      <c r="O1856" s="29">
        <v>1</v>
      </c>
      <c r="P1856" s="29">
        <v>12.475</v>
      </c>
      <c r="Q1856" s="29" t="s">
        <v>1033</v>
      </c>
    </row>
    <row r="1857" spans="1:17" x14ac:dyDescent="0.3">
      <c r="B1857" s="29">
        <v>2</v>
      </c>
      <c r="C1857" s="29" t="s">
        <v>1101</v>
      </c>
      <c r="D1857" s="29">
        <v>9</v>
      </c>
      <c r="E1857" s="29">
        <v>168.25</v>
      </c>
      <c r="F1857" s="29">
        <v>300</v>
      </c>
      <c r="G1857" s="29" t="s">
        <v>1035</v>
      </c>
      <c r="H1857" s="29">
        <v>1</v>
      </c>
      <c r="J1857" s="29">
        <v>3.5660587499999998</v>
      </c>
      <c r="K1857" s="29">
        <v>3.5660587499999998</v>
      </c>
      <c r="L1857" s="29" t="s">
        <v>1036</v>
      </c>
      <c r="M1857" s="29">
        <v>1</v>
      </c>
      <c r="O1857" s="29">
        <v>1</v>
      </c>
      <c r="P1857" s="29">
        <v>3.5660587499999998</v>
      </c>
      <c r="Q1857" s="29" t="s">
        <v>1037</v>
      </c>
    </row>
    <row r="1858" spans="1:17" x14ac:dyDescent="0.3">
      <c r="A1858" s="29" t="s">
        <v>895</v>
      </c>
      <c r="B1858" s="29">
        <v>1</v>
      </c>
      <c r="C1858" s="29" t="s">
        <v>1089</v>
      </c>
      <c r="D1858" s="29" t="s">
        <v>1100</v>
      </c>
      <c r="E1858" s="29">
        <v>250</v>
      </c>
      <c r="G1858" s="29" t="s">
        <v>1035</v>
      </c>
      <c r="H1858" s="29">
        <v>1</v>
      </c>
      <c r="I1858" s="29">
        <v>49.9</v>
      </c>
      <c r="J1858" s="29">
        <v>12.475</v>
      </c>
      <c r="K1858" s="29">
        <v>12.475</v>
      </c>
      <c r="L1858" s="29" t="s">
        <v>1032</v>
      </c>
      <c r="M1858" s="29">
        <v>1</v>
      </c>
      <c r="N1858" s="29">
        <v>0.25</v>
      </c>
      <c r="O1858" s="29">
        <v>1</v>
      </c>
      <c r="P1858" s="29">
        <v>12.475</v>
      </c>
      <c r="Q1858" s="29" t="s">
        <v>1033</v>
      </c>
    </row>
    <row r="1859" spans="1:17" x14ac:dyDescent="0.3">
      <c r="B1859" s="29">
        <v>2</v>
      </c>
      <c r="C1859" s="29" t="s">
        <v>1101</v>
      </c>
      <c r="D1859" s="29">
        <v>9</v>
      </c>
      <c r="E1859" s="29">
        <v>168.25</v>
      </c>
      <c r="F1859" s="29">
        <v>300</v>
      </c>
      <c r="G1859" s="29" t="s">
        <v>1035</v>
      </c>
      <c r="H1859" s="29">
        <v>1</v>
      </c>
      <c r="J1859" s="29">
        <v>3.5660587499999998</v>
      </c>
      <c r="K1859" s="29">
        <v>3.5660587499999998</v>
      </c>
      <c r="L1859" s="29" t="s">
        <v>1036</v>
      </c>
      <c r="M1859" s="29">
        <v>1</v>
      </c>
      <c r="O1859" s="29">
        <v>1</v>
      </c>
      <c r="P1859" s="29">
        <v>3.5660587499999998</v>
      </c>
      <c r="Q1859" s="29" t="s">
        <v>1037</v>
      </c>
    </row>
    <row r="1860" spans="1:17" x14ac:dyDescent="0.3">
      <c r="A1860" s="29" t="s">
        <v>896</v>
      </c>
      <c r="B1860" s="29">
        <v>1</v>
      </c>
      <c r="C1860" s="29" t="s">
        <v>1089</v>
      </c>
      <c r="D1860" s="29" t="s">
        <v>1100</v>
      </c>
      <c r="E1860" s="29">
        <v>300</v>
      </c>
      <c r="G1860" s="29" t="s">
        <v>1035</v>
      </c>
      <c r="H1860" s="29">
        <v>1</v>
      </c>
      <c r="I1860" s="29">
        <v>49.9</v>
      </c>
      <c r="J1860" s="29">
        <v>14.969999999999999</v>
      </c>
      <c r="K1860" s="29">
        <v>14.969999999999999</v>
      </c>
      <c r="L1860" s="29" t="s">
        <v>1032</v>
      </c>
      <c r="M1860" s="29">
        <v>1</v>
      </c>
      <c r="N1860" s="29">
        <v>0.3</v>
      </c>
      <c r="O1860" s="29">
        <v>1</v>
      </c>
      <c r="P1860" s="29">
        <v>14.969999999999999</v>
      </c>
      <c r="Q1860" s="29" t="s">
        <v>1033</v>
      </c>
    </row>
    <row r="1861" spans="1:17" x14ac:dyDescent="0.3">
      <c r="B1861" s="29">
        <v>2</v>
      </c>
      <c r="C1861" s="29" t="s">
        <v>1101</v>
      </c>
      <c r="D1861" s="29">
        <v>9</v>
      </c>
      <c r="E1861" s="29">
        <v>168.25</v>
      </c>
      <c r="F1861" s="29">
        <v>350</v>
      </c>
      <c r="G1861" s="29" t="s">
        <v>1035</v>
      </c>
      <c r="H1861" s="29">
        <v>1</v>
      </c>
      <c r="J1861" s="29">
        <v>4.1604018749999998</v>
      </c>
      <c r="K1861" s="29">
        <v>4.1604018749999998</v>
      </c>
      <c r="L1861" s="29" t="s">
        <v>1036</v>
      </c>
      <c r="M1861" s="29">
        <v>1</v>
      </c>
      <c r="O1861" s="29">
        <v>1</v>
      </c>
      <c r="P1861" s="29">
        <v>4.1604018749999998</v>
      </c>
      <c r="Q1861" s="29" t="s">
        <v>1037</v>
      </c>
    </row>
    <row r="1862" spans="1:17" x14ac:dyDescent="0.3">
      <c r="A1862" s="29" t="s">
        <v>897</v>
      </c>
      <c r="B1862" s="29">
        <v>1</v>
      </c>
      <c r="C1862" s="29" t="s">
        <v>1089</v>
      </c>
      <c r="D1862" s="29" t="s">
        <v>1100</v>
      </c>
      <c r="E1862" s="29">
        <v>250</v>
      </c>
      <c r="G1862" s="29" t="s">
        <v>1031</v>
      </c>
      <c r="H1862" s="29">
        <v>1</v>
      </c>
      <c r="I1862" s="29">
        <v>49.9</v>
      </c>
      <c r="J1862" s="29">
        <v>12.475</v>
      </c>
      <c r="K1862" s="29">
        <v>12.475</v>
      </c>
      <c r="L1862" s="29" t="s">
        <v>1032</v>
      </c>
      <c r="M1862" s="29">
        <v>1</v>
      </c>
      <c r="N1862" s="29">
        <v>0.25</v>
      </c>
      <c r="O1862" s="29">
        <v>1</v>
      </c>
      <c r="P1862" s="29">
        <v>12.475</v>
      </c>
      <c r="Q1862" s="29" t="s">
        <v>1033</v>
      </c>
    </row>
    <row r="1863" spans="1:17" x14ac:dyDescent="0.3">
      <c r="B1863" s="29">
        <v>2</v>
      </c>
      <c r="C1863" s="29" t="s">
        <v>1101</v>
      </c>
      <c r="D1863" s="29">
        <v>9</v>
      </c>
      <c r="E1863" s="29">
        <v>168.25</v>
      </c>
      <c r="F1863" s="29">
        <v>300</v>
      </c>
      <c r="G1863" s="29" t="s">
        <v>1035</v>
      </c>
      <c r="H1863" s="29">
        <v>1</v>
      </c>
      <c r="J1863" s="29">
        <v>3.5660587499999998</v>
      </c>
      <c r="K1863" s="29">
        <v>3.5660587499999998</v>
      </c>
      <c r="L1863" s="29" t="s">
        <v>1036</v>
      </c>
      <c r="M1863" s="29">
        <v>1</v>
      </c>
      <c r="O1863" s="29">
        <v>1</v>
      </c>
      <c r="P1863" s="29">
        <v>3.5660587499999998</v>
      </c>
      <c r="Q1863" s="29" t="s">
        <v>1037</v>
      </c>
    </row>
    <row r="1864" spans="1:17" x14ac:dyDescent="0.3">
      <c r="A1864" s="29" t="s">
        <v>897</v>
      </c>
      <c r="B1864" s="29">
        <v>1</v>
      </c>
      <c r="C1864" s="29" t="s">
        <v>1089</v>
      </c>
      <c r="D1864" s="29" t="s">
        <v>1100</v>
      </c>
      <c r="E1864" s="29">
        <v>250</v>
      </c>
      <c r="G1864" s="29" t="s">
        <v>1031</v>
      </c>
      <c r="H1864" s="29">
        <v>1</v>
      </c>
      <c r="I1864" s="29">
        <v>49.9</v>
      </c>
      <c r="J1864" s="29">
        <v>12.475</v>
      </c>
      <c r="K1864" s="29">
        <v>12.475</v>
      </c>
      <c r="L1864" s="29" t="s">
        <v>1032</v>
      </c>
      <c r="M1864" s="29">
        <v>1</v>
      </c>
      <c r="N1864" s="29">
        <v>0.25</v>
      </c>
      <c r="O1864" s="29">
        <v>1</v>
      </c>
      <c r="P1864" s="29">
        <v>12.475</v>
      </c>
      <c r="Q1864" s="29" t="s">
        <v>1033</v>
      </c>
    </row>
    <row r="1865" spans="1:17" x14ac:dyDescent="0.3">
      <c r="B1865" s="29">
        <v>2</v>
      </c>
      <c r="C1865" s="29" t="s">
        <v>1101</v>
      </c>
      <c r="D1865" s="29">
        <v>9</v>
      </c>
      <c r="E1865" s="29">
        <v>168.25</v>
      </c>
      <c r="F1865" s="29">
        <v>300</v>
      </c>
      <c r="G1865" s="29" t="s">
        <v>1035</v>
      </c>
      <c r="H1865" s="29">
        <v>1</v>
      </c>
      <c r="J1865" s="29">
        <v>3.5660587499999998</v>
      </c>
      <c r="K1865" s="29">
        <v>3.5660587499999998</v>
      </c>
      <c r="L1865" s="29" t="s">
        <v>1036</v>
      </c>
      <c r="M1865" s="29">
        <v>1</v>
      </c>
      <c r="O1865" s="29">
        <v>1</v>
      </c>
      <c r="P1865" s="29">
        <v>3.5660587499999998</v>
      </c>
      <c r="Q1865" s="29" t="s">
        <v>1037</v>
      </c>
    </row>
    <row r="1866" spans="1:17" x14ac:dyDescent="0.3">
      <c r="A1866" s="29" t="s">
        <v>898</v>
      </c>
      <c r="B1866" s="29">
        <v>1</v>
      </c>
      <c r="C1866" s="29" t="s">
        <v>1089</v>
      </c>
      <c r="D1866" s="29" t="s">
        <v>1100</v>
      </c>
      <c r="E1866" s="29">
        <v>300</v>
      </c>
      <c r="G1866" s="29" t="s">
        <v>1031</v>
      </c>
      <c r="H1866" s="29">
        <v>1</v>
      </c>
      <c r="I1866" s="29">
        <v>49.9</v>
      </c>
      <c r="J1866" s="29">
        <v>14.969999999999999</v>
      </c>
      <c r="K1866" s="29">
        <v>14.969999999999999</v>
      </c>
      <c r="L1866" s="29" t="s">
        <v>1032</v>
      </c>
      <c r="M1866" s="29">
        <v>1</v>
      </c>
      <c r="N1866" s="29">
        <v>0.3</v>
      </c>
      <c r="O1866" s="29">
        <v>1</v>
      </c>
      <c r="P1866" s="29">
        <v>14.969999999999999</v>
      </c>
      <c r="Q1866" s="29" t="s">
        <v>1033</v>
      </c>
    </row>
    <row r="1867" spans="1:17" x14ac:dyDescent="0.3">
      <c r="B1867" s="29">
        <v>2</v>
      </c>
      <c r="C1867" s="29" t="s">
        <v>1101</v>
      </c>
      <c r="D1867" s="29">
        <v>9</v>
      </c>
      <c r="E1867" s="29">
        <v>168.25</v>
      </c>
      <c r="F1867" s="29">
        <v>350</v>
      </c>
      <c r="G1867" s="29" t="s">
        <v>1035</v>
      </c>
      <c r="H1867" s="29">
        <v>1</v>
      </c>
      <c r="J1867" s="29">
        <v>4.1604018749999998</v>
      </c>
      <c r="K1867" s="29">
        <v>4.1604018749999998</v>
      </c>
      <c r="L1867" s="29" t="s">
        <v>1036</v>
      </c>
      <c r="M1867" s="29">
        <v>1</v>
      </c>
      <c r="O1867" s="29">
        <v>1</v>
      </c>
      <c r="P1867" s="29">
        <v>4.1604018749999998</v>
      </c>
      <c r="Q1867" s="29" t="s">
        <v>1037</v>
      </c>
    </row>
    <row r="1868" spans="1:17" x14ac:dyDescent="0.3">
      <c r="A1868" s="29" t="s">
        <v>899</v>
      </c>
      <c r="B1868" s="29">
        <v>1</v>
      </c>
      <c r="C1868" s="29" t="s">
        <v>1089</v>
      </c>
      <c r="D1868" s="29" t="s">
        <v>1100</v>
      </c>
      <c r="E1868" s="29">
        <v>350</v>
      </c>
      <c r="G1868" s="29" t="s">
        <v>1031</v>
      </c>
      <c r="H1868" s="29">
        <v>1</v>
      </c>
      <c r="I1868" s="29">
        <v>49.9</v>
      </c>
      <c r="J1868" s="29">
        <v>17.465</v>
      </c>
      <c r="K1868" s="29">
        <v>17.465</v>
      </c>
      <c r="L1868" s="29" t="s">
        <v>1032</v>
      </c>
      <c r="M1868" s="29">
        <v>1</v>
      </c>
      <c r="N1868" s="29">
        <v>0.35</v>
      </c>
      <c r="O1868" s="29">
        <v>1</v>
      </c>
      <c r="P1868" s="29">
        <v>17.465</v>
      </c>
      <c r="Q1868" s="29" t="s">
        <v>1033</v>
      </c>
    </row>
    <row r="1869" spans="1:17" x14ac:dyDescent="0.3">
      <c r="B1869" s="29">
        <v>2</v>
      </c>
      <c r="C1869" s="29" t="s">
        <v>1101</v>
      </c>
      <c r="D1869" s="29">
        <v>9</v>
      </c>
      <c r="E1869" s="29">
        <v>168.25</v>
      </c>
      <c r="F1869" s="29">
        <v>400</v>
      </c>
      <c r="G1869" s="29" t="s">
        <v>1035</v>
      </c>
      <c r="H1869" s="29">
        <v>1</v>
      </c>
      <c r="J1869" s="29">
        <v>4.7547449999999998</v>
      </c>
      <c r="K1869" s="29">
        <v>4.7547449999999998</v>
      </c>
      <c r="L1869" s="29" t="s">
        <v>1036</v>
      </c>
      <c r="M1869" s="29">
        <v>1</v>
      </c>
      <c r="O1869" s="29">
        <v>1</v>
      </c>
      <c r="P1869" s="29">
        <v>4.7547449999999998</v>
      </c>
      <c r="Q1869" s="29" t="s">
        <v>1037</v>
      </c>
    </row>
    <row r="1870" spans="1:17" x14ac:dyDescent="0.3">
      <c r="A1870" s="29" t="s">
        <v>900</v>
      </c>
      <c r="B1870" s="29">
        <v>1</v>
      </c>
      <c r="C1870" s="29" t="s">
        <v>1089</v>
      </c>
      <c r="D1870" s="29" t="s">
        <v>1100</v>
      </c>
      <c r="E1870" s="29">
        <v>250</v>
      </c>
      <c r="G1870" s="29" t="s">
        <v>1035</v>
      </c>
      <c r="H1870" s="29">
        <v>1</v>
      </c>
      <c r="I1870" s="29">
        <v>49.9</v>
      </c>
      <c r="J1870" s="29">
        <v>12.475</v>
      </c>
      <c r="K1870" s="29">
        <v>12.475</v>
      </c>
      <c r="L1870" s="29" t="s">
        <v>1032</v>
      </c>
      <c r="M1870" s="29">
        <v>1</v>
      </c>
      <c r="N1870" s="29">
        <v>0.25</v>
      </c>
      <c r="O1870" s="29">
        <v>1</v>
      </c>
      <c r="P1870" s="29">
        <v>12.475</v>
      </c>
      <c r="Q1870" s="29" t="s">
        <v>1033</v>
      </c>
    </row>
    <row r="1871" spans="1:17" x14ac:dyDescent="0.3">
      <c r="B1871" s="29">
        <v>2</v>
      </c>
      <c r="C1871" s="29" t="s">
        <v>1101</v>
      </c>
      <c r="D1871" s="29">
        <v>9</v>
      </c>
      <c r="E1871" s="29">
        <v>176.2</v>
      </c>
      <c r="F1871" s="29">
        <v>300</v>
      </c>
      <c r="G1871" s="29" t="s">
        <v>1035</v>
      </c>
      <c r="H1871" s="29">
        <v>1</v>
      </c>
      <c r="J1871" s="29">
        <v>3.7345589999999995</v>
      </c>
      <c r="K1871" s="29">
        <v>3.7345589999999995</v>
      </c>
      <c r="L1871" s="29" t="s">
        <v>1036</v>
      </c>
      <c r="M1871" s="29">
        <v>1</v>
      </c>
      <c r="O1871" s="29">
        <v>1</v>
      </c>
      <c r="P1871" s="29">
        <v>3.7345589999999995</v>
      </c>
      <c r="Q1871" s="29" t="s">
        <v>1037</v>
      </c>
    </row>
    <row r="1872" spans="1:17" x14ac:dyDescent="0.3">
      <c r="A1872" s="29" t="s">
        <v>900</v>
      </c>
      <c r="B1872" s="29">
        <v>1</v>
      </c>
      <c r="C1872" s="29" t="s">
        <v>1089</v>
      </c>
      <c r="D1872" s="29" t="s">
        <v>1100</v>
      </c>
      <c r="E1872" s="29">
        <v>250</v>
      </c>
      <c r="G1872" s="29" t="s">
        <v>1035</v>
      </c>
      <c r="H1872" s="29">
        <v>1</v>
      </c>
      <c r="I1872" s="29">
        <v>49.9</v>
      </c>
      <c r="J1872" s="29">
        <v>12.475</v>
      </c>
      <c r="K1872" s="29">
        <v>12.475</v>
      </c>
      <c r="L1872" s="29" t="s">
        <v>1032</v>
      </c>
      <c r="M1872" s="29">
        <v>1</v>
      </c>
      <c r="N1872" s="29">
        <v>0.25</v>
      </c>
      <c r="O1872" s="29">
        <v>1</v>
      </c>
      <c r="P1872" s="29">
        <v>12.475</v>
      </c>
      <c r="Q1872" s="29" t="s">
        <v>1033</v>
      </c>
    </row>
    <row r="1873" spans="1:17" x14ac:dyDescent="0.3">
      <c r="B1873" s="29">
        <v>2</v>
      </c>
      <c r="C1873" s="29" t="s">
        <v>1101</v>
      </c>
      <c r="D1873" s="29">
        <v>9</v>
      </c>
      <c r="E1873" s="29">
        <v>176.2</v>
      </c>
      <c r="F1873" s="29">
        <v>300</v>
      </c>
      <c r="G1873" s="29" t="s">
        <v>1035</v>
      </c>
      <c r="H1873" s="29">
        <v>1</v>
      </c>
      <c r="J1873" s="29">
        <v>3.7345589999999995</v>
      </c>
      <c r="K1873" s="29">
        <v>3.7345589999999995</v>
      </c>
      <c r="L1873" s="29" t="s">
        <v>1036</v>
      </c>
      <c r="M1873" s="29">
        <v>1</v>
      </c>
      <c r="O1873" s="29">
        <v>1</v>
      </c>
      <c r="P1873" s="29">
        <v>3.7345589999999995</v>
      </c>
      <c r="Q1873" s="29" t="s">
        <v>1037</v>
      </c>
    </row>
    <row r="1874" spans="1:17" x14ac:dyDescent="0.3">
      <c r="A1874" s="29" t="s">
        <v>901</v>
      </c>
      <c r="B1874" s="29">
        <v>1</v>
      </c>
      <c r="C1874" s="29" t="s">
        <v>1089</v>
      </c>
      <c r="D1874" s="29" t="s">
        <v>1100</v>
      </c>
      <c r="E1874" s="29">
        <v>250</v>
      </c>
      <c r="G1874" s="29" t="s">
        <v>1035</v>
      </c>
      <c r="H1874" s="29">
        <v>1</v>
      </c>
      <c r="I1874" s="29">
        <v>49.9</v>
      </c>
      <c r="J1874" s="29">
        <v>12.475</v>
      </c>
      <c r="K1874" s="29">
        <v>12.475</v>
      </c>
      <c r="L1874" s="29" t="s">
        <v>1032</v>
      </c>
      <c r="M1874" s="29">
        <v>1</v>
      </c>
      <c r="N1874" s="29">
        <v>0.25</v>
      </c>
      <c r="O1874" s="29">
        <v>1</v>
      </c>
      <c r="P1874" s="29">
        <v>12.475</v>
      </c>
      <c r="Q1874" s="29" t="s">
        <v>1033</v>
      </c>
    </row>
    <row r="1875" spans="1:17" x14ac:dyDescent="0.3">
      <c r="B1875" s="29">
        <v>2</v>
      </c>
      <c r="C1875" s="29" t="s">
        <v>1101</v>
      </c>
      <c r="D1875" s="29">
        <v>9</v>
      </c>
      <c r="E1875" s="29">
        <v>176.2</v>
      </c>
      <c r="F1875" s="29">
        <v>300</v>
      </c>
      <c r="G1875" s="29" t="s">
        <v>1035</v>
      </c>
      <c r="H1875" s="29">
        <v>1</v>
      </c>
      <c r="J1875" s="29">
        <v>3.7345589999999995</v>
      </c>
      <c r="K1875" s="29">
        <v>3.7345589999999995</v>
      </c>
      <c r="L1875" s="29" t="s">
        <v>1036</v>
      </c>
      <c r="M1875" s="29">
        <v>1</v>
      </c>
      <c r="O1875" s="29">
        <v>1</v>
      </c>
      <c r="P1875" s="29">
        <v>3.7345589999999995</v>
      </c>
      <c r="Q1875" s="29" t="s">
        <v>1037</v>
      </c>
    </row>
    <row r="1876" spans="1:17" x14ac:dyDescent="0.3">
      <c r="A1876" s="29" t="s">
        <v>902</v>
      </c>
      <c r="B1876" s="29">
        <v>1</v>
      </c>
      <c r="C1876" s="29" t="s">
        <v>1089</v>
      </c>
      <c r="D1876" s="29" t="s">
        <v>1100</v>
      </c>
      <c r="E1876" s="29">
        <v>300</v>
      </c>
      <c r="G1876" s="29" t="s">
        <v>1035</v>
      </c>
      <c r="H1876" s="29">
        <v>1</v>
      </c>
      <c r="I1876" s="29">
        <v>49.9</v>
      </c>
      <c r="J1876" s="29">
        <v>14.969999999999999</v>
      </c>
      <c r="K1876" s="29">
        <v>14.969999999999999</v>
      </c>
      <c r="L1876" s="29" t="s">
        <v>1032</v>
      </c>
      <c r="M1876" s="29">
        <v>1</v>
      </c>
      <c r="N1876" s="29">
        <v>0.3</v>
      </c>
      <c r="O1876" s="29">
        <v>1</v>
      </c>
      <c r="P1876" s="29">
        <v>14.969999999999999</v>
      </c>
      <c r="Q1876" s="29" t="s">
        <v>1033</v>
      </c>
    </row>
    <row r="1877" spans="1:17" x14ac:dyDescent="0.3">
      <c r="B1877" s="29">
        <v>2</v>
      </c>
      <c r="C1877" s="29" t="s">
        <v>1101</v>
      </c>
      <c r="D1877" s="29">
        <v>9</v>
      </c>
      <c r="E1877" s="29">
        <v>176.2</v>
      </c>
      <c r="F1877" s="29">
        <v>350</v>
      </c>
      <c r="G1877" s="29" t="s">
        <v>1035</v>
      </c>
      <c r="H1877" s="29">
        <v>1</v>
      </c>
      <c r="J1877" s="29">
        <v>4.3569854999999995</v>
      </c>
      <c r="K1877" s="29">
        <v>4.3569854999999995</v>
      </c>
      <c r="L1877" s="29" t="s">
        <v>1036</v>
      </c>
      <c r="M1877" s="29">
        <v>1</v>
      </c>
      <c r="O1877" s="29">
        <v>1</v>
      </c>
      <c r="P1877" s="29">
        <v>4.3569854999999995</v>
      </c>
      <c r="Q1877" s="29" t="s">
        <v>1037</v>
      </c>
    </row>
    <row r="1878" spans="1:17" x14ac:dyDescent="0.3">
      <c r="A1878" s="29" t="s">
        <v>903</v>
      </c>
      <c r="B1878" s="29">
        <v>1</v>
      </c>
      <c r="C1878" s="29" t="s">
        <v>1089</v>
      </c>
      <c r="D1878" s="29" t="s">
        <v>1100</v>
      </c>
      <c r="E1878" s="29">
        <v>250</v>
      </c>
      <c r="G1878" s="29" t="s">
        <v>1035</v>
      </c>
      <c r="H1878" s="29">
        <v>1</v>
      </c>
      <c r="I1878" s="29">
        <v>49.9</v>
      </c>
      <c r="J1878" s="29">
        <v>12.475</v>
      </c>
      <c r="K1878" s="29">
        <v>12.475</v>
      </c>
      <c r="L1878" s="29" t="s">
        <v>1032</v>
      </c>
      <c r="M1878" s="29">
        <v>1</v>
      </c>
      <c r="N1878" s="29">
        <v>0.25</v>
      </c>
      <c r="O1878" s="29">
        <v>1</v>
      </c>
      <c r="P1878" s="29">
        <v>12.475</v>
      </c>
      <c r="Q1878" s="29" t="s">
        <v>1033</v>
      </c>
    </row>
    <row r="1879" spans="1:17" x14ac:dyDescent="0.3">
      <c r="B1879" s="29">
        <v>2</v>
      </c>
      <c r="C1879" s="29" t="s">
        <v>1101</v>
      </c>
      <c r="D1879" s="29">
        <v>9</v>
      </c>
      <c r="E1879" s="29">
        <v>176.2</v>
      </c>
      <c r="F1879" s="29">
        <v>300</v>
      </c>
      <c r="G1879" s="29" t="s">
        <v>1035</v>
      </c>
      <c r="H1879" s="29">
        <v>1</v>
      </c>
      <c r="J1879" s="29">
        <v>3.7345589999999995</v>
      </c>
      <c r="K1879" s="29">
        <v>3.7345589999999995</v>
      </c>
      <c r="L1879" s="29" t="s">
        <v>1036</v>
      </c>
      <c r="M1879" s="29">
        <v>1</v>
      </c>
      <c r="O1879" s="29">
        <v>1</v>
      </c>
      <c r="P1879" s="29">
        <v>3.7345589999999995</v>
      </c>
      <c r="Q1879" s="29" t="s">
        <v>1037</v>
      </c>
    </row>
    <row r="1880" spans="1:17" x14ac:dyDescent="0.3">
      <c r="A1880" s="29" t="s">
        <v>904</v>
      </c>
      <c r="B1880" s="29">
        <v>1</v>
      </c>
      <c r="C1880" s="29" t="s">
        <v>1089</v>
      </c>
      <c r="D1880" s="29" t="s">
        <v>1100</v>
      </c>
      <c r="E1880" s="29">
        <v>250</v>
      </c>
      <c r="G1880" s="29" t="s">
        <v>1031</v>
      </c>
      <c r="H1880" s="29">
        <v>1</v>
      </c>
      <c r="I1880" s="29">
        <v>49.9</v>
      </c>
      <c r="J1880" s="29">
        <v>12.475</v>
      </c>
      <c r="K1880" s="29">
        <v>12.475</v>
      </c>
      <c r="L1880" s="29" t="s">
        <v>1032</v>
      </c>
      <c r="M1880" s="29">
        <v>1</v>
      </c>
      <c r="N1880" s="29">
        <v>0.25</v>
      </c>
      <c r="O1880" s="29">
        <v>1</v>
      </c>
      <c r="P1880" s="29">
        <v>12.475</v>
      </c>
      <c r="Q1880" s="29" t="s">
        <v>1033</v>
      </c>
    </row>
    <row r="1881" spans="1:17" x14ac:dyDescent="0.3">
      <c r="B1881" s="29">
        <v>2</v>
      </c>
      <c r="C1881" s="29" t="s">
        <v>1101</v>
      </c>
      <c r="D1881" s="29">
        <v>9</v>
      </c>
      <c r="E1881" s="29">
        <v>176.2</v>
      </c>
      <c r="F1881" s="29">
        <v>300</v>
      </c>
      <c r="G1881" s="29" t="s">
        <v>1035</v>
      </c>
      <c r="H1881" s="29">
        <v>1</v>
      </c>
      <c r="J1881" s="29">
        <v>3.7345589999999995</v>
      </c>
      <c r="K1881" s="29">
        <v>3.7345589999999995</v>
      </c>
      <c r="L1881" s="29" t="s">
        <v>1036</v>
      </c>
      <c r="M1881" s="29">
        <v>1</v>
      </c>
      <c r="O1881" s="29">
        <v>1</v>
      </c>
      <c r="P1881" s="29">
        <v>3.7345589999999995</v>
      </c>
      <c r="Q1881" s="29" t="s">
        <v>1037</v>
      </c>
    </row>
    <row r="1882" spans="1:17" x14ac:dyDescent="0.3">
      <c r="A1882" s="29" t="s">
        <v>905</v>
      </c>
      <c r="B1882" s="29">
        <v>1</v>
      </c>
      <c r="C1882" s="29" t="s">
        <v>1089</v>
      </c>
      <c r="D1882" s="29" t="s">
        <v>1100</v>
      </c>
      <c r="E1882" s="29">
        <v>300</v>
      </c>
      <c r="G1882" s="29" t="s">
        <v>1035</v>
      </c>
      <c r="H1882" s="29">
        <v>1</v>
      </c>
      <c r="I1882" s="29">
        <v>49.9</v>
      </c>
      <c r="J1882" s="29">
        <v>14.969999999999999</v>
      </c>
      <c r="K1882" s="29">
        <v>14.969999999999999</v>
      </c>
      <c r="L1882" s="29" t="s">
        <v>1032</v>
      </c>
      <c r="M1882" s="29">
        <v>1</v>
      </c>
      <c r="N1882" s="29">
        <v>0.3</v>
      </c>
      <c r="O1882" s="29">
        <v>1</v>
      </c>
      <c r="P1882" s="29">
        <v>14.969999999999999</v>
      </c>
      <c r="Q1882" s="29" t="s">
        <v>1033</v>
      </c>
    </row>
    <row r="1883" spans="1:17" x14ac:dyDescent="0.3">
      <c r="B1883" s="29">
        <v>2</v>
      </c>
      <c r="C1883" s="29" t="s">
        <v>1101</v>
      </c>
      <c r="D1883" s="29">
        <v>9</v>
      </c>
      <c r="E1883" s="29">
        <v>176.2</v>
      </c>
      <c r="F1883" s="29">
        <v>350</v>
      </c>
      <c r="G1883" s="29" t="s">
        <v>1035</v>
      </c>
      <c r="H1883" s="29">
        <v>1</v>
      </c>
      <c r="J1883" s="29">
        <v>4.3569854999999995</v>
      </c>
      <c r="K1883" s="29">
        <v>4.3569854999999995</v>
      </c>
      <c r="L1883" s="29" t="s">
        <v>1036</v>
      </c>
      <c r="M1883" s="29">
        <v>1</v>
      </c>
      <c r="O1883" s="29">
        <v>1</v>
      </c>
      <c r="P1883" s="29">
        <v>4.3569854999999995</v>
      </c>
      <c r="Q1883" s="29" t="s">
        <v>1037</v>
      </c>
    </row>
    <row r="1884" spans="1:17" x14ac:dyDescent="0.3">
      <c r="A1884" s="29" t="s">
        <v>906</v>
      </c>
      <c r="B1884" s="29">
        <v>1</v>
      </c>
      <c r="C1884" s="29" t="s">
        <v>1089</v>
      </c>
      <c r="D1884" s="29" t="s">
        <v>1100</v>
      </c>
      <c r="E1884" s="29">
        <v>250</v>
      </c>
      <c r="G1884" s="29" t="s">
        <v>1031</v>
      </c>
      <c r="H1884" s="29">
        <v>1</v>
      </c>
      <c r="I1884" s="29">
        <v>49.9</v>
      </c>
      <c r="J1884" s="29">
        <v>12.475</v>
      </c>
      <c r="K1884" s="29">
        <v>12.475</v>
      </c>
      <c r="L1884" s="29" t="s">
        <v>1032</v>
      </c>
      <c r="M1884" s="29">
        <v>1</v>
      </c>
      <c r="N1884" s="29">
        <v>0.25</v>
      </c>
      <c r="O1884" s="29">
        <v>1</v>
      </c>
      <c r="P1884" s="29">
        <v>12.475</v>
      </c>
      <c r="Q1884" s="29" t="s">
        <v>1033</v>
      </c>
    </row>
    <row r="1885" spans="1:17" x14ac:dyDescent="0.3">
      <c r="B1885" s="29">
        <v>2</v>
      </c>
      <c r="C1885" s="29" t="s">
        <v>1101</v>
      </c>
      <c r="D1885" s="29">
        <v>9</v>
      </c>
      <c r="E1885" s="29">
        <v>188.9</v>
      </c>
      <c r="F1885" s="29">
        <v>300</v>
      </c>
      <c r="G1885" s="29" t="s">
        <v>1035</v>
      </c>
      <c r="H1885" s="29">
        <v>1</v>
      </c>
      <c r="J1885" s="29">
        <v>4.0037355000000003</v>
      </c>
      <c r="K1885" s="29">
        <v>4.0037355000000003</v>
      </c>
      <c r="L1885" s="29" t="s">
        <v>1036</v>
      </c>
      <c r="M1885" s="29">
        <v>1</v>
      </c>
      <c r="O1885" s="29">
        <v>1</v>
      </c>
      <c r="P1885" s="29">
        <v>4.0037355000000003</v>
      </c>
      <c r="Q1885" s="29" t="s">
        <v>1037</v>
      </c>
    </row>
    <row r="1886" spans="1:17" x14ac:dyDescent="0.3">
      <c r="A1886" s="29" t="s">
        <v>907</v>
      </c>
      <c r="B1886" s="29">
        <v>1</v>
      </c>
      <c r="C1886" s="29" t="s">
        <v>1089</v>
      </c>
      <c r="D1886" s="29" t="s">
        <v>1100</v>
      </c>
      <c r="E1886" s="29">
        <v>250</v>
      </c>
      <c r="G1886" s="29" t="s">
        <v>1035</v>
      </c>
      <c r="H1886" s="29">
        <v>1</v>
      </c>
      <c r="I1886" s="29">
        <v>49.9</v>
      </c>
      <c r="J1886" s="29">
        <v>12.475</v>
      </c>
      <c r="K1886" s="29">
        <v>12.475</v>
      </c>
      <c r="L1886" s="29" t="s">
        <v>1032</v>
      </c>
      <c r="M1886" s="29">
        <v>1</v>
      </c>
      <c r="N1886" s="29">
        <v>0.25</v>
      </c>
      <c r="O1886" s="29">
        <v>1</v>
      </c>
      <c r="P1886" s="29">
        <v>12.475</v>
      </c>
      <c r="Q1886" s="29" t="s">
        <v>1033</v>
      </c>
    </row>
    <row r="1887" spans="1:17" x14ac:dyDescent="0.3">
      <c r="B1887" s="29">
        <v>2</v>
      </c>
      <c r="C1887" s="29" t="s">
        <v>1101</v>
      </c>
      <c r="D1887" s="29">
        <v>9</v>
      </c>
      <c r="E1887" s="29">
        <v>188.9</v>
      </c>
      <c r="F1887" s="29">
        <v>300</v>
      </c>
      <c r="G1887" s="29" t="s">
        <v>1035</v>
      </c>
      <c r="H1887" s="29">
        <v>1</v>
      </c>
      <c r="J1887" s="29">
        <v>4.0037355000000003</v>
      </c>
      <c r="K1887" s="29">
        <v>4.0037355000000003</v>
      </c>
      <c r="L1887" s="29" t="s">
        <v>1036</v>
      </c>
      <c r="M1887" s="29">
        <v>1</v>
      </c>
      <c r="O1887" s="29">
        <v>1</v>
      </c>
      <c r="P1887" s="29">
        <v>4.0037355000000003</v>
      </c>
      <c r="Q1887" s="29" t="s">
        <v>1037</v>
      </c>
    </row>
    <row r="1888" spans="1:17" x14ac:dyDescent="0.3">
      <c r="A1888" s="29" t="s">
        <v>908</v>
      </c>
      <c r="B1888" s="29">
        <v>1</v>
      </c>
      <c r="C1888" s="29" t="s">
        <v>1103</v>
      </c>
      <c r="D1888" s="29">
        <v>12</v>
      </c>
      <c r="E1888" s="29">
        <v>320</v>
      </c>
      <c r="F1888" s="29">
        <v>300</v>
      </c>
      <c r="G1888" s="29" t="s">
        <v>1035</v>
      </c>
      <c r="H1888" s="29">
        <v>1</v>
      </c>
      <c r="J1888" s="29">
        <v>9.0431999999999988</v>
      </c>
      <c r="K1888" s="29">
        <v>9.0431999999999988</v>
      </c>
      <c r="L1888" s="29" t="s">
        <v>1036</v>
      </c>
      <c r="M1888" s="29">
        <v>1</v>
      </c>
      <c r="O1888" s="29">
        <v>1</v>
      </c>
      <c r="P1888" s="29">
        <v>9.0431999999999988</v>
      </c>
      <c r="Q1888" s="29" t="s">
        <v>1037</v>
      </c>
    </row>
    <row r="1889" spans="1:17" x14ac:dyDescent="0.3">
      <c r="B1889" s="29">
        <v>2</v>
      </c>
      <c r="C1889" s="29" t="s">
        <v>1104</v>
      </c>
      <c r="D1889" s="29">
        <v>12</v>
      </c>
      <c r="E1889" s="29">
        <v>100</v>
      </c>
      <c r="F1889" s="29">
        <v>300</v>
      </c>
      <c r="G1889" s="29" t="s">
        <v>1035</v>
      </c>
      <c r="H1889" s="29">
        <v>1</v>
      </c>
      <c r="J1889" s="29">
        <v>2.8260000000000001</v>
      </c>
      <c r="K1889" s="29">
        <v>2.8260000000000001</v>
      </c>
      <c r="L1889" s="29" t="s">
        <v>1036</v>
      </c>
      <c r="M1889" s="29">
        <v>1</v>
      </c>
      <c r="O1889" s="29">
        <v>1</v>
      </c>
      <c r="P1889" s="29">
        <v>2.8260000000000001</v>
      </c>
      <c r="Q1889" s="29" t="s">
        <v>1037</v>
      </c>
    </row>
    <row r="1890" spans="1:17" x14ac:dyDescent="0.3">
      <c r="B1890" s="29">
        <v>3</v>
      </c>
      <c r="C1890" s="29" t="s">
        <v>1101</v>
      </c>
      <c r="D1890" s="29">
        <v>12</v>
      </c>
      <c r="E1890" s="29">
        <v>201.6</v>
      </c>
      <c r="F1890" s="29">
        <v>300</v>
      </c>
      <c r="G1890" s="29" t="s">
        <v>1035</v>
      </c>
      <c r="H1890" s="29">
        <v>1</v>
      </c>
      <c r="J1890" s="29">
        <v>5.6972159999999992</v>
      </c>
      <c r="K1890" s="29">
        <v>5.6972159999999992</v>
      </c>
      <c r="L1890" s="29" t="s">
        <v>1036</v>
      </c>
      <c r="M1890" s="29">
        <v>1</v>
      </c>
      <c r="O1890" s="29">
        <v>1</v>
      </c>
      <c r="P1890" s="29">
        <v>5.6972159999999992</v>
      </c>
      <c r="Q1890" s="29" t="s">
        <v>1037</v>
      </c>
    </row>
    <row r="1891" spans="1:17" x14ac:dyDescent="0.3">
      <c r="A1891" s="29" t="s">
        <v>908</v>
      </c>
      <c r="B1891" s="29">
        <v>1</v>
      </c>
      <c r="C1891" s="29" t="s">
        <v>1103</v>
      </c>
      <c r="D1891" s="29">
        <v>12</v>
      </c>
      <c r="E1891" s="29">
        <v>320</v>
      </c>
      <c r="F1891" s="29">
        <v>300</v>
      </c>
      <c r="G1891" s="29" t="s">
        <v>1035</v>
      </c>
      <c r="H1891" s="29">
        <v>1</v>
      </c>
      <c r="J1891" s="29">
        <v>9.0431999999999988</v>
      </c>
      <c r="K1891" s="29">
        <v>9.0431999999999988</v>
      </c>
      <c r="L1891" s="29" t="s">
        <v>1036</v>
      </c>
      <c r="M1891" s="29">
        <v>1</v>
      </c>
      <c r="O1891" s="29">
        <v>1</v>
      </c>
      <c r="P1891" s="29">
        <v>9.0431999999999988</v>
      </c>
      <c r="Q1891" s="29" t="s">
        <v>1037</v>
      </c>
    </row>
    <row r="1892" spans="1:17" x14ac:dyDescent="0.3">
      <c r="B1892" s="29">
        <v>2</v>
      </c>
      <c r="C1892" s="29" t="s">
        <v>1104</v>
      </c>
      <c r="D1892" s="29">
        <v>12</v>
      </c>
      <c r="E1892" s="29">
        <v>100</v>
      </c>
      <c r="F1892" s="29">
        <v>300</v>
      </c>
      <c r="G1892" s="29" t="s">
        <v>1035</v>
      </c>
      <c r="H1892" s="29">
        <v>1</v>
      </c>
      <c r="J1892" s="29">
        <v>2.8260000000000001</v>
      </c>
      <c r="K1892" s="29">
        <v>2.8260000000000001</v>
      </c>
      <c r="L1892" s="29" t="s">
        <v>1036</v>
      </c>
      <c r="M1892" s="29">
        <v>1</v>
      </c>
      <c r="O1892" s="29">
        <v>1</v>
      </c>
      <c r="P1892" s="29">
        <v>2.8260000000000001</v>
      </c>
      <c r="Q1892" s="29" t="s">
        <v>1037</v>
      </c>
    </row>
    <row r="1893" spans="1:17" x14ac:dyDescent="0.3">
      <c r="B1893" s="29">
        <v>3</v>
      </c>
      <c r="C1893" s="29" t="s">
        <v>1101</v>
      </c>
      <c r="D1893" s="29">
        <v>12</v>
      </c>
      <c r="E1893" s="29">
        <v>201.6</v>
      </c>
      <c r="F1893" s="29">
        <v>300</v>
      </c>
      <c r="G1893" s="29" t="s">
        <v>1035</v>
      </c>
      <c r="H1893" s="29">
        <v>1</v>
      </c>
      <c r="J1893" s="29">
        <v>5.6972159999999992</v>
      </c>
      <c r="K1893" s="29">
        <v>5.6972159999999992</v>
      </c>
      <c r="L1893" s="29" t="s">
        <v>1036</v>
      </c>
      <c r="M1893" s="29">
        <v>1</v>
      </c>
      <c r="O1893" s="29">
        <v>1</v>
      </c>
      <c r="P1893" s="29">
        <v>5.6972159999999992</v>
      </c>
      <c r="Q1893" s="29" t="s">
        <v>1037</v>
      </c>
    </row>
    <row r="1894" spans="1:17" x14ac:dyDescent="0.3">
      <c r="A1894" s="29" t="s">
        <v>909</v>
      </c>
      <c r="B1894" s="29">
        <v>1</v>
      </c>
      <c r="C1894" s="29" t="s">
        <v>1103</v>
      </c>
      <c r="D1894" s="29">
        <v>12</v>
      </c>
      <c r="E1894" s="29">
        <v>320</v>
      </c>
      <c r="F1894" s="29">
        <v>300</v>
      </c>
      <c r="G1894" s="29" t="s">
        <v>1035</v>
      </c>
      <c r="H1894" s="29">
        <v>1</v>
      </c>
      <c r="J1894" s="29">
        <v>9.0431999999999988</v>
      </c>
      <c r="K1894" s="29">
        <v>9.0431999999999988</v>
      </c>
      <c r="L1894" s="29" t="s">
        <v>1036</v>
      </c>
      <c r="M1894" s="29">
        <v>1</v>
      </c>
      <c r="O1894" s="29">
        <v>1</v>
      </c>
      <c r="P1894" s="29">
        <v>9.0431999999999988</v>
      </c>
      <c r="Q1894" s="29" t="s">
        <v>1037</v>
      </c>
    </row>
    <row r="1895" spans="1:17" x14ac:dyDescent="0.3">
      <c r="B1895" s="29">
        <v>2</v>
      </c>
      <c r="C1895" s="29" t="s">
        <v>1104</v>
      </c>
      <c r="D1895" s="29">
        <v>12</v>
      </c>
      <c r="E1895" s="29">
        <v>100</v>
      </c>
      <c r="F1895" s="29">
        <v>300</v>
      </c>
      <c r="G1895" s="29" t="s">
        <v>1035</v>
      </c>
      <c r="H1895" s="29">
        <v>1</v>
      </c>
      <c r="J1895" s="29">
        <v>2.8260000000000001</v>
      </c>
      <c r="K1895" s="29">
        <v>2.8260000000000001</v>
      </c>
      <c r="L1895" s="29" t="s">
        <v>1036</v>
      </c>
      <c r="M1895" s="29">
        <v>1</v>
      </c>
      <c r="O1895" s="29">
        <v>1</v>
      </c>
      <c r="P1895" s="29">
        <v>2.8260000000000001</v>
      </c>
      <c r="Q1895" s="29" t="s">
        <v>1037</v>
      </c>
    </row>
    <row r="1896" spans="1:17" x14ac:dyDescent="0.3">
      <c r="B1896" s="29">
        <v>3</v>
      </c>
      <c r="C1896" s="29" t="s">
        <v>1101</v>
      </c>
      <c r="D1896" s="29">
        <v>12</v>
      </c>
      <c r="E1896" s="29">
        <v>201.6</v>
      </c>
      <c r="F1896" s="29">
        <v>300</v>
      </c>
      <c r="G1896" s="29" t="s">
        <v>1035</v>
      </c>
      <c r="H1896" s="29">
        <v>1</v>
      </c>
      <c r="J1896" s="29">
        <v>5.6972159999999992</v>
      </c>
      <c r="K1896" s="29">
        <v>5.6972159999999992</v>
      </c>
      <c r="L1896" s="29" t="s">
        <v>1036</v>
      </c>
      <c r="M1896" s="29">
        <v>1</v>
      </c>
      <c r="O1896" s="29">
        <v>1</v>
      </c>
      <c r="P1896" s="29">
        <v>5.6972159999999992</v>
      </c>
      <c r="Q1896" s="29" t="s">
        <v>1037</v>
      </c>
    </row>
    <row r="1897" spans="1:17" x14ac:dyDescent="0.3">
      <c r="A1897" s="29" t="s">
        <v>910</v>
      </c>
      <c r="B1897" s="29">
        <v>1</v>
      </c>
      <c r="C1897" s="29" t="s">
        <v>1089</v>
      </c>
      <c r="D1897" s="29" t="s">
        <v>1099</v>
      </c>
      <c r="E1897" s="29">
        <v>150</v>
      </c>
      <c r="G1897" s="29" t="s">
        <v>1035</v>
      </c>
      <c r="H1897" s="29">
        <v>1</v>
      </c>
      <c r="I1897" s="29">
        <v>20.9</v>
      </c>
      <c r="J1897" s="29">
        <v>3.1349999999999998</v>
      </c>
      <c r="K1897" s="29">
        <v>3.1349999999999998</v>
      </c>
      <c r="L1897" s="29" t="s">
        <v>1032</v>
      </c>
      <c r="M1897" s="29">
        <v>1</v>
      </c>
      <c r="N1897" s="29">
        <v>0.15</v>
      </c>
      <c r="O1897" s="29">
        <v>1</v>
      </c>
      <c r="P1897" s="29">
        <v>3.1349999999999998</v>
      </c>
      <c r="Q1897" s="29" t="s">
        <v>1033</v>
      </c>
    </row>
    <row r="1898" spans="1:17" x14ac:dyDescent="0.3">
      <c r="A1898" s="29" t="s">
        <v>910</v>
      </c>
      <c r="B1898" s="29">
        <v>1</v>
      </c>
      <c r="C1898" s="29" t="s">
        <v>1089</v>
      </c>
      <c r="D1898" s="29" t="s">
        <v>1099</v>
      </c>
      <c r="E1898" s="29">
        <v>150</v>
      </c>
      <c r="G1898" s="29" t="s">
        <v>1035</v>
      </c>
      <c r="H1898" s="29">
        <v>1</v>
      </c>
      <c r="I1898" s="29">
        <v>20.9</v>
      </c>
      <c r="J1898" s="29">
        <v>3.1349999999999998</v>
      </c>
      <c r="K1898" s="29">
        <v>3.1349999999999998</v>
      </c>
      <c r="L1898" s="29" t="s">
        <v>1032</v>
      </c>
      <c r="M1898" s="29">
        <v>1</v>
      </c>
      <c r="N1898" s="29">
        <v>0.15</v>
      </c>
      <c r="O1898" s="29">
        <v>1</v>
      </c>
      <c r="P1898" s="29">
        <v>3.1349999999999998</v>
      </c>
      <c r="Q1898" s="29" t="s">
        <v>1033</v>
      </c>
    </row>
    <row r="1899" spans="1:17" x14ac:dyDescent="0.3">
      <c r="A1899" s="29" t="s">
        <v>910</v>
      </c>
      <c r="B1899" s="29">
        <v>1</v>
      </c>
      <c r="C1899" s="29" t="s">
        <v>1089</v>
      </c>
      <c r="D1899" s="29" t="s">
        <v>1099</v>
      </c>
      <c r="E1899" s="29">
        <v>150</v>
      </c>
      <c r="G1899" s="29" t="s">
        <v>1035</v>
      </c>
      <c r="H1899" s="29">
        <v>1</v>
      </c>
      <c r="I1899" s="29">
        <v>20.9</v>
      </c>
      <c r="J1899" s="29">
        <v>3.1349999999999998</v>
      </c>
      <c r="K1899" s="29">
        <v>3.1349999999999998</v>
      </c>
      <c r="L1899" s="29" t="s">
        <v>1032</v>
      </c>
      <c r="M1899" s="29">
        <v>1</v>
      </c>
      <c r="N1899" s="29">
        <v>0.15</v>
      </c>
      <c r="O1899" s="29">
        <v>1</v>
      </c>
      <c r="P1899" s="29">
        <v>3.1349999999999998</v>
      </c>
      <c r="Q1899" s="29" t="s">
        <v>1033</v>
      </c>
    </row>
    <row r="1900" spans="1:17" x14ac:dyDescent="0.3">
      <c r="A1900" s="29" t="s">
        <v>910</v>
      </c>
      <c r="B1900" s="29">
        <v>1</v>
      </c>
      <c r="C1900" s="29" t="s">
        <v>1089</v>
      </c>
      <c r="D1900" s="29" t="s">
        <v>1099</v>
      </c>
      <c r="E1900" s="29">
        <v>150</v>
      </c>
      <c r="G1900" s="29" t="s">
        <v>1035</v>
      </c>
      <c r="H1900" s="29">
        <v>1</v>
      </c>
      <c r="I1900" s="29">
        <v>20.9</v>
      </c>
      <c r="J1900" s="29">
        <v>3.1349999999999998</v>
      </c>
      <c r="K1900" s="29">
        <v>3.1349999999999998</v>
      </c>
      <c r="L1900" s="29" t="s">
        <v>1032</v>
      </c>
      <c r="M1900" s="29">
        <v>1</v>
      </c>
      <c r="N1900" s="29">
        <v>0.15</v>
      </c>
      <c r="O1900" s="29">
        <v>1</v>
      </c>
      <c r="P1900" s="29">
        <v>3.1349999999999998</v>
      </c>
      <c r="Q1900" s="29" t="s">
        <v>1033</v>
      </c>
    </row>
    <row r="1901" spans="1:17" x14ac:dyDescent="0.3">
      <c r="A1901" s="29" t="s">
        <v>910</v>
      </c>
      <c r="B1901" s="29">
        <v>1</v>
      </c>
      <c r="C1901" s="29" t="s">
        <v>1089</v>
      </c>
      <c r="D1901" s="29" t="s">
        <v>1099</v>
      </c>
      <c r="E1901" s="29">
        <v>150</v>
      </c>
      <c r="G1901" s="29" t="s">
        <v>1035</v>
      </c>
      <c r="H1901" s="29">
        <v>1</v>
      </c>
      <c r="I1901" s="29">
        <v>20.9</v>
      </c>
      <c r="J1901" s="29">
        <v>3.1349999999999998</v>
      </c>
      <c r="K1901" s="29">
        <v>3.1349999999999998</v>
      </c>
      <c r="L1901" s="29" t="s">
        <v>1032</v>
      </c>
      <c r="M1901" s="29">
        <v>1</v>
      </c>
      <c r="N1901" s="29">
        <v>0.15</v>
      </c>
      <c r="O1901" s="29">
        <v>1</v>
      </c>
      <c r="P1901" s="29">
        <v>3.1349999999999998</v>
      </c>
      <c r="Q1901" s="29" t="s">
        <v>1033</v>
      </c>
    </row>
    <row r="1902" spans="1:17" x14ac:dyDescent="0.3">
      <c r="A1902" s="29" t="s">
        <v>910</v>
      </c>
      <c r="B1902" s="29">
        <v>1</v>
      </c>
      <c r="C1902" s="29" t="s">
        <v>1089</v>
      </c>
      <c r="D1902" s="29" t="s">
        <v>1099</v>
      </c>
      <c r="E1902" s="29">
        <v>150</v>
      </c>
      <c r="G1902" s="29" t="s">
        <v>1035</v>
      </c>
      <c r="H1902" s="29">
        <v>1</v>
      </c>
      <c r="I1902" s="29">
        <v>20.9</v>
      </c>
      <c r="J1902" s="29">
        <v>3.1349999999999998</v>
      </c>
      <c r="K1902" s="29">
        <v>3.1349999999999998</v>
      </c>
      <c r="L1902" s="29" t="s">
        <v>1032</v>
      </c>
      <c r="M1902" s="29">
        <v>1</v>
      </c>
      <c r="N1902" s="29">
        <v>0.15</v>
      </c>
      <c r="O1902" s="29">
        <v>1</v>
      </c>
      <c r="P1902" s="29">
        <v>3.1349999999999998</v>
      </c>
      <c r="Q1902" s="29" t="s">
        <v>1033</v>
      </c>
    </row>
    <row r="1903" spans="1:17" x14ac:dyDescent="0.3">
      <c r="A1903" s="29" t="s">
        <v>910</v>
      </c>
      <c r="B1903" s="29">
        <v>1</v>
      </c>
      <c r="C1903" s="29" t="s">
        <v>1089</v>
      </c>
      <c r="D1903" s="29" t="s">
        <v>1099</v>
      </c>
      <c r="E1903" s="29">
        <v>150</v>
      </c>
      <c r="G1903" s="29" t="s">
        <v>1035</v>
      </c>
      <c r="H1903" s="29">
        <v>1</v>
      </c>
      <c r="I1903" s="29">
        <v>20.9</v>
      </c>
      <c r="J1903" s="29">
        <v>3.1349999999999998</v>
      </c>
      <c r="K1903" s="29">
        <v>3.1349999999999998</v>
      </c>
      <c r="L1903" s="29" t="s">
        <v>1032</v>
      </c>
      <c r="M1903" s="29">
        <v>1</v>
      </c>
      <c r="N1903" s="29">
        <v>0.15</v>
      </c>
      <c r="O1903" s="29">
        <v>1</v>
      </c>
      <c r="P1903" s="29">
        <v>3.1349999999999998</v>
      </c>
      <c r="Q1903" s="29" t="s">
        <v>1033</v>
      </c>
    </row>
    <row r="1904" spans="1:17" x14ac:dyDescent="0.3">
      <c r="A1904" s="29" t="s">
        <v>910</v>
      </c>
      <c r="B1904" s="29">
        <v>1</v>
      </c>
      <c r="C1904" s="29" t="s">
        <v>1089</v>
      </c>
      <c r="D1904" s="29" t="s">
        <v>1099</v>
      </c>
      <c r="E1904" s="29">
        <v>150</v>
      </c>
      <c r="G1904" s="29" t="s">
        <v>1035</v>
      </c>
      <c r="H1904" s="29">
        <v>1</v>
      </c>
      <c r="I1904" s="29">
        <v>20.9</v>
      </c>
      <c r="J1904" s="29">
        <v>3.1349999999999998</v>
      </c>
      <c r="K1904" s="29">
        <v>3.1349999999999998</v>
      </c>
      <c r="L1904" s="29" t="s">
        <v>1032</v>
      </c>
      <c r="M1904" s="29">
        <v>1</v>
      </c>
      <c r="N1904" s="29">
        <v>0.15</v>
      </c>
      <c r="O1904" s="29">
        <v>1</v>
      </c>
      <c r="P1904" s="29">
        <v>3.1349999999999998</v>
      </c>
      <c r="Q1904" s="29" t="s">
        <v>1033</v>
      </c>
    </row>
    <row r="1905" spans="1:17" x14ac:dyDescent="0.3">
      <c r="A1905" s="29" t="s">
        <v>910</v>
      </c>
      <c r="B1905" s="29">
        <v>1</v>
      </c>
      <c r="C1905" s="29" t="s">
        <v>1089</v>
      </c>
      <c r="D1905" s="29" t="s">
        <v>1099</v>
      </c>
      <c r="E1905" s="29">
        <v>150</v>
      </c>
      <c r="G1905" s="29" t="s">
        <v>1035</v>
      </c>
      <c r="H1905" s="29">
        <v>1</v>
      </c>
      <c r="I1905" s="29">
        <v>20.9</v>
      </c>
      <c r="J1905" s="29">
        <v>3.1349999999999998</v>
      </c>
      <c r="K1905" s="29">
        <v>3.1349999999999998</v>
      </c>
      <c r="L1905" s="29" t="s">
        <v>1032</v>
      </c>
      <c r="M1905" s="29">
        <v>1</v>
      </c>
      <c r="N1905" s="29">
        <v>0.15</v>
      </c>
      <c r="O1905" s="29">
        <v>1</v>
      </c>
      <c r="P1905" s="29">
        <v>3.1349999999999998</v>
      </c>
      <c r="Q1905" s="29" t="s">
        <v>1033</v>
      </c>
    </row>
    <row r="1906" spans="1:17" x14ac:dyDescent="0.3">
      <c r="A1906" s="29" t="s">
        <v>910</v>
      </c>
      <c r="B1906" s="29">
        <v>1</v>
      </c>
      <c r="C1906" s="29" t="s">
        <v>1089</v>
      </c>
      <c r="D1906" s="29" t="s">
        <v>1099</v>
      </c>
      <c r="E1906" s="29">
        <v>150</v>
      </c>
      <c r="G1906" s="29" t="s">
        <v>1035</v>
      </c>
      <c r="H1906" s="29">
        <v>1</v>
      </c>
      <c r="I1906" s="29">
        <v>20.9</v>
      </c>
      <c r="J1906" s="29">
        <v>3.1349999999999998</v>
      </c>
      <c r="K1906" s="29">
        <v>3.1349999999999998</v>
      </c>
      <c r="L1906" s="29" t="s">
        <v>1032</v>
      </c>
      <c r="M1906" s="29">
        <v>1</v>
      </c>
      <c r="N1906" s="29">
        <v>0.15</v>
      </c>
      <c r="O1906" s="29">
        <v>1</v>
      </c>
      <c r="P1906" s="29">
        <v>3.1349999999999998</v>
      </c>
      <c r="Q1906" s="29" t="s">
        <v>1033</v>
      </c>
    </row>
    <row r="1907" spans="1:17" x14ac:dyDescent="0.3">
      <c r="A1907" s="29" t="s">
        <v>910</v>
      </c>
      <c r="B1907" s="29">
        <v>1</v>
      </c>
      <c r="C1907" s="29" t="s">
        <v>1089</v>
      </c>
      <c r="D1907" s="29" t="s">
        <v>1099</v>
      </c>
      <c r="E1907" s="29">
        <v>150</v>
      </c>
      <c r="G1907" s="29" t="s">
        <v>1035</v>
      </c>
      <c r="H1907" s="29">
        <v>1</v>
      </c>
      <c r="I1907" s="29">
        <v>20.9</v>
      </c>
      <c r="J1907" s="29">
        <v>3.1349999999999998</v>
      </c>
      <c r="K1907" s="29">
        <v>3.1349999999999998</v>
      </c>
      <c r="L1907" s="29" t="s">
        <v>1032</v>
      </c>
      <c r="M1907" s="29">
        <v>1</v>
      </c>
      <c r="N1907" s="29">
        <v>0.15</v>
      </c>
      <c r="O1907" s="29">
        <v>1</v>
      </c>
      <c r="P1907" s="29">
        <v>3.1349999999999998</v>
      </c>
      <c r="Q1907" s="29" t="s">
        <v>1033</v>
      </c>
    </row>
    <row r="1908" spans="1:17" x14ac:dyDescent="0.3">
      <c r="A1908" s="29" t="s">
        <v>911</v>
      </c>
      <c r="B1908" s="29">
        <v>1</v>
      </c>
      <c r="C1908" s="29" t="s">
        <v>1089</v>
      </c>
      <c r="D1908" s="29" t="s">
        <v>1099</v>
      </c>
      <c r="E1908" s="29">
        <v>150</v>
      </c>
      <c r="G1908" s="29" t="s">
        <v>1031</v>
      </c>
      <c r="H1908" s="29">
        <v>1</v>
      </c>
      <c r="I1908" s="29">
        <v>20.9</v>
      </c>
      <c r="J1908" s="29">
        <v>3.1349999999999998</v>
      </c>
      <c r="K1908" s="29">
        <v>3.1349999999999998</v>
      </c>
      <c r="L1908" s="29" t="s">
        <v>1032</v>
      </c>
      <c r="M1908" s="29">
        <v>1</v>
      </c>
      <c r="N1908" s="29">
        <v>0.15</v>
      </c>
      <c r="O1908" s="29">
        <v>1</v>
      </c>
      <c r="P1908" s="29">
        <v>3.1349999999999998</v>
      </c>
      <c r="Q1908" s="29" t="s">
        <v>1033</v>
      </c>
    </row>
    <row r="1909" spans="1:17" x14ac:dyDescent="0.3">
      <c r="A1909" s="29" t="s">
        <v>911</v>
      </c>
      <c r="B1909" s="29">
        <v>1</v>
      </c>
      <c r="C1909" s="29" t="s">
        <v>1089</v>
      </c>
      <c r="D1909" s="29" t="s">
        <v>1099</v>
      </c>
      <c r="E1909" s="29">
        <v>150</v>
      </c>
      <c r="G1909" s="29" t="s">
        <v>1031</v>
      </c>
      <c r="H1909" s="29">
        <v>1</v>
      </c>
      <c r="I1909" s="29">
        <v>20.9</v>
      </c>
      <c r="J1909" s="29">
        <v>3.1349999999999998</v>
      </c>
      <c r="K1909" s="29">
        <v>3.1349999999999998</v>
      </c>
      <c r="L1909" s="29" t="s">
        <v>1032</v>
      </c>
      <c r="M1909" s="29">
        <v>1</v>
      </c>
      <c r="N1909" s="29">
        <v>0.15</v>
      </c>
      <c r="O1909" s="29">
        <v>1</v>
      </c>
      <c r="P1909" s="29">
        <v>3.1349999999999998</v>
      </c>
      <c r="Q1909" s="29" t="s">
        <v>1033</v>
      </c>
    </row>
    <row r="1910" spans="1:17" x14ac:dyDescent="0.3">
      <c r="A1910" s="29" t="s">
        <v>911</v>
      </c>
      <c r="B1910" s="29">
        <v>1</v>
      </c>
      <c r="C1910" s="29" t="s">
        <v>1089</v>
      </c>
      <c r="D1910" s="29" t="s">
        <v>1099</v>
      </c>
      <c r="E1910" s="29">
        <v>150</v>
      </c>
      <c r="G1910" s="29" t="s">
        <v>1031</v>
      </c>
      <c r="H1910" s="29">
        <v>1</v>
      </c>
      <c r="I1910" s="29">
        <v>20.9</v>
      </c>
      <c r="J1910" s="29">
        <v>3.1349999999999998</v>
      </c>
      <c r="K1910" s="29">
        <v>3.1349999999999998</v>
      </c>
      <c r="L1910" s="29" t="s">
        <v>1032</v>
      </c>
      <c r="M1910" s="29">
        <v>1</v>
      </c>
      <c r="N1910" s="29">
        <v>0.15</v>
      </c>
      <c r="O1910" s="29">
        <v>1</v>
      </c>
      <c r="P1910" s="29">
        <v>3.1349999999999998</v>
      </c>
      <c r="Q1910" s="29" t="s">
        <v>1033</v>
      </c>
    </row>
    <row r="1911" spans="1:17" x14ac:dyDescent="0.3">
      <c r="A1911" s="29" t="s">
        <v>912</v>
      </c>
      <c r="B1911" s="29">
        <v>1</v>
      </c>
      <c r="C1911" s="29" t="s">
        <v>1103</v>
      </c>
      <c r="D1911" s="29">
        <v>12</v>
      </c>
      <c r="E1911" s="29">
        <v>320</v>
      </c>
      <c r="F1911" s="29">
        <v>300</v>
      </c>
      <c r="G1911" s="29" t="s">
        <v>1035</v>
      </c>
      <c r="H1911" s="29">
        <v>1</v>
      </c>
      <c r="J1911" s="29">
        <v>9.0431999999999988</v>
      </c>
      <c r="K1911" s="29">
        <v>9.0431999999999988</v>
      </c>
      <c r="L1911" s="29" t="s">
        <v>1036</v>
      </c>
      <c r="M1911" s="29">
        <v>1</v>
      </c>
      <c r="O1911" s="29">
        <v>1</v>
      </c>
      <c r="P1911" s="29">
        <v>9.0431999999999988</v>
      </c>
      <c r="Q1911" s="29" t="s">
        <v>1037</v>
      </c>
    </row>
    <row r="1912" spans="1:17" x14ac:dyDescent="0.3">
      <c r="B1912" s="29">
        <v>2</v>
      </c>
      <c r="C1912" s="29" t="s">
        <v>1104</v>
      </c>
      <c r="D1912" s="29">
        <v>12</v>
      </c>
      <c r="E1912" s="29">
        <v>100</v>
      </c>
      <c r="F1912" s="29">
        <v>300</v>
      </c>
      <c r="G1912" s="29" t="s">
        <v>1035</v>
      </c>
      <c r="H1912" s="29">
        <v>1</v>
      </c>
      <c r="J1912" s="29">
        <v>2.8260000000000001</v>
      </c>
      <c r="K1912" s="29">
        <v>2.8260000000000001</v>
      </c>
      <c r="L1912" s="29" t="s">
        <v>1036</v>
      </c>
      <c r="M1912" s="29">
        <v>1</v>
      </c>
      <c r="O1912" s="29">
        <v>1</v>
      </c>
      <c r="P1912" s="29">
        <v>2.8260000000000001</v>
      </c>
      <c r="Q1912" s="29" t="s">
        <v>1037</v>
      </c>
    </row>
    <row r="1913" spans="1:17" x14ac:dyDescent="0.3">
      <c r="B1913" s="29">
        <v>3</v>
      </c>
      <c r="C1913" s="29" t="s">
        <v>1101</v>
      </c>
      <c r="D1913" s="29">
        <v>12</v>
      </c>
      <c r="E1913" s="29">
        <v>227</v>
      </c>
      <c r="F1913" s="29">
        <v>300</v>
      </c>
      <c r="G1913" s="29" t="s">
        <v>1035</v>
      </c>
      <c r="H1913" s="29">
        <v>1</v>
      </c>
      <c r="J1913" s="29">
        <v>6.4150199999999993</v>
      </c>
      <c r="K1913" s="29">
        <v>6.4150199999999993</v>
      </c>
      <c r="L1913" s="29" t="s">
        <v>1036</v>
      </c>
      <c r="M1913" s="29">
        <v>1</v>
      </c>
      <c r="O1913" s="29">
        <v>1</v>
      </c>
      <c r="P1913" s="29">
        <v>6.4150199999999993</v>
      </c>
      <c r="Q1913" s="29" t="s">
        <v>1037</v>
      </c>
    </row>
    <row r="1914" spans="1:17" x14ac:dyDescent="0.3">
      <c r="A1914" s="29" t="s">
        <v>913</v>
      </c>
      <c r="B1914" s="29">
        <v>1</v>
      </c>
      <c r="C1914" s="29" t="s">
        <v>1103</v>
      </c>
      <c r="D1914" s="29">
        <v>12</v>
      </c>
      <c r="E1914" s="29">
        <v>370</v>
      </c>
      <c r="F1914" s="29">
        <v>300</v>
      </c>
      <c r="G1914" s="29" t="s">
        <v>1035</v>
      </c>
      <c r="H1914" s="29">
        <v>1</v>
      </c>
      <c r="J1914" s="29">
        <v>10.456199999999999</v>
      </c>
      <c r="K1914" s="29">
        <v>10.456199999999999</v>
      </c>
      <c r="L1914" s="29" t="s">
        <v>1036</v>
      </c>
      <c r="M1914" s="29">
        <v>1</v>
      </c>
      <c r="O1914" s="29">
        <v>1</v>
      </c>
      <c r="P1914" s="29">
        <v>10.456199999999999</v>
      </c>
      <c r="Q1914" s="29" t="s">
        <v>1037</v>
      </c>
    </row>
    <row r="1915" spans="1:17" x14ac:dyDescent="0.3">
      <c r="B1915" s="29">
        <v>2</v>
      </c>
      <c r="C1915" s="29" t="s">
        <v>1104</v>
      </c>
      <c r="D1915" s="29">
        <v>12</v>
      </c>
      <c r="E1915" s="29">
        <v>100</v>
      </c>
      <c r="F1915" s="29">
        <v>300</v>
      </c>
      <c r="G1915" s="29" t="s">
        <v>1035</v>
      </c>
      <c r="H1915" s="29">
        <v>1</v>
      </c>
      <c r="J1915" s="29">
        <v>2.8260000000000001</v>
      </c>
      <c r="K1915" s="29">
        <v>2.8260000000000001</v>
      </c>
      <c r="L1915" s="29" t="s">
        <v>1036</v>
      </c>
      <c r="M1915" s="29">
        <v>1</v>
      </c>
      <c r="O1915" s="29">
        <v>1</v>
      </c>
      <c r="P1915" s="29">
        <v>2.8260000000000001</v>
      </c>
      <c r="Q1915" s="29" t="s">
        <v>1037</v>
      </c>
    </row>
    <row r="1916" spans="1:17" x14ac:dyDescent="0.3">
      <c r="B1916" s="29">
        <v>3</v>
      </c>
      <c r="C1916" s="29" t="s">
        <v>1101</v>
      </c>
      <c r="D1916" s="29">
        <v>12</v>
      </c>
      <c r="E1916" s="29">
        <v>252.4</v>
      </c>
      <c r="F1916" s="29">
        <v>300</v>
      </c>
      <c r="G1916" s="29" t="s">
        <v>1035</v>
      </c>
      <c r="H1916" s="29">
        <v>1</v>
      </c>
      <c r="J1916" s="29">
        <v>7.1328240000000003</v>
      </c>
      <c r="K1916" s="29">
        <v>7.1328240000000003</v>
      </c>
      <c r="L1916" s="29" t="s">
        <v>1036</v>
      </c>
      <c r="M1916" s="29">
        <v>1</v>
      </c>
      <c r="O1916" s="29">
        <v>1</v>
      </c>
      <c r="P1916" s="29">
        <v>7.1328240000000003</v>
      </c>
      <c r="Q1916" s="29" t="s">
        <v>1037</v>
      </c>
    </row>
    <row r="1917" spans="1:17" x14ac:dyDescent="0.3">
      <c r="A1917" s="29" t="s">
        <v>914</v>
      </c>
      <c r="B1917" s="29">
        <v>1</v>
      </c>
      <c r="C1917" s="29" t="s">
        <v>1089</v>
      </c>
      <c r="D1917" s="29" t="s">
        <v>1099</v>
      </c>
      <c r="E1917" s="29">
        <v>150</v>
      </c>
      <c r="G1917" s="29" t="s">
        <v>1035</v>
      </c>
      <c r="H1917" s="29">
        <v>1</v>
      </c>
      <c r="I1917" s="29">
        <v>20.9</v>
      </c>
      <c r="J1917" s="29">
        <v>3.1349999999999998</v>
      </c>
      <c r="K1917" s="29">
        <v>3.1349999999999998</v>
      </c>
      <c r="L1917" s="29" t="s">
        <v>1032</v>
      </c>
      <c r="M1917" s="29">
        <v>1</v>
      </c>
      <c r="N1917" s="29">
        <v>0.15</v>
      </c>
      <c r="O1917" s="29">
        <v>1</v>
      </c>
      <c r="P1917" s="29">
        <v>3.1349999999999998</v>
      </c>
      <c r="Q1917" s="29" t="s">
        <v>1033</v>
      </c>
    </row>
    <row r="1918" spans="1:17" x14ac:dyDescent="0.3">
      <c r="A1918" s="29" t="s">
        <v>914</v>
      </c>
      <c r="B1918" s="29">
        <v>1</v>
      </c>
      <c r="C1918" s="29" t="s">
        <v>1089</v>
      </c>
      <c r="D1918" s="29" t="s">
        <v>1099</v>
      </c>
      <c r="E1918" s="29">
        <v>150</v>
      </c>
      <c r="G1918" s="29" t="s">
        <v>1035</v>
      </c>
      <c r="H1918" s="29">
        <v>1</v>
      </c>
      <c r="I1918" s="29">
        <v>20.9</v>
      </c>
      <c r="J1918" s="29">
        <v>3.1349999999999998</v>
      </c>
      <c r="K1918" s="29">
        <v>3.1349999999999998</v>
      </c>
      <c r="L1918" s="29" t="s">
        <v>1032</v>
      </c>
      <c r="M1918" s="29">
        <v>1</v>
      </c>
      <c r="N1918" s="29">
        <v>0.15</v>
      </c>
      <c r="O1918" s="29">
        <v>1</v>
      </c>
      <c r="P1918" s="29">
        <v>3.1349999999999998</v>
      </c>
      <c r="Q1918" s="29" t="s">
        <v>1033</v>
      </c>
    </row>
    <row r="1919" spans="1:17" x14ac:dyDescent="0.3">
      <c r="A1919" s="29" t="s">
        <v>914</v>
      </c>
      <c r="B1919" s="29">
        <v>1</v>
      </c>
      <c r="C1919" s="29" t="s">
        <v>1089</v>
      </c>
      <c r="D1919" s="29" t="s">
        <v>1099</v>
      </c>
      <c r="E1919" s="29">
        <v>150</v>
      </c>
      <c r="G1919" s="29" t="s">
        <v>1035</v>
      </c>
      <c r="H1919" s="29">
        <v>1</v>
      </c>
      <c r="I1919" s="29">
        <v>20.9</v>
      </c>
      <c r="J1919" s="29">
        <v>3.1349999999999998</v>
      </c>
      <c r="K1919" s="29">
        <v>3.1349999999999998</v>
      </c>
      <c r="L1919" s="29" t="s">
        <v>1032</v>
      </c>
      <c r="M1919" s="29">
        <v>1</v>
      </c>
      <c r="N1919" s="29">
        <v>0.15</v>
      </c>
      <c r="O1919" s="29">
        <v>1</v>
      </c>
      <c r="P1919" s="29">
        <v>3.1349999999999998</v>
      </c>
      <c r="Q1919" s="29" t="s">
        <v>1033</v>
      </c>
    </row>
    <row r="1920" spans="1:17" x14ac:dyDescent="0.3">
      <c r="A1920" s="29" t="s">
        <v>914</v>
      </c>
      <c r="B1920" s="29">
        <v>1</v>
      </c>
      <c r="C1920" s="29" t="s">
        <v>1089</v>
      </c>
      <c r="D1920" s="29" t="s">
        <v>1099</v>
      </c>
      <c r="E1920" s="29">
        <v>150</v>
      </c>
      <c r="G1920" s="29" t="s">
        <v>1035</v>
      </c>
      <c r="H1920" s="29">
        <v>1</v>
      </c>
      <c r="I1920" s="29">
        <v>20.9</v>
      </c>
      <c r="J1920" s="29">
        <v>3.1349999999999998</v>
      </c>
      <c r="K1920" s="29">
        <v>3.1349999999999998</v>
      </c>
      <c r="L1920" s="29" t="s">
        <v>1032</v>
      </c>
      <c r="M1920" s="29">
        <v>1</v>
      </c>
      <c r="N1920" s="29">
        <v>0.15</v>
      </c>
      <c r="O1920" s="29">
        <v>1</v>
      </c>
      <c r="P1920" s="29">
        <v>3.1349999999999998</v>
      </c>
      <c r="Q1920" s="29" t="s">
        <v>1033</v>
      </c>
    </row>
    <row r="1921" spans="1:17" x14ac:dyDescent="0.3">
      <c r="A1921" s="29" t="s">
        <v>914</v>
      </c>
      <c r="B1921" s="29">
        <v>1</v>
      </c>
      <c r="C1921" s="29" t="s">
        <v>1089</v>
      </c>
      <c r="D1921" s="29" t="s">
        <v>1099</v>
      </c>
      <c r="E1921" s="29">
        <v>150</v>
      </c>
      <c r="G1921" s="29" t="s">
        <v>1035</v>
      </c>
      <c r="H1921" s="29">
        <v>1</v>
      </c>
      <c r="I1921" s="29">
        <v>20.9</v>
      </c>
      <c r="J1921" s="29">
        <v>3.1349999999999998</v>
      </c>
      <c r="K1921" s="29">
        <v>3.1349999999999998</v>
      </c>
      <c r="L1921" s="29" t="s">
        <v>1032</v>
      </c>
      <c r="M1921" s="29">
        <v>1</v>
      </c>
      <c r="N1921" s="29">
        <v>0.15</v>
      </c>
      <c r="O1921" s="29">
        <v>1</v>
      </c>
      <c r="P1921" s="29">
        <v>3.1349999999999998</v>
      </c>
      <c r="Q1921" s="29" t="s">
        <v>1033</v>
      </c>
    </row>
    <row r="1922" spans="1:17" x14ac:dyDescent="0.3">
      <c r="A1922" s="29" t="s">
        <v>914</v>
      </c>
      <c r="B1922" s="29">
        <v>1</v>
      </c>
      <c r="C1922" s="29" t="s">
        <v>1089</v>
      </c>
      <c r="D1922" s="29" t="s">
        <v>1099</v>
      </c>
      <c r="E1922" s="29">
        <v>150</v>
      </c>
      <c r="G1922" s="29" t="s">
        <v>1035</v>
      </c>
      <c r="H1922" s="29">
        <v>1</v>
      </c>
      <c r="I1922" s="29">
        <v>20.9</v>
      </c>
      <c r="J1922" s="29">
        <v>3.1349999999999998</v>
      </c>
      <c r="K1922" s="29">
        <v>3.1349999999999998</v>
      </c>
      <c r="L1922" s="29" t="s">
        <v>1032</v>
      </c>
      <c r="M1922" s="29">
        <v>1</v>
      </c>
      <c r="N1922" s="29">
        <v>0.15</v>
      </c>
      <c r="O1922" s="29">
        <v>1</v>
      </c>
      <c r="P1922" s="29">
        <v>3.1349999999999998</v>
      </c>
      <c r="Q1922" s="29" t="s">
        <v>1033</v>
      </c>
    </row>
    <row r="1923" spans="1:17" x14ac:dyDescent="0.3">
      <c r="A1923" s="29" t="s">
        <v>914</v>
      </c>
      <c r="B1923" s="29">
        <v>1</v>
      </c>
      <c r="C1923" s="29" t="s">
        <v>1089</v>
      </c>
      <c r="D1923" s="29" t="s">
        <v>1099</v>
      </c>
      <c r="E1923" s="29">
        <v>150</v>
      </c>
      <c r="G1923" s="29" t="s">
        <v>1035</v>
      </c>
      <c r="H1923" s="29">
        <v>1</v>
      </c>
      <c r="I1923" s="29">
        <v>20.9</v>
      </c>
      <c r="J1923" s="29">
        <v>3.1349999999999998</v>
      </c>
      <c r="K1923" s="29">
        <v>3.1349999999999998</v>
      </c>
      <c r="L1923" s="29" t="s">
        <v>1032</v>
      </c>
      <c r="M1923" s="29">
        <v>1</v>
      </c>
      <c r="N1923" s="29">
        <v>0.15</v>
      </c>
      <c r="O1923" s="29">
        <v>1</v>
      </c>
      <c r="P1923" s="29">
        <v>3.1349999999999998</v>
      </c>
      <c r="Q1923" s="29" t="s">
        <v>1033</v>
      </c>
    </row>
    <row r="1924" spans="1:17" x14ac:dyDescent="0.3">
      <c r="A1924" s="29" t="s">
        <v>914</v>
      </c>
      <c r="B1924" s="29">
        <v>1</v>
      </c>
      <c r="C1924" s="29" t="s">
        <v>1089</v>
      </c>
      <c r="D1924" s="29" t="s">
        <v>1099</v>
      </c>
      <c r="E1924" s="29">
        <v>150</v>
      </c>
      <c r="G1924" s="29" t="s">
        <v>1035</v>
      </c>
      <c r="H1924" s="29">
        <v>1</v>
      </c>
      <c r="I1924" s="29">
        <v>20.9</v>
      </c>
      <c r="J1924" s="29">
        <v>3.1349999999999998</v>
      </c>
      <c r="K1924" s="29">
        <v>3.1349999999999998</v>
      </c>
      <c r="L1924" s="29" t="s">
        <v>1032</v>
      </c>
      <c r="M1924" s="29">
        <v>1</v>
      </c>
      <c r="N1924" s="29">
        <v>0.15</v>
      </c>
      <c r="O1924" s="29">
        <v>1</v>
      </c>
      <c r="P1924" s="29">
        <v>3.1349999999999998</v>
      </c>
      <c r="Q1924" s="29" t="s">
        <v>1033</v>
      </c>
    </row>
    <row r="1925" spans="1:17" x14ac:dyDescent="0.3">
      <c r="A1925" s="29" t="s">
        <v>914</v>
      </c>
      <c r="B1925" s="29">
        <v>1</v>
      </c>
      <c r="C1925" s="29" t="s">
        <v>1089</v>
      </c>
      <c r="D1925" s="29" t="s">
        <v>1099</v>
      </c>
      <c r="E1925" s="29">
        <v>150</v>
      </c>
      <c r="G1925" s="29" t="s">
        <v>1035</v>
      </c>
      <c r="H1925" s="29">
        <v>1</v>
      </c>
      <c r="I1925" s="29">
        <v>20.9</v>
      </c>
      <c r="J1925" s="29">
        <v>3.1349999999999998</v>
      </c>
      <c r="K1925" s="29">
        <v>3.1349999999999998</v>
      </c>
      <c r="L1925" s="29" t="s">
        <v>1032</v>
      </c>
      <c r="M1925" s="29">
        <v>1</v>
      </c>
      <c r="N1925" s="29">
        <v>0.15</v>
      </c>
      <c r="O1925" s="29">
        <v>1</v>
      </c>
      <c r="P1925" s="29">
        <v>3.1349999999999998</v>
      </c>
      <c r="Q1925" s="29" t="s">
        <v>1033</v>
      </c>
    </row>
    <row r="1926" spans="1:17" x14ac:dyDescent="0.3">
      <c r="A1926" s="29" t="s">
        <v>915</v>
      </c>
      <c r="B1926" s="29">
        <v>1</v>
      </c>
      <c r="C1926" s="29" t="s">
        <v>1089</v>
      </c>
      <c r="D1926" s="29" t="s">
        <v>1099</v>
      </c>
      <c r="E1926" s="29">
        <v>150</v>
      </c>
      <c r="G1926" s="29" t="s">
        <v>1035</v>
      </c>
      <c r="H1926" s="29">
        <v>1</v>
      </c>
      <c r="I1926" s="29">
        <v>20.9</v>
      </c>
      <c r="J1926" s="29">
        <v>3.1349999999999998</v>
      </c>
      <c r="K1926" s="29">
        <v>3.1349999999999998</v>
      </c>
      <c r="L1926" s="29" t="s">
        <v>1032</v>
      </c>
      <c r="M1926" s="29">
        <v>1</v>
      </c>
      <c r="N1926" s="29">
        <v>0.15</v>
      </c>
      <c r="O1926" s="29">
        <v>1</v>
      </c>
      <c r="P1926" s="29">
        <v>3.1349999999999998</v>
      </c>
      <c r="Q1926" s="29" t="s">
        <v>1033</v>
      </c>
    </row>
    <row r="1927" spans="1:17" x14ac:dyDescent="0.3">
      <c r="A1927" s="29" t="s">
        <v>916</v>
      </c>
      <c r="B1927" s="29">
        <v>1</v>
      </c>
      <c r="C1927" s="29" t="s">
        <v>1089</v>
      </c>
      <c r="D1927" s="29" t="s">
        <v>1099</v>
      </c>
      <c r="E1927" s="29">
        <v>150</v>
      </c>
      <c r="G1927" s="29" t="s">
        <v>1031</v>
      </c>
      <c r="H1927" s="29">
        <v>1</v>
      </c>
      <c r="I1927" s="29">
        <v>20.9</v>
      </c>
      <c r="J1927" s="29">
        <v>3.1349999999999998</v>
      </c>
      <c r="K1927" s="29">
        <v>3.1349999999999998</v>
      </c>
      <c r="L1927" s="29" t="s">
        <v>1032</v>
      </c>
      <c r="M1927" s="29">
        <v>1</v>
      </c>
      <c r="N1927" s="29">
        <v>0.15</v>
      </c>
      <c r="O1927" s="29">
        <v>1</v>
      </c>
      <c r="P1927" s="29">
        <v>3.1349999999999998</v>
      </c>
      <c r="Q1927" s="29" t="s">
        <v>1033</v>
      </c>
    </row>
    <row r="1928" spans="1:17" x14ac:dyDescent="0.3">
      <c r="A1928" s="29" t="s">
        <v>916</v>
      </c>
      <c r="B1928" s="29">
        <v>1</v>
      </c>
      <c r="C1928" s="29" t="s">
        <v>1089</v>
      </c>
      <c r="D1928" s="29" t="s">
        <v>1099</v>
      </c>
      <c r="E1928" s="29">
        <v>150</v>
      </c>
      <c r="G1928" s="29" t="s">
        <v>1031</v>
      </c>
      <c r="H1928" s="29">
        <v>1</v>
      </c>
      <c r="I1928" s="29">
        <v>20.9</v>
      </c>
      <c r="J1928" s="29">
        <v>3.1349999999999998</v>
      </c>
      <c r="K1928" s="29">
        <v>3.1349999999999998</v>
      </c>
      <c r="L1928" s="29" t="s">
        <v>1032</v>
      </c>
      <c r="M1928" s="29">
        <v>1</v>
      </c>
      <c r="N1928" s="29">
        <v>0.15</v>
      </c>
      <c r="O1928" s="29">
        <v>1</v>
      </c>
      <c r="P1928" s="29">
        <v>3.1349999999999998</v>
      </c>
      <c r="Q1928" s="29" t="s">
        <v>1033</v>
      </c>
    </row>
    <row r="1929" spans="1:17" x14ac:dyDescent="0.3">
      <c r="A1929" s="29" t="s">
        <v>917</v>
      </c>
      <c r="B1929" s="29">
        <v>1</v>
      </c>
      <c r="C1929" s="29" t="s">
        <v>1089</v>
      </c>
      <c r="D1929" s="29" t="s">
        <v>1099</v>
      </c>
      <c r="E1929" s="29">
        <v>150</v>
      </c>
      <c r="G1929" s="29" t="s">
        <v>1035</v>
      </c>
      <c r="H1929" s="29">
        <v>1</v>
      </c>
      <c r="I1929" s="29">
        <v>20.9</v>
      </c>
      <c r="J1929" s="29">
        <v>3.1349999999999998</v>
      </c>
      <c r="K1929" s="29">
        <v>3.1349999999999998</v>
      </c>
      <c r="L1929" s="29" t="s">
        <v>1032</v>
      </c>
      <c r="M1929" s="29">
        <v>1</v>
      </c>
      <c r="N1929" s="29">
        <v>0.15</v>
      </c>
      <c r="O1929" s="29">
        <v>1</v>
      </c>
      <c r="P1929" s="29">
        <v>3.1349999999999998</v>
      </c>
      <c r="Q1929" s="29" t="s">
        <v>1033</v>
      </c>
    </row>
    <row r="1930" spans="1:17" x14ac:dyDescent="0.3">
      <c r="A1930" s="29" t="s">
        <v>918</v>
      </c>
      <c r="B1930" s="29">
        <v>1</v>
      </c>
      <c r="C1930" s="29" t="s">
        <v>1089</v>
      </c>
      <c r="D1930" s="29" t="s">
        <v>1099</v>
      </c>
      <c r="E1930" s="29">
        <v>150</v>
      </c>
      <c r="G1930" s="29" t="s">
        <v>1035</v>
      </c>
      <c r="H1930" s="29">
        <v>1</v>
      </c>
      <c r="I1930" s="29">
        <v>20.9</v>
      </c>
      <c r="J1930" s="29">
        <v>3.1349999999999998</v>
      </c>
      <c r="K1930" s="29">
        <v>3.1349999999999998</v>
      </c>
      <c r="L1930" s="29" t="s">
        <v>1032</v>
      </c>
      <c r="M1930" s="29">
        <v>1</v>
      </c>
      <c r="N1930" s="29">
        <v>0.15</v>
      </c>
      <c r="O1930" s="29">
        <v>1</v>
      </c>
      <c r="P1930" s="29">
        <v>3.1349999999999998</v>
      </c>
      <c r="Q1930" s="29" t="s">
        <v>1033</v>
      </c>
    </row>
    <row r="1931" spans="1:17" x14ac:dyDescent="0.3">
      <c r="A1931" s="29" t="s">
        <v>918</v>
      </c>
      <c r="B1931" s="29">
        <v>1</v>
      </c>
      <c r="C1931" s="29" t="s">
        <v>1089</v>
      </c>
      <c r="D1931" s="29" t="s">
        <v>1099</v>
      </c>
      <c r="E1931" s="29">
        <v>150</v>
      </c>
      <c r="G1931" s="29" t="s">
        <v>1035</v>
      </c>
      <c r="H1931" s="29">
        <v>1</v>
      </c>
      <c r="I1931" s="29">
        <v>20.9</v>
      </c>
      <c r="J1931" s="29">
        <v>3.1349999999999998</v>
      </c>
      <c r="K1931" s="29">
        <v>3.1349999999999998</v>
      </c>
      <c r="L1931" s="29" t="s">
        <v>1032</v>
      </c>
      <c r="M1931" s="29">
        <v>1</v>
      </c>
      <c r="N1931" s="29">
        <v>0.15</v>
      </c>
      <c r="O1931" s="29">
        <v>1</v>
      </c>
      <c r="P1931" s="29">
        <v>3.1349999999999998</v>
      </c>
      <c r="Q1931" s="29" t="s">
        <v>1033</v>
      </c>
    </row>
    <row r="1932" spans="1:17" x14ac:dyDescent="0.3">
      <c r="A1932" s="29" t="s">
        <v>918</v>
      </c>
      <c r="B1932" s="29">
        <v>1</v>
      </c>
      <c r="C1932" s="29" t="s">
        <v>1089</v>
      </c>
      <c r="D1932" s="29" t="s">
        <v>1099</v>
      </c>
      <c r="E1932" s="29">
        <v>150</v>
      </c>
      <c r="G1932" s="29" t="s">
        <v>1035</v>
      </c>
      <c r="H1932" s="29">
        <v>1</v>
      </c>
      <c r="I1932" s="29">
        <v>20.9</v>
      </c>
      <c r="J1932" s="29">
        <v>3.1349999999999998</v>
      </c>
      <c r="K1932" s="29">
        <v>3.1349999999999998</v>
      </c>
      <c r="L1932" s="29" t="s">
        <v>1032</v>
      </c>
      <c r="M1932" s="29">
        <v>1</v>
      </c>
      <c r="N1932" s="29">
        <v>0.15</v>
      </c>
      <c r="O1932" s="29">
        <v>1</v>
      </c>
      <c r="P1932" s="29">
        <v>3.1349999999999998</v>
      </c>
      <c r="Q1932" s="29" t="s">
        <v>1033</v>
      </c>
    </row>
    <row r="1933" spans="1:17" x14ac:dyDescent="0.3">
      <c r="A1933" s="29" t="s">
        <v>918</v>
      </c>
      <c r="B1933" s="29">
        <v>1</v>
      </c>
      <c r="C1933" s="29" t="s">
        <v>1089</v>
      </c>
      <c r="D1933" s="29" t="s">
        <v>1099</v>
      </c>
      <c r="E1933" s="29">
        <v>150</v>
      </c>
      <c r="G1933" s="29" t="s">
        <v>1035</v>
      </c>
      <c r="H1933" s="29">
        <v>1</v>
      </c>
      <c r="I1933" s="29">
        <v>20.9</v>
      </c>
      <c r="J1933" s="29">
        <v>3.1349999999999998</v>
      </c>
      <c r="K1933" s="29">
        <v>3.1349999999999998</v>
      </c>
      <c r="L1933" s="29" t="s">
        <v>1032</v>
      </c>
      <c r="M1933" s="29">
        <v>1</v>
      </c>
      <c r="N1933" s="29">
        <v>0.15</v>
      </c>
      <c r="O1933" s="29">
        <v>1</v>
      </c>
      <c r="P1933" s="29">
        <v>3.1349999999999998</v>
      </c>
      <c r="Q1933" s="29" t="s">
        <v>1033</v>
      </c>
    </row>
    <row r="1934" spans="1:17" x14ac:dyDescent="0.3">
      <c r="A1934" s="29" t="s">
        <v>918</v>
      </c>
      <c r="B1934" s="29">
        <v>1</v>
      </c>
      <c r="C1934" s="29" t="s">
        <v>1089</v>
      </c>
      <c r="D1934" s="29" t="s">
        <v>1099</v>
      </c>
      <c r="E1934" s="29">
        <v>150</v>
      </c>
      <c r="G1934" s="29" t="s">
        <v>1035</v>
      </c>
      <c r="H1934" s="29">
        <v>1</v>
      </c>
      <c r="I1934" s="29">
        <v>20.9</v>
      </c>
      <c r="J1934" s="29">
        <v>3.1349999999999998</v>
      </c>
      <c r="K1934" s="29">
        <v>3.1349999999999998</v>
      </c>
      <c r="L1934" s="29" t="s">
        <v>1032</v>
      </c>
      <c r="M1934" s="29">
        <v>1</v>
      </c>
      <c r="N1934" s="29">
        <v>0.15</v>
      </c>
      <c r="O1934" s="29">
        <v>1</v>
      </c>
      <c r="P1934" s="29">
        <v>3.1349999999999998</v>
      </c>
      <c r="Q1934" s="29" t="s">
        <v>1033</v>
      </c>
    </row>
    <row r="1935" spans="1:17" x14ac:dyDescent="0.3">
      <c r="A1935" s="29" t="s">
        <v>918</v>
      </c>
      <c r="B1935" s="29">
        <v>1</v>
      </c>
      <c r="C1935" s="29" t="s">
        <v>1089</v>
      </c>
      <c r="D1935" s="29" t="s">
        <v>1099</v>
      </c>
      <c r="E1935" s="29">
        <v>150</v>
      </c>
      <c r="G1935" s="29" t="s">
        <v>1035</v>
      </c>
      <c r="H1935" s="29">
        <v>1</v>
      </c>
      <c r="I1935" s="29">
        <v>20.9</v>
      </c>
      <c r="J1935" s="29">
        <v>3.1349999999999998</v>
      </c>
      <c r="K1935" s="29">
        <v>3.1349999999999998</v>
      </c>
      <c r="L1935" s="29" t="s">
        <v>1032</v>
      </c>
      <c r="M1935" s="29">
        <v>1</v>
      </c>
      <c r="N1935" s="29">
        <v>0.15</v>
      </c>
      <c r="O1935" s="29">
        <v>1</v>
      </c>
      <c r="P1935" s="29">
        <v>3.1349999999999998</v>
      </c>
      <c r="Q1935" s="29" t="s">
        <v>1033</v>
      </c>
    </row>
    <row r="1936" spans="1:17" x14ac:dyDescent="0.3">
      <c r="A1936" s="29" t="s">
        <v>918</v>
      </c>
      <c r="B1936" s="29">
        <v>1</v>
      </c>
      <c r="C1936" s="29" t="s">
        <v>1089</v>
      </c>
      <c r="D1936" s="29" t="s">
        <v>1099</v>
      </c>
      <c r="E1936" s="29">
        <v>150</v>
      </c>
      <c r="G1936" s="29" t="s">
        <v>1035</v>
      </c>
      <c r="H1936" s="29">
        <v>1</v>
      </c>
      <c r="I1936" s="29">
        <v>20.9</v>
      </c>
      <c r="J1936" s="29">
        <v>3.1349999999999998</v>
      </c>
      <c r="K1936" s="29">
        <v>3.1349999999999998</v>
      </c>
      <c r="L1936" s="29" t="s">
        <v>1032</v>
      </c>
      <c r="M1936" s="29">
        <v>1</v>
      </c>
      <c r="N1936" s="29">
        <v>0.15</v>
      </c>
      <c r="O1936" s="29">
        <v>1</v>
      </c>
      <c r="P1936" s="29">
        <v>3.1349999999999998</v>
      </c>
      <c r="Q1936" s="29" t="s">
        <v>1033</v>
      </c>
    </row>
    <row r="1937" spans="1:17" x14ac:dyDescent="0.3">
      <c r="A1937" s="29" t="s">
        <v>918</v>
      </c>
      <c r="B1937" s="29">
        <v>1</v>
      </c>
      <c r="C1937" s="29" t="s">
        <v>1089</v>
      </c>
      <c r="D1937" s="29" t="s">
        <v>1099</v>
      </c>
      <c r="E1937" s="29">
        <v>150</v>
      </c>
      <c r="G1937" s="29" t="s">
        <v>1035</v>
      </c>
      <c r="H1937" s="29">
        <v>1</v>
      </c>
      <c r="I1937" s="29">
        <v>20.9</v>
      </c>
      <c r="J1937" s="29">
        <v>3.1349999999999998</v>
      </c>
      <c r="K1937" s="29">
        <v>3.1349999999999998</v>
      </c>
      <c r="L1937" s="29" t="s">
        <v>1032</v>
      </c>
      <c r="M1937" s="29">
        <v>1</v>
      </c>
      <c r="N1937" s="29">
        <v>0.15</v>
      </c>
      <c r="O1937" s="29">
        <v>1</v>
      </c>
      <c r="P1937" s="29">
        <v>3.1349999999999998</v>
      </c>
      <c r="Q1937" s="29" t="s">
        <v>1033</v>
      </c>
    </row>
    <row r="1938" spans="1:17" x14ac:dyDescent="0.3">
      <c r="A1938" s="29" t="s">
        <v>918</v>
      </c>
      <c r="B1938" s="29">
        <v>1</v>
      </c>
      <c r="C1938" s="29" t="s">
        <v>1089</v>
      </c>
      <c r="D1938" s="29" t="s">
        <v>1099</v>
      </c>
      <c r="E1938" s="29">
        <v>150</v>
      </c>
      <c r="G1938" s="29" t="s">
        <v>1035</v>
      </c>
      <c r="H1938" s="29">
        <v>1</v>
      </c>
      <c r="I1938" s="29">
        <v>20.9</v>
      </c>
      <c r="J1938" s="29">
        <v>3.1349999999999998</v>
      </c>
      <c r="K1938" s="29">
        <v>3.1349999999999998</v>
      </c>
      <c r="L1938" s="29" t="s">
        <v>1032</v>
      </c>
      <c r="M1938" s="29">
        <v>1</v>
      </c>
      <c r="N1938" s="29">
        <v>0.15</v>
      </c>
      <c r="O1938" s="29">
        <v>1</v>
      </c>
      <c r="P1938" s="29">
        <v>3.1349999999999998</v>
      </c>
      <c r="Q1938" s="29" t="s">
        <v>1033</v>
      </c>
    </row>
    <row r="1939" spans="1:17" x14ac:dyDescent="0.3">
      <c r="A1939" s="29" t="s">
        <v>919</v>
      </c>
      <c r="B1939" s="29">
        <v>1</v>
      </c>
      <c r="C1939" s="29" t="s">
        <v>1089</v>
      </c>
      <c r="D1939" s="29" t="s">
        <v>1099</v>
      </c>
      <c r="E1939" s="29">
        <v>150</v>
      </c>
      <c r="G1939" s="29" t="s">
        <v>1031</v>
      </c>
      <c r="H1939" s="29">
        <v>1</v>
      </c>
      <c r="I1939" s="29">
        <v>20.9</v>
      </c>
      <c r="J1939" s="29">
        <v>3.1349999999999998</v>
      </c>
      <c r="K1939" s="29">
        <v>3.1349999999999998</v>
      </c>
      <c r="L1939" s="29" t="s">
        <v>1032</v>
      </c>
      <c r="M1939" s="29">
        <v>1</v>
      </c>
      <c r="N1939" s="29">
        <v>0.15</v>
      </c>
      <c r="O1939" s="29">
        <v>1</v>
      </c>
      <c r="P1939" s="29">
        <v>3.1349999999999998</v>
      </c>
      <c r="Q1939" s="29" t="s">
        <v>1033</v>
      </c>
    </row>
    <row r="1940" spans="1:17" x14ac:dyDescent="0.3">
      <c r="A1940" s="29" t="s">
        <v>919</v>
      </c>
      <c r="B1940" s="29">
        <v>1</v>
      </c>
      <c r="C1940" s="29" t="s">
        <v>1089</v>
      </c>
      <c r="D1940" s="29" t="s">
        <v>1099</v>
      </c>
      <c r="E1940" s="29">
        <v>150</v>
      </c>
      <c r="G1940" s="29" t="s">
        <v>1031</v>
      </c>
      <c r="H1940" s="29">
        <v>1</v>
      </c>
      <c r="I1940" s="29">
        <v>20.9</v>
      </c>
      <c r="J1940" s="29">
        <v>3.1349999999999998</v>
      </c>
      <c r="K1940" s="29">
        <v>3.1349999999999998</v>
      </c>
      <c r="L1940" s="29" t="s">
        <v>1032</v>
      </c>
      <c r="M1940" s="29">
        <v>1</v>
      </c>
      <c r="N1940" s="29">
        <v>0.15</v>
      </c>
      <c r="O1940" s="29">
        <v>1</v>
      </c>
      <c r="P1940" s="29">
        <v>3.1349999999999998</v>
      </c>
      <c r="Q1940" s="29" t="s">
        <v>1033</v>
      </c>
    </row>
    <row r="1941" spans="1:17" x14ac:dyDescent="0.3">
      <c r="A1941" s="29" t="s">
        <v>920</v>
      </c>
      <c r="B1941" s="29">
        <v>1</v>
      </c>
      <c r="C1941" s="29" t="s">
        <v>1089</v>
      </c>
      <c r="D1941" s="29" t="s">
        <v>1099</v>
      </c>
      <c r="E1941" s="29">
        <v>100</v>
      </c>
      <c r="G1941" s="29" t="s">
        <v>1031</v>
      </c>
      <c r="H1941" s="29">
        <v>1</v>
      </c>
      <c r="I1941" s="29">
        <v>20.9</v>
      </c>
      <c r="J1941" s="29">
        <v>2.09</v>
      </c>
      <c r="K1941" s="29">
        <v>2.09</v>
      </c>
      <c r="L1941" s="29" t="s">
        <v>1032</v>
      </c>
      <c r="M1941" s="29">
        <v>1</v>
      </c>
      <c r="N1941" s="29">
        <v>0.1</v>
      </c>
      <c r="O1941" s="29">
        <v>1</v>
      </c>
      <c r="P1941" s="29">
        <v>2.09</v>
      </c>
      <c r="Q1941" s="29" t="s">
        <v>1033</v>
      </c>
    </row>
    <row r="1942" spans="1:17" x14ac:dyDescent="0.3">
      <c r="A1942" s="29" t="s">
        <v>921</v>
      </c>
      <c r="B1942" s="29">
        <v>1</v>
      </c>
      <c r="C1942" s="29" t="s">
        <v>1089</v>
      </c>
      <c r="D1942" s="29" t="s">
        <v>1099</v>
      </c>
      <c r="E1942" s="29">
        <v>150</v>
      </c>
      <c r="G1942" s="29" t="s">
        <v>1031</v>
      </c>
      <c r="H1942" s="29">
        <v>1</v>
      </c>
      <c r="I1942" s="29">
        <v>20.9</v>
      </c>
      <c r="J1942" s="29">
        <v>3.1349999999999998</v>
      </c>
      <c r="K1942" s="29">
        <v>3.1349999999999998</v>
      </c>
      <c r="L1942" s="29" t="s">
        <v>1032</v>
      </c>
      <c r="M1942" s="29">
        <v>1</v>
      </c>
      <c r="N1942" s="29">
        <v>0.15</v>
      </c>
      <c r="O1942" s="29">
        <v>1</v>
      </c>
      <c r="P1942" s="29">
        <v>3.1349999999999998</v>
      </c>
      <c r="Q1942" s="29" t="s">
        <v>1033</v>
      </c>
    </row>
    <row r="1943" spans="1:17" x14ac:dyDescent="0.3">
      <c r="A1943" s="29" t="s">
        <v>922</v>
      </c>
      <c r="B1943" s="29">
        <v>1</v>
      </c>
      <c r="C1943" s="29" t="s">
        <v>1089</v>
      </c>
      <c r="D1943" s="29" t="s">
        <v>1099</v>
      </c>
      <c r="E1943" s="29">
        <v>250</v>
      </c>
      <c r="G1943" s="29" t="s">
        <v>1035</v>
      </c>
      <c r="H1943" s="29">
        <v>1</v>
      </c>
      <c r="I1943" s="29">
        <v>20.9</v>
      </c>
      <c r="J1943" s="29">
        <v>5.2249999999999996</v>
      </c>
      <c r="K1943" s="29">
        <v>5.2249999999999996</v>
      </c>
      <c r="L1943" s="29" t="s">
        <v>1032</v>
      </c>
      <c r="M1943" s="29">
        <v>1</v>
      </c>
      <c r="N1943" s="29">
        <v>0.25</v>
      </c>
      <c r="O1943" s="29">
        <v>1</v>
      </c>
      <c r="P1943" s="29">
        <v>5.2249999999999996</v>
      </c>
      <c r="Q1943" s="29" t="s">
        <v>1033</v>
      </c>
    </row>
    <row r="1944" spans="1:17" x14ac:dyDescent="0.3">
      <c r="A1944" s="29" t="s">
        <v>922</v>
      </c>
      <c r="B1944" s="29">
        <v>1</v>
      </c>
      <c r="C1944" s="29" t="s">
        <v>1089</v>
      </c>
      <c r="D1944" s="29" t="s">
        <v>1099</v>
      </c>
      <c r="E1944" s="29">
        <v>250</v>
      </c>
      <c r="G1944" s="29" t="s">
        <v>1035</v>
      </c>
      <c r="H1944" s="29">
        <v>1</v>
      </c>
      <c r="I1944" s="29">
        <v>20.9</v>
      </c>
      <c r="J1944" s="29">
        <v>5.2249999999999996</v>
      </c>
      <c r="K1944" s="29">
        <v>5.2249999999999996</v>
      </c>
      <c r="L1944" s="29" t="s">
        <v>1032</v>
      </c>
      <c r="M1944" s="29">
        <v>1</v>
      </c>
      <c r="N1944" s="29">
        <v>0.25</v>
      </c>
      <c r="O1944" s="29">
        <v>1</v>
      </c>
      <c r="P1944" s="29">
        <v>5.2249999999999996</v>
      </c>
      <c r="Q1944" s="29" t="s">
        <v>1033</v>
      </c>
    </row>
    <row r="1945" spans="1:17" x14ac:dyDescent="0.3">
      <c r="A1945" s="29" t="s">
        <v>922</v>
      </c>
      <c r="B1945" s="29">
        <v>1</v>
      </c>
      <c r="C1945" s="29" t="s">
        <v>1089</v>
      </c>
      <c r="D1945" s="29" t="s">
        <v>1099</v>
      </c>
      <c r="E1945" s="29">
        <v>250</v>
      </c>
      <c r="G1945" s="29" t="s">
        <v>1035</v>
      </c>
      <c r="H1945" s="29">
        <v>1</v>
      </c>
      <c r="I1945" s="29">
        <v>20.9</v>
      </c>
      <c r="J1945" s="29">
        <v>5.2249999999999996</v>
      </c>
      <c r="K1945" s="29">
        <v>5.2249999999999996</v>
      </c>
      <c r="L1945" s="29" t="s">
        <v>1032</v>
      </c>
      <c r="M1945" s="29">
        <v>1</v>
      </c>
      <c r="N1945" s="29">
        <v>0.25</v>
      </c>
      <c r="O1945" s="29">
        <v>1</v>
      </c>
      <c r="P1945" s="29">
        <v>5.2249999999999996</v>
      </c>
      <c r="Q1945" s="29" t="s">
        <v>1033</v>
      </c>
    </row>
    <row r="1946" spans="1:17" x14ac:dyDescent="0.3">
      <c r="A1946" s="29" t="s">
        <v>922</v>
      </c>
      <c r="B1946" s="29">
        <v>1</v>
      </c>
      <c r="C1946" s="29" t="s">
        <v>1089</v>
      </c>
      <c r="D1946" s="29" t="s">
        <v>1099</v>
      </c>
      <c r="E1946" s="29">
        <v>250</v>
      </c>
      <c r="G1946" s="29" t="s">
        <v>1035</v>
      </c>
      <c r="H1946" s="29">
        <v>1</v>
      </c>
      <c r="I1946" s="29">
        <v>20.9</v>
      </c>
      <c r="J1946" s="29">
        <v>5.2249999999999996</v>
      </c>
      <c r="K1946" s="29">
        <v>5.2249999999999996</v>
      </c>
      <c r="L1946" s="29" t="s">
        <v>1032</v>
      </c>
      <c r="M1946" s="29">
        <v>1</v>
      </c>
      <c r="N1946" s="29">
        <v>0.25</v>
      </c>
      <c r="O1946" s="29">
        <v>1</v>
      </c>
      <c r="P1946" s="29">
        <v>5.2249999999999996</v>
      </c>
      <c r="Q1946" s="29" t="s">
        <v>1033</v>
      </c>
    </row>
    <row r="1947" spans="1:17" x14ac:dyDescent="0.3">
      <c r="A1947" s="29" t="s">
        <v>922</v>
      </c>
      <c r="B1947" s="29">
        <v>1</v>
      </c>
      <c r="C1947" s="29" t="s">
        <v>1089</v>
      </c>
      <c r="D1947" s="29" t="s">
        <v>1099</v>
      </c>
      <c r="E1947" s="29">
        <v>250</v>
      </c>
      <c r="G1947" s="29" t="s">
        <v>1035</v>
      </c>
      <c r="H1947" s="29">
        <v>1</v>
      </c>
      <c r="I1947" s="29">
        <v>20.9</v>
      </c>
      <c r="J1947" s="29">
        <v>5.2249999999999996</v>
      </c>
      <c r="K1947" s="29">
        <v>5.2249999999999996</v>
      </c>
      <c r="L1947" s="29" t="s">
        <v>1032</v>
      </c>
      <c r="M1947" s="29">
        <v>1</v>
      </c>
      <c r="N1947" s="29">
        <v>0.25</v>
      </c>
      <c r="O1947" s="29">
        <v>1</v>
      </c>
      <c r="P1947" s="29">
        <v>5.2249999999999996</v>
      </c>
      <c r="Q1947" s="29" t="s">
        <v>1033</v>
      </c>
    </row>
    <row r="1948" spans="1:17" x14ac:dyDescent="0.3">
      <c r="A1948" s="29" t="s">
        <v>922</v>
      </c>
      <c r="B1948" s="29">
        <v>1</v>
      </c>
      <c r="C1948" s="29" t="s">
        <v>1089</v>
      </c>
      <c r="D1948" s="29" t="s">
        <v>1099</v>
      </c>
      <c r="E1948" s="29">
        <v>250</v>
      </c>
      <c r="G1948" s="29" t="s">
        <v>1035</v>
      </c>
      <c r="H1948" s="29">
        <v>1</v>
      </c>
      <c r="I1948" s="29">
        <v>20.9</v>
      </c>
      <c r="J1948" s="29">
        <v>5.2249999999999996</v>
      </c>
      <c r="K1948" s="29">
        <v>5.2249999999999996</v>
      </c>
      <c r="L1948" s="29" t="s">
        <v>1032</v>
      </c>
      <c r="M1948" s="29">
        <v>1</v>
      </c>
      <c r="N1948" s="29">
        <v>0.25</v>
      </c>
      <c r="O1948" s="29">
        <v>1</v>
      </c>
      <c r="P1948" s="29">
        <v>5.2249999999999996</v>
      </c>
      <c r="Q1948" s="29" t="s">
        <v>1033</v>
      </c>
    </row>
    <row r="1949" spans="1:17" x14ac:dyDescent="0.3">
      <c r="A1949" s="29" t="s">
        <v>922</v>
      </c>
      <c r="B1949" s="29">
        <v>1</v>
      </c>
      <c r="C1949" s="29" t="s">
        <v>1089</v>
      </c>
      <c r="D1949" s="29" t="s">
        <v>1099</v>
      </c>
      <c r="E1949" s="29">
        <v>250</v>
      </c>
      <c r="G1949" s="29" t="s">
        <v>1035</v>
      </c>
      <c r="H1949" s="29">
        <v>1</v>
      </c>
      <c r="I1949" s="29">
        <v>20.9</v>
      </c>
      <c r="J1949" s="29">
        <v>5.2249999999999996</v>
      </c>
      <c r="K1949" s="29">
        <v>5.2249999999999996</v>
      </c>
      <c r="L1949" s="29" t="s">
        <v>1032</v>
      </c>
      <c r="M1949" s="29">
        <v>1</v>
      </c>
      <c r="N1949" s="29">
        <v>0.25</v>
      </c>
      <c r="O1949" s="29">
        <v>1</v>
      </c>
      <c r="P1949" s="29">
        <v>5.2249999999999996</v>
      </c>
      <c r="Q1949" s="29" t="s">
        <v>1033</v>
      </c>
    </row>
    <row r="1950" spans="1:17" x14ac:dyDescent="0.3">
      <c r="A1950" s="29" t="s">
        <v>922</v>
      </c>
      <c r="B1950" s="29">
        <v>1</v>
      </c>
      <c r="C1950" s="29" t="s">
        <v>1089</v>
      </c>
      <c r="D1950" s="29" t="s">
        <v>1099</v>
      </c>
      <c r="E1950" s="29">
        <v>250</v>
      </c>
      <c r="G1950" s="29" t="s">
        <v>1035</v>
      </c>
      <c r="H1950" s="29">
        <v>1</v>
      </c>
      <c r="I1950" s="29">
        <v>20.9</v>
      </c>
      <c r="J1950" s="29">
        <v>5.2249999999999996</v>
      </c>
      <c r="K1950" s="29">
        <v>5.2249999999999996</v>
      </c>
      <c r="L1950" s="29" t="s">
        <v>1032</v>
      </c>
      <c r="M1950" s="29">
        <v>1</v>
      </c>
      <c r="N1950" s="29">
        <v>0.25</v>
      </c>
      <c r="O1950" s="29">
        <v>1</v>
      </c>
      <c r="P1950" s="29">
        <v>5.2249999999999996</v>
      </c>
      <c r="Q1950" s="29" t="s">
        <v>1033</v>
      </c>
    </row>
    <row r="1951" spans="1:17" x14ac:dyDescent="0.3">
      <c r="A1951" s="29" t="s">
        <v>922</v>
      </c>
      <c r="B1951" s="29">
        <v>1</v>
      </c>
      <c r="C1951" s="29" t="s">
        <v>1089</v>
      </c>
      <c r="D1951" s="29" t="s">
        <v>1099</v>
      </c>
      <c r="E1951" s="29">
        <v>250</v>
      </c>
      <c r="G1951" s="29" t="s">
        <v>1035</v>
      </c>
      <c r="H1951" s="29">
        <v>1</v>
      </c>
      <c r="I1951" s="29">
        <v>20.9</v>
      </c>
      <c r="J1951" s="29">
        <v>5.2249999999999996</v>
      </c>
      <c r="K1951" s="29">
        <v>5.2249999999999996</v>
      </c>
      <c r="L1951" s="29" t="s">
        <v>1032</v>
      </c>
      <c r="M1951" s="29">
        <v>1</v>
      </c>
      <c r="N1951" s="29">
        <v>0.25</v>
      </c>
      <c r="O1951" s="29">
        <v>1</v>
      </c>
      <c r="P1951" s="29">
        <v>5.2249999999999996</v>
      </c>
      <c r="Q1951" s="29" t="s">
        <v>1033</v>
      </c>
    </row>
    <row r="1952" spans="1:17" x14ac:dyDescent="0.3">
      <c r="A1952" s="29" t="s">
        <v>922</v>
      </c>
      <c r="B1952" s="29">
        <v>1</v>
      </c>
      <c r="C1952" s="29" t="s">
        <v>1089</v>
      </c>
      <c r="D1952" s="29" t="s">
        <v>1099</v>
      </c>
      <c r="E1952" s="29">
        <v>250</v>
      </c>
      <c r="G1952" s="29" t="s">
        <v>1035</v>
      </c>
      <c r="H1952" s="29">
        <v>1</v>
      </c>
      <c r="I1952" s="29">
        <v>20.9</v>
      </c>
      <c r="J1952" s="29">
        <v>5.2249999999999996</v>
      </c>
      <c r="K1952" s="29">
        <v>5.2249999999999996</v>
      </c>
      <c r="L1952" s="29" t="s">
        <v>1032</v>
      </c>
      <c r="M1952" s="29">
        <v>1</v>
      </c>
      <c r="N1952" s="29">
        <v>0.25</v>
      </c>
      <c r="O1952" s="29">
        <v>1</v>
      </c>
      <c r="P1952" s="29">
        <v>5.2249999999999996</v>
      </c>
      <c r="Q1952" s="29" t="s">
        <v>1033</v>
      </c>
    </row>
    <row r="1953" spans="1:17" x14ac:dyDescent="0.3">
      <c r="A1953" s="29" t="s">
        <v>922</v>
      </c>
      <c r="B1953" s="29">
        <v>1</v>
      </c>
      <c r="C1953" s="29" t="s">
        <v>1089</v>
      </c>
      <c r="D1953" s="29" t="s">
        <v>1099</v>
      </c>
      <c r="E1953" s="29">
        <v>250</v>
      </c>
      <c r="G1953" s="29" t="s">
        <v>1035</v>
      </c>
      <c r="H1953" s="29">
        <v>1</v>
      </c>
      <c r="I1953" s="29">
        <v>20.9</v>
      </c>
      <c r="J1953" s="29">
        <v>5.2249999999999996</v>
      </c>
      <c r="K1953" s="29">
        <v>5.2249999999999996</v>
      </c>
      <c r="L1953" s="29" t="s">
        <v>1032</v>
      </c>
      <c r="M1953" s="29">
        <v>1</v>
      </c>
      <c r="N1953" s="29">
        <v>0.25</v>
      </c>
      <c r="O1953" s="29">
        <v>1</v>
      </c>
      <c r="P1953" s="29">
        <v>5.2249999999999996</v>
      </c>
      <c r="Q1953" s="29" t="s">
        <v>1033</v>
      </c>
    </row>
    <row r="1954" spans="1:17" x14ac:dyDescent="0.3">
      <c r="A1954" s="29" t="s">
        <v>923</v>
      </c>
      <c r="B1954" s="29">
        <v>1</v>
      </c>
      <c r="C1954" s="29" t="s">
        <v>1089</v>
      </c>
      <c r="D1954" s="29" t="s">
        <v>1099</v>
      </c>
      <c r="E1954" s="29">
        <v>250</v>
      </c>
      <c r="G1954" s="29" t="s">
        <v>1031</v>
      </c>
      <c r="H1954" s="29">
        <v>1</v>
      </c>
      <c r="I1954" s="29">
        <v>20.9</v>
      </c>
      <c r="J1954" s="29">
        <v>5.2249999999999996</v>
      </c>
      <c r="K1954" s="29">
        <v>5.2249999999999996</v>
      </c>
      <c r="L1954" s="29" t="s">
        <v>1032</v>
      </c>
      <c r="M1954" s="29">
        <v>1</v>
      </c>
      <c r="N1954" s="29">
        <v>0.25</v>
      </c>
      <c r="O1954" s="29">
        <v>1</v>
      </c>
      <c r="P1954" s="29">
        <v>5.2249999999999996</v>
      </c>
      <c r="Q1954" s="29" t="s">
        <v>1033</v>
      </c>
    </row>
    <row r="1955" spans="1:17" x14ac:dyDescent="0.3">
      <c r="A1955" s="29" t="s">
        <v>923</v>
      </c>
      <c r="B1955" s="29">
        <v>1</v>
      </c>
      <c r="C1955" s="29" t="s">
        <v>1089</v>
      </c>
      <c r="D1955" s="29" t="s">
        <v>1099</v>
      </c>
      <c r="E1955" s="29">
        <v>250</v>
      </c>
      <c r="G1955" s="29" t="s">
        <v>1031</v>
      </c>
      <c r="H1955" s="29">
        <v>1</v>
      </c>
      <c r="I1955" s="29">
        <v>20.9</v>
      </c>
      <c r="J1955" s="29">
        <v>5.2249999999999996</v>
      </c>
      <c r="K1955" s="29">
        <v>5.2249999999999996</v>
      </c>
      <c r="L1955" s="29" t="s">
        <v>1032</v>
      </c>
      <c r="M1955" s="29">
        <v>1</v>
      </c>
      <c r="N1955" s="29">
        <v>0.25</v>
      </c>
      <c r="O1955" s="29">
        <v>1</v>
      </c>
      <c r="P1955" s="29">
        <v>5.2249999999999996</v>
      </c>
      <c r="Q1955" s="29" t="s">
        <v>1033</v>
      </c>
    </row>
    <row r="1956" spans="1:17" x14ac:dyDescent="0.3">
      <c r="A1956" s="29" t="s">
        <v>923</v>
      </c>
      <c r="B1956" s="29">
        <v>1</v>
      </c>
      <c r="C1956" s="29" t="s">
        <v>1089</v>
      </c>
      <c r="D1956" s="29" t="s">
        <v>1099</v>
      </c>
      <c r="E1956" s="29">
        <v>250</v>
      </c>
      <c r="G1956" s="29" t="s">
        <v>1031</v>
      </c>
      <c r="H1956" s="29">
        <v>1</v>
      </c>
      <c r="I1956" s="29">
        <v>20.9</v>
      </c>
      <c r="J1956" s="29">
        <v>5.2249999999999996</v>
      </c>
      <c r="K1956" s="29">
        <v>5.2249999999999996</v>
      </c>
      <c r="L1956" s="29" t="s">
        <v>1032</v>
      </c>
      <c r="M1956" s="29">
        <v>1</v>
      </c>
      <c r="N1956" s="29">
        <v>0.25</v>
      </c>
      <c r="O1956" s="29">
        <v>1</v>
      </c>
      <c r="P1956" s="29">
        <v>5.2249999999999996</v>
      </c>
      <c r="Q1956" s="29" t="s">
        <v>1033</v>
      </c>
    </row>
    <row r="1957" spans="1:17" x14ac:dyDescent="0.3">
      <c r="A1957" s="29" t="s">
        <v>924</v>
      </c>
      <c r="B1957" s="29">
        <v>1</v>
      </c>
      <c r="C1957" s="29" t="s">
        <v>1089</v>
      </c>
      <c r="D1957" s="29" t="s">
        <v>1099</v>
      </c>
      <c r="E1957" s="29">
        <v>250</v>
      </c>
      <c r="G1957" s="29" t="s">
        <v>1035</v>
      </c>
      <c r="H1957" s="29">
        <v>1</v>
      </c>
      <c r="I1957" s="29">
        <v>20.9</v>
      </c>
      <c r="J1957" s="29">
        <v>5.2249999999999996</v>
      </c>
      <c r="K1957" s="29">
        <v>5.2249999999999996</v>
      </c>
      <c r="L1957" s="29" t="s">
        <v>1032</v>
      </c>
      <c r="M1957" s="29">
        <v>1</v>
      </c>
      <c r="N1957" s="29">
        <v>0.25</v>
      </c>
      <c r="O1957" s="29">
        <v>1</v>
      </c>
      <c r="P1957" s="29">
        <v>5.2249999999999996</v>
      </c>
      <c r="Q1957" s="29" t="s">
        <v>1033</v>
      </c>
    </row>
    <row r="1958" spans="1:17" x14ac:dyDescent="0.3">
      <c r="A1958" s="29" t="s">
        <v>925</v>
      </c>
      <c r="B1958" s="29">
        <v>1</v>
      </c>
      <c r="C1958" s="29" t="s">
        <v>1089</v>
      </c>
      <c r="D1958" s="29" t="s">
        <v>1099</v>
      </c>
      <c r="E1958" s="29">
        <v>250</v>
      </c>
      <c r="G1958" s="29" t="s">
        <v>1035</v>
      </c>
      <c r="H1958" s="29">
        <v>1</v>
      </c>
      <c r="I1958" s="29">
        <v>20.9</v>
      </c>
      <c r="J1958" s="29">
        <v>5.2249999999999996</v>
      </c>
      <c r="K1958" s="29">
        <v>5.2249999999999996</v>
      </c>
      <c r="L1958" s="29" t="s">
        <v>1032</v>
      </c>
      <c r="M1958" s="29">
        <v>1</v>
      </c>
      <c r="N1958" s="29">
        <v>0.25</v>
      </c>
      <c r="O1958" s="29">
        <v>1</v>
      </c>
      <c r="P1958" s="29">
        <v>5.2249999999999996</v>
      </c>
      <c r="Q1958" s="29" t="s">
        <v>1033</v>
      </c>
    </row>
    <row r="1959" spans="1:17" x14ac:dyDescent="0.3">
      <c r="A1959" s="29" t="s">
        <v>925</v>
      </c>
      <c r="B1959" s="29">
        <v>1</v>
      </c>
      <c r="C1959" s="29" t="s">
        <v>1089</v>
      </c>
      <c r="D1959" s="29" t="s">
        <v>1099</v>
      </c>
      <c r="E1959" s="29">
        <v>250</v>
      </c>
      <c r="G1959" s="29" t="s">
        <v>1035</v>
      </c>
      <c r="H1959" s="29">
        <v>1</v>
      </c>
      <c r="I1959" s="29">
        <v>20.9</v>
      </c>
      <c r="J1959" s="29">
        <v>5.2249999999999996</v>
      </c>
      <c r="K1959" s="29">
        <v>5.2249999999999996</v>
      </c>
      <c r="L1959" s="29" t="s">
        <v>1032</v>
      </c>
      <c r="M1959" s="29">
        <v>1</v>
      </c>
      <c r="N1959" s="29">
        <v>0.25</v>
      </c>
      <c r="O1959" s="29">
        <v>1</v>
      </c>
      <c r="P1959" s="29">
        <v>5.2249999999999996</v>
      </c>
      <c r="Q1959" s="29" t="s">
        <v>1033</v>
      </c>
    </row>
    <row r="1960" spans="1:17" x14ac:dyDescent="0.3">
      <c r="A1960" s="29" t="s">
        <v>925</v>
      </c>
      <c r="B1960" s="29">
        <v>1</v>
      </c>
      <c r="C1960" s="29" t="s">
        <v>1089</v>
      </c>
      <c r="D1960" s="29" t="s">
        <v>1099</v>
      </c>
      <c r="E1960" s="29">
        <v>250</v>
      </c>
      <c r="G1960" s="29" t="s">
        <v>1035</v>
      </c>
      <c r="H1960" s="29">
        <v>1</v>
      </c>
      <c r="I1960" s="29">
        <v>20.9</v>
      </c>
      <c r="J1960" s="29">
        <v>5.2249999999999996</v>
      </c>
      <c r="K1960" s="29">
        <v>5.2249999999999996</v>
      </c>
      <c r="L1960" s="29" t="s">
        <v>1032</v>
      </c>
      <c r="M1960" s="29">
        <v>1</v>
      </c>
      <c r="N1960" s="29">
        <v>0.25</v>
      </c>
      <c r="O1960" s="29">
        <v>1</v>
      </c>
      <c r="P1960" s="29">
        <v>5.2249999999999996</v>
      </c>
      <c r="Q1960" s="29" t="s">
        <v>1033</v>
      </c>
    </row>
    <row r="1961" spans="1:17" x14ac:dyDescent="0.3">
      <c r="A1961" s="29" t="s">
        <v>925</v>
      </c>
      <c r="B1961" s="29">
        <v>1</v>
      </c>
      <c r="C1961" s="29" t="s">
        <v>1089</v>
      </c>
      <c r="D1961" s="29" t="s">
        <v>1099</v>
      </c>
      <c r="E1961" s="29">
        <v>250</v>
      </c>
      <c r="G1961" s="29" t="s">
        <v>1035</v>
      </c>
      <c r="H1961" s="29">
        <v>1</v>
      </c>
      <c r="I1961" s="29">
        <v>20.9</v>
      </c>
      <c r="J1961" s="29">
        <v>5.2249999999999996</v>
      </c>
      <c r="K1961" s="29">
        <v>5.2249999999999996</v>
      </c>
      <c r="L1961" s="29" t="s">
        <v>1032</v>
      </c>
      <c r="M1961" s="29">
        <v>1</v>
      </c>
      <c r="N1961" s="29">
        <v>0.25</v>
      </c>
      <c r="O1961" s="29">
        <v>1</v>
      </c>
      <c r="P1961" s="29">
        <v>5.2249999999999996</v>
      </c>
      <c r="Q1961" s="29" t="s">
        <v>1033</v>
      </c>
    </row>
    <row r="1962" spans="1:17" x14ac:dyDescent="0.3">
      <c r="A1962" s="29" t="s">
        <v>925</v>
      </c>
      <c r="B1962" s="29">
        <v>1</v>
      </c>
      <c r="C1962" s="29" t="s">
        <v>1089</v>
      </c>
      <c r="D1962" s="29" t="s">
        <v>1099</v>
      </c>
      <c r="E1962" s="29">
        <v>250</v>
      </c>
      <c r="G1962" s="29" t="s">
        <v>1035</v>
      </c>
      <c r="H1962" s="29">
        <v>1</v>
      </c>
      <c r="I1962" s="29">
        <v>20.9</v>
      </c>
      <c r="J1962" s="29">
        <v>5.2249999999999996</v>
      </c>
      <c r="K1962" s="29">
        <v>5.2249999999999996</v>
      </c>
      <c r="L1962" s="29" t="s">
        <v>1032</v>
      </c>
      <c r="M1962" s="29">
        <v>1</v>
      </c>
      <c r="N1962" s="29">
        <v>0.25</v>
      </c>
      <c r="O1962" s="29">
        <v>1</v>
      </c>
      <c r="P1962" s="29">
        <v>5.2249999999999996</v>
      </c>
      <c r="Q1962" s="29" t="s">
        <v>1033</v>
      </c>
    </row>
    <row r="1963" spans="1:17" x14ac:dyDescent="0.3">
      <c r="A1963" s="29" t="s">
        <v>925</v>
      </c>
      <c r="B1963" s="29">
        <v>1</v>
      </c>
      <c r="C1963" s="29" t="s">
        <v>1089</v>
      </c>
      <c r="D1963" s="29" t="s">
        <v>1099</v>
      </c>
      <c r="E1963" s="29">
        <v>250</v>
      </c>
      <c r="G1963" s="29" t="s">
        <v>1035</v>
      </c>
      <c r="H1963" s="29">
        <v>1</v>
      </c>
      <c r="I1963" s="29">
        <v>20.9</v>
      </c>
      <c r="J1963" s="29">
        <v>5.2249999999999996</v>
      </c>
      <c r="K1963" s="29">
        <v>5.2249999999999996</v>
      </c>
      <c r="L1963" s="29" t="s">
        <v>1032</v>
      </c>
      <c r="M1963" s="29">
        <v>1</v>
      </c>
      <c r="N1963" s="29">
        <v>0.25</v>
      </c>
      <c r="O1963" s="29">
        <v>1</v>
      </c>
      <c r="P1963" s="29">
        <v>5.2249999999999996</v>
      </c>
      <c r="Q1963" s="29" t="s">
        <v>1033</v>
      </c>
    </row>
    <row r="1964" spans="1:17" x14ac:dyDescent="0.3">
      <c r="A1964" s="29" t="s">
        <v>925</v>
      </c>
      <c r="B1964" s="29">
        <v>1</v>
      </c>
      <c r="C1964" s="29" t="s">
        <v>1089</v>
      </c>
      <c r="D1964" s="29" t="s">
        <v>1099</v>
      </c>
      <c r="E1964" s="29">
        <v>250</v>
      </c>
      <c r="G1964" s="29" t="s">
        <v>1035</v>
      </c>
      <c r="H1964" s="29">
        <v>1</v>
      </c>
      <c r="I1964" s="29">
        <v>20.9</v>
      </c>
      <c r="J1964" s="29">
        <v>5.2249999999999996</v>
      </c>
      <c r="K1964" s="29">
        <v>5.2249999999999996</v>
      </c>
      <c r="L1964" s="29" t="s">
        <v>1032</v>
      </c>
      <c r="M1964" s="29">
        <v>1</v>
      </c>
      <c r="N1964" s="29">
        <v>0.25</v>
      </c>
      <c r="O1964" s="29">
        <v>1</v>
      </c>
      <c r="P1964" s="29">
        <v>5.2249999999999996</v>
      </c>
      <c r="Q1964" s="29" t="s">
        <v>1033</v>
      </c>
    </row>
    <row r="1965" spans="1:17" x14ac:dyDescent="0.3">
      <c r="A1965" s="29" t="s">
        <v>925</v>
      </c>
      <c r="B1965" s="29">
        <v>1</v>
      </c>
      <c r="C1965" s="29" t="s">
        <v>1089</v>
      </c>
      <c r="D1965" s="29" t="s">
        <v>1099</v>
      </c>
      <c r="E1965" s="29">
        <v>250</v>
      </c>
      <c r="G1965" s="29" t="s">
        <v>1035</v>
      </c>
      <c r="H1965" s="29">
        <v>1</v>
      </c>
      <c r="I1965" s="29">
        <v>20.9</v>
      </c>
      <c r="J1965" s="29">
        <v>5.2249999999999996</v>
      </c>
      <c r="K1965" s="29">
        <v>5.2249999999999996</v>
      </c>
      <c r="L1965" s="29" t="s">
        <v>1032</v>
      </c>
      <c r="M1965" s="29">
        <v>1</v>
      </c>
      <c r="N1965" s="29">
        <v>0.25</v>
      </c>
      <c r="O1965" s="29">
        <v>1</v>
      </c>
      <c r="P1965" s="29">
        <v>5.2249999999999996</v>
      </c>
      <c r="Q1965" s="29" t="s">
        <v>1033</v>
      </c>
    </row>
    <row r="1966" spans="1:17" x14ac:dyDescent="0.3">
      <c r="A1966" s="29" t="s">
        <v>925</v>
      </c>
      <c r="B1966" s="29">
        <v>1</v>
      </c>
      <c r="C1966" s="29" t="s">
        <v>1089</v>
      </c>
      <c r="D1966" s="29" t="s">
        <v>1099</v>
      </c>
      <c r="E1966" s="29">
        <v>250</v>
      </c>
      <c r="G1966" s="29" t="s">
        <v>1035</v>
      </c>
      <c r="H1966" s="29">
        <v>1</v>
      </c>
      <c r="I1966" s="29">
        <v>20.9</v>
      </c>
      <c r="J1966" s="29">
        <v>5.2249999999999996</v>
      </c>
      <c r="K1966" s="29">
        <v>5.2249999999999996</v>
      </c>
      <c r="L1966" s="29" t="s">
        <v>1032</v>
      </c>
      <c r="M1966" s="29">
        <v>1</v>
      </c>
      <c r="N1966" s="29">
        <v>0.25</v>
      </c>
      <c r="O1966" s="29">
        <v>1</v>
      </c>
      <c r="P1966" s="29">
        <v>5.2249999999999996</v>
      </c>
      <c r="Q1966" s="29" t="s">
        <v>1033</v>
      </c>
    </row>
    <row r="1967" spans="1:17" x14ac:dyDescent="0.3">
      <c r="A1967" s="29" t="s">
        <v>925</v>
      </c>
      <c r="B1967" s="29">
        <v>1</v>
      </c>
      <c r="C1967" s="29" t="s">
        <v>1089</v>
      </c>
      <c r="D1967" s="29" t="s">
        <v>1099</v>
      </c>
      <c r="E1967" s="29">
        <v>250</v>
      </c>
      <c r="G1967" s="29" t="s">
        <v>1035</v>
      </c>
      <c r="H1967" s="29">
        <v>1</v>
      </c>
      <c r="I1967" s="29">
        <v>20.9</v>
      </c>
      <c r="J1967" s="29">
        <v>5.2249999999999996</v>
      </c>
      <c r="K1967" s="29">
        <v>5.2249999999999996</v>
      </c>
      <c r="L1967" s="29" t="s">
        <v>1032</v>
      </c>
      <c r="M1967" s="29">
        <v>1</v>
      </c>
      <c r="N1967" s="29">
        <v>0.25</v>
      </c>
      <c r="O1967" s="29">
        <v>1</v>
      </c>
      <c r="P1967" s="29">
        <v>5.2249999999999996</v>
      </c>
      <c r="Q1967" s="29" t="s">
        <v>1033</v>
      </c>
    </row>
    <row r="1968" spans="1:17" x14ac:dyDescent="0.3">
      <c r="A1968" s="29" t="s">
        <v>925</v>
      </c>
      <c r="B1968" s="29">
        <v>1</v>
      </c>
      <c r="C1968" s="29" t="s">
        <v>1089</v>
      </c>
      <c r="D1968" s="29" t="s">
        <v>1099</v>
      </c>
      <c r="E1968" s="29">
        <v>250</v>
      </c>
      <c r="G1968" s="29" t="s">
        <v>1035</v>
      </c>
      <c r="H1968" s="29">
        <v>1</v>
      </c>
      <c r="I1968" s="29">
        <v>20.9</v>
      </c>
      <c r="J1968" s="29">
        <v>5.2249999999999996</v>
      </c>
      <c r="K1968" s="29">
        <v>5.2249999999999996</v>
      </c>
      <c r="L1968" s="29" t="s">
        <v>1032</v>
      </c>
      <c r="M1968" s="29">
        <v>1</v>
      </c>
      <c r="N1968" s="29">
        <v>0.25</v>
      </c>
      <c r="O1968" s="29">
        <v>1</v>
      </c>
      <c r="P1968" s="29">
        <v>5.2249999999999996</v>
      </c>
      <c r="Q1968" s="29" t="s">
        <v>1033</v>
      </c>
    </row>
    <row r="1969" spans="1:17" x14ac:dyDescent="0.3">
      <c r="A1969" s="29" t="s">
        <v>925</v>
      </c>
      <c r="B1969" s="29">
        <v>1</v>
      </c>
      <c r="C1969" s="29" t="s">
        <v>1089</v>
      </c>
      <c r="D1969" s="29" t="s">
        <v>1099</v>
      </c>
      <c r="E1969" s="29">
        <v>250</v>
      </c>
      <c r="G1969" s="29" t="s">
        <v>1035</v>
      </c>
      <c r="H1969" s="29">
        <v>1</v>
      </c>
      <c r="I1969" s="29">
        <v>20.9</v>
      </c>
      <c r="J1969" s="29">
        <v>5.2249999999999996</v>
      </c>
      <c r="K1969" s="29">
        <v>5.2249999999999996</v>
      </c>
      <c r="L1969" s="29" t="s">
        <v>1032</v>
      </c>
      <c r="M1969" s="29">
        <v>1</v>
      </c>
      <c r="N1969" s="29">
        <v>0.25</v>
      </c>
      <c r="O1969" s="29">
        <v>1</v>
      </c>
      <c r="P1969" s="29">
        <v>5.2249999999999996</v>
      </c>
      <c r="Q1969" s="29" t="s">
        <v>1033</v>
      </c>
    </row>
    <row r="1970" spans="1:17" x14ac:dyDescent="0.3">
      <c r="A1970" s="29" t="s">
        <v>925</v>
      </c>
      <c r="B1970" s="29">
        <v>1</v>
      </c>
      <c r="C1970" s="29" t="s">
        <v>1089</v>
      </c>
      <c r="D1970" s="29" t="s">
        <v>1099</v>
      </c>
      <c r="E1970" s="29">
        <v>250</v>
      </c>
      <c r="G1970" s="29" t="s">
        <v>1035</v>
      </c>
      <c r="H1970" s="29">
        <v>1</v>
      </c>
      <c r="I1970" s="29">
        <v>20.9</v>
      </c>
      <c r="J1970" s="29">
        <v>5.2249999999999996</v>
      </c>
      <c r="K1970" s="29">
        <v>5.2249999999999996</v>
      </c>
      <c r="L1970" s="29" t="s">
        <v>1032</v>
      </c>
      <c r="M1970" s="29">
        <v>1</v>
      </c>
      <c r="N1970" s="29">
        <v>0.25</v>
      </c>
      <c r="O1970" s="29">
        <v>1</v>
      </c>
      <c r="P1970" s="29">
        <v>5.2249999999999996</v>
      </c>
      <c r="Q1970" s="29" t="s">
        <v>1033</v>
      </c>
    </row>
    <row r="1971" spans="1:17" x14ac:dyDescent="0.3">
      <c r="A1971" s="29" t="s">
        <v>926</v>
      </c>
      <c r="B1971" s="29">
        <v>1</v>
      </c>
      <c r="C1971" s="29" t="s">
        <v>1112</v>
      </c>
      <c r="D1971" s="29">
        <v>9</v>
      </c>
      <c r="E1971" s="29">
        <v>236.09068791727296</v>
      </c>
      <c r="F1971" s="29">
        <v>350</v>
      </c>
      <c r="G1971" s="29" t="s">
        <v>1035</v>
      </c>
      <c r="H1971" s="29">
        <v>1</v>
      </c>
      <c r="J1971" s="29">
        <v>5.8379324854743668</v>
      </c>
      <c r="K1971" s="29">
        <v>5.8379324854743668</v>
      </c>
      <c r="L1971" s="29" t="s">
        <v>1036</v>
      </c>
      <c r="M1971" s="29">
        <v>1</v>
      </c>
      <c r="O1971" s="29">
        <v>1</v>
      </c>
      <c r="P1971" s="29">
        <v>5.8379324854743668</v>
      </c>
      <c r="Q1971" s="29" t="s">
        <v>1037</v>
      </c>
    </row>
    <row r="1972" spans="1:17" x14ac:dyDescent="0.3">
      <c r="B1972" s="29">
        <v>2</v>
      </c>
      <c r="C1972" s="29" t="s">
        <v>1089</v>
      </c>
      <c r="D1972" s="29" t="s">
        <v>1099</v>
      </c>
      <c r="E1972" s="29">
        <v>250</v>
      </c>
      <c r="G1972" s="29" t="s">
        <v>1035</v>
      </c>
      <c r="H1972" s="29">
        <v>1</v>
      </c>
      <c r="I1972" s="29">
        <v>20.9</v>
      </c>
      <c r="J1972" s="29">
        <v>5.2249999999999996</v>
      </c>
      <c r="K1972" s="29">
        <v>5.2249999999999996</v>
      </c>
      <c r="L1972" s="29" t="s">
        <v>1032</v>
      </c>
      <c r="M1972" s="29">
        <v>1</v>
      </c>
      <c r="N1972" s="29">
        <v>0.25</v>
      </c>
      <c r="O1972" s="29">
        <v>1</v>
      </c>
      <c r="P1972" s="29">
        <v>5.2249999999999996</v>
      </c>
      <c r="Q1972" s="29" t="s">
        <v>1033</v>
      </c>
    </row>
    <row r="1973" spans="1:17" x14ac:dyDescent="0.3">
      <c r="A1973" s="29" t="s">
        <v>927</v>
      </c>
      <c r="B1973" s="29">
        <v>1</v>
      </c>
      <c r="C1973" s="29" t="s">
        <v>1089</v>
      </c>
      <c r="D1973" s="29" t="s">
        <v>1099</v>
      </c>
      <c r="E1973" s="29">
        <v>250</v>
      </c>
      <c r="G1973" s="29" t="s">
        <v>1031</v>
      </c>
      <c r="H1973" s="29">
        <v>1</v>
      </c>
      <c r="I1973" s="29">
        <v>20.9</v>
      </c>
      <c r="J1973" s="29">
        <v>5.2249999999999996</v>
      </c>
      <c r="K1973" s="29">
        <v>5.2249999999999996</v>
      </c>
      <c r="L1973" s="29" t="s">
        <v>1032</v>
      </c>
      <c r="M1973" s="29">
        <v>1</v>
      </c>
      <c r="N1973" s="29">
        <v>0.25</v>
      </c>
      <c r="O1973" s="29">
        <v>1</v>
      </c>
      <c r="P1973" s="29">
        <v>5.2249999999999996</v>
      </c>
      <c r="Q1973" s="29" t="s">
        <v>1033</v>
      </c>
    </row>
    <row r="1974" spans="1:17" x14ac:dyDescent="0.3">
      <c r="A1974" s="29" t="s">
        <v>927</v>
      </c>
      <c r="B1974" s="29">
        <v>1</v>
      </c>
      <c r="C1974" s="29" t="s">
        <v>1089</v>
      </c>
      <c r="D1974" s="29" t="s">
        <v>1099</v>
      </c>
      <c r="E1974" s="29">
        <v>250</v>
      </c>
      <c r="G1974" s="29" t="s">
        <v>1031</v>
      </c>
      <c r="H1974" s="29">
        <v>1</v>
      </c>
      <c r="I1974" s="29">
        <v>20.9</v>
      </c>
      <c r="J1974" s="29">
        <v>5.2249999999999996</v>
      </c>
      <c r="K1974" s="29">
        <v>5.2249999999999996</v>
      </c>
      <c r="L1974" s="29" t="s">
        <v>1032</v>
      </c>
      <c r="M1974" s="29">
        <v>1</v>
      </c>
      <c r="N1974" s="29">
        <v>0.25</v>
      </c>
      <c r="O1974" s="29">
        <v>1</v>
      </c>
      <c r="P1974" s="29">
        <v>5.2249999999999996</v>
      </c>
      <c r="Q1974" s="29" t="s">
        <v>1033</v>
      </c>
    </row>
    <row r="1975" spans="1:17" x14ac:dyDescent="0.3">
      <c r="A1975" s="29" t="s">
        <v>928</v>
      </c>
      <c r="B1975" s="29">
        <v>1</v>
      </c>
      <c r="C1975" s="29" t="s">
        <v>1089</v>
      </c>
      <c r="D1975" s="29" t="s">
        <v>1099</v>
      </c>
      <c r="E1975" s="29">
        <v>250</v>
      </c>
      <c r="G1975" s="29" t="s">
        <v>1035</v>
      </c>
      <c r="H1975" s="29">
        <v>1</v>
      </c>
      <c r="I1975" s="29">
        <v>20.9</v>
      </c>
      <c r="J1975" s="29">
        <v>5.2249999999999996</v>
      </c>
      <c r="K1975" s="29">
        <v>5.2249999999999996</v>
      </c>
      <c r="L1975" s="29" t="s">
        <v>1032</v>
      </c>
      <c r="M1975" s="29">
        <v>1</v>
      </c>
      <c r="N1975" s="29">
        <v>0.25</v>
      </c>
      <c r="O1975" s="29">
        <v>1</v>
      </c>
      <c r="P1975" s="29">
        <v>5.2249999999999996</v>
      </c>
      <c r="Q1975" s="29" t="s">
        <v>1033</v>
      </c>
    </row>
    <row r="1976" spans="1:17" x14ac:dyDescent="0.3">
      <c r="A1976" s="29" t="s">
        <v>929</v>
      </c>
      <c r="B1976" s="29">
        <v>1</v>
      </c>
      <c r="C1976" s="29" t="s">
        <v>1089</v>
      </c>
      <c r="D1976" s="29" t="s">
        <v>1099</v>
      </c>
      <c r="E1976" s="29">
        <v>250</v>
      </c>
      <c r="G1976" s="29" t="s">
        <v>1031</v>
      </c>
      <c r="H1976" s="29">
        <v>1</v>
      </c>
      <c r="I1976" s="29">
        <v>20.9</v>
      </c>
      <c r="J1976" s="29">
        <v>5.2249999999999996</v>
      </c>
      <c r="K1976" s="29">
        <v>5.2249999999999996</v>
      </c>
      <c r="L1976" s="29" t="s">
        <v>1032</v>
      </c>
      <c r="M1976" s="29">
        <v>1</v>
      </c>
      <c r="N1976" s="29">
        <v>0.25</v>
      </c>
      <c r="O1976" s="29">
        <v>1</v>
      </c>
      <c r="P1976" s="29">
        <v>5.2249999999999996</v>
      </c>
      <c r="Q1976" s="29" t="s">
        <v>1033</v>
      </c>
    </row>
    <row r="1977" spans="1:17" x14ac:dyDescent="0.3">
      <c r="A1977" s="29" t="s">
        <v>930</v>
      </c>
      <c r="B1977" s="29">
        <v>1</v>
      </c>
      <c r="C1977" s="29" t="s">
        <v>1089</v>
      </c>
      <c r="D1977" s="29" t="s">
        <v>1099</v>
      </c>
      <c r="E1977" s="29">
        <v>400</v>
      </c>
      <c r="G1977" s="29" t="s">
        <v>1035</v>
      </c>
      <c r="H1977" s="29">
        <v>1</v>
      </c>
      <c r="I1977" s="29">
        <v>20.9</v>
      </c>
      <c r="J1977" s="29">
        <v>8.36</v>
      </c>
      <c r="K1977" s="29">
        <v>8.36</v>
      </c>
      <c r="L1977" s="29" t="s">
        <v>1032</v>
      </c>
      <c r="M1977" s="29">
        <v>1</v>
      </c>
      <c r="N1977" s="29">
        <v>0.4</v>
      </c>
      <c r="O1977" s="29">
        <v>1</v>
      </c>
      <c r="P1977" s="29">
        <v>8.36</v>
      </c>
      <c r="Q1977" s="29" t="s">
        <v>1033</v>
      </c>
    </row>
    <row r="1978" spans="1:17" x14ac:dyDescent="0.3">
      <c r="A1978" s="29" t="s">
        <v>931</v>
      </c>
      <c r="B1978" s="29">
        <v>1</v>
      </c>
      <c r="C1978" s="29" t="s">
        <v>1089</v>
      </c>
      <c r="D1978" s="29" t="s">
        <v>1099</v>
      </c>
      <c r="E1978" s="29">
        <v>250</v>
      </c>
      <c r="G1978" s="29" t="s">
        <v>1035</v>
      </c>
      <c r="H1978" s="29">
        <v>1</v>
      </c>
      <c r="I1978" s="29">
        <v>20.9</v>
      </c>
      <c r="J1978" s="29">
        <v>5.2249999999999996</v>
      </c>
      <c r="K1978" s="29">
        <v>5.2249999999999996</v>
      </c>
      <c r="L1978" s="29" t="s">
        <v>1032</v>
      </c>
      <c r="M1978" s="29">
        <v>1</v>
      </c>
      <c r="N1978" s="29">
        <v>0.25</v>
      </c>
      <c r="O1978" s="29">
        <v>1</v>
      </c>
      <c r="P1978" s="29">
        <v>5.2249999999999996</v>
      </c>
      <c r="Q1978" s="29" t="s">
        <v>1033</v>
      </c>
    </row>
    <row r="1979" spans="1:17" x14ac:dyDescent="0.3">
      <c r="A1979" s="29" t="s">
        <v>931</v>
      </c>
      <c r="B1979" s="29">
        <v>1</v>
      </c>
      <c r="C1979" s="29" t="s">
        <v>1089</v>
      </c>
      <c r="D1979" s="29" t="s">
        <v>1099</v>
      </c>
      <c r="E1979" s="29">
        <v>250</v>
      </c>
      <c r="G1979" s="29" t="s">
        <v>1035</v>
      </c>
      <c r="H1979" s="29">
        <v>1</v>
      </c>
      <c r="I1979" s="29">
        <v>20.9</v>
      </c>
      <c r="J1979" s="29">
        <v>5.2249999999999996</v>
      </c>
      <c r="K1979" s="29">
        <v>5.2249999999999996</v>
      </c>
      <c r="L1979" s="29" t="s">
        <v>1032</v>
      </c>
      <c r="M1979" s="29">
        <v>1</v>
      </c>
      <c r="N1979" s="29">
        <v>0.25</v>
      </c>
      <c r="O1979" s="29">
        <v>1</v>
      </c>
      <c r="P1979" s="29">
        <v>5.2249999999999996</v>
      </c>
      <c r="Q1979" s="29" t="s">
        <v>1033</v>
      </c>
    </row>
    <row r="1980" spans="1:17" x14ac:dyDescent="0.3">
      <c r="A1980" s="29" t="s">
        <v>931</v>
      </c>
      <c r="B1980" s="29">
        <v>1</v>
      </c>
      <c r="C1980" s="29" t="s">
        <v>1089</v>
      </c>
      <c r="D1980" s="29" t="s">
        <v>1099</v>
      </c>
      <c r="E1980" s="29">
        <v>250</v>
      </c>
      <c r="G1980" s="29" t="s">
        <v>1035</v>
      </c>
      <c r="H1980" s="29">
        <v>1</v>
      </c>
      <c r="I1980" s="29">
        <v>20.9</v>
      </c>
      <c r="J1980" s="29">
        <v>5.2249999999999996</v>
      </c>
      <c r="K1980" s="29">
        <v>5.2249999999999996</v>
      </c>
      <c r="L1980" s="29" t="s">
        <v>1032</v>
      </c>
      <c r="M1980" s="29">
        <v>1</v>
      </c>
      <c r="N1980" s="29">
        <v>0.25</v>
      </c>
      <c r="O1980" s="29">
        <v>1</v>
      </c>
      <c r="P1980" s="29">
        <v>5.2249999999999996</v>
      </c>
      <c r="Q1980" s="29" t="s">
        <v>1033</v>
      </c>
    </row>
    <row r="1981" spans="1:17" x14ac:dyDescent="0.3">
      <c r="A1981" s="29" t="s">
        <v>931</v>
      </c>
      <c r="B1981" s="29">
        <v>1</v>
      </c>
      <c r="C1981" s="29" t="s">
        <v>1089</v>
      </c>
      <c r="D1981" s="29" t="s">
        <v>1099</v>
      </c>
      <c r="E1981" s="29">
        <v>250</v>
      </c>
      <c r="G1981" s="29" t="s">
        <v>1035</v>
      </c>
      <c r="H1981" s="29">
        <v>1</v>
      </c>
      <c r="I1981" s="29">
        <v>20.9</v>
      </c>
      <c r="J1981" s="29">
        <v>5.2249999999999996</v>
      </c>
      <c r="K1981" s="29">
        <v>5.2249999999999996</v>
      </c>
      <c r="L1981" s="29" t="s">
        <v>1032</v>
      </c>
      <c r="M1981" s="29">
        <v>1</v>
      </c>
      <c r="N1981" s="29">
        <v>0.25</v>
      </c>
      <c r="O1981" s="29">
        <v>1</v>
      </c>
      <c r="P1981" s="29">
        <v>5.2249999999999996</v>
      </c>
      <c r="Q1981" s="29" t="s">
        <v>1033</v>
      </c>
    </row>
    <row r="1982" spans="1:17" x14ac:dyDescent="0.3">
      <c r="A1982" s="29" t="s">
        <v>931</v>
      </c>
      <c r="B1982" s="29">
        <v>1</v>
      </c>
      <c r="C1982" s="29" t="s">
        <v>1089</v>
      </c>
      <c r="D1982" s="29" t="s">
        <v>1099</v>
      </c>
      <c r="E1982" s="29">
        <v>250</v>
      </c>
      <c r="G1982" s="29" t="s">
        <v>1035</v>
      </c>
      <c r="H1982" s="29">
        <v>1</v>
      </c>
      <c r="I1982" s="29">
        <v>20.9</v>
      </c>
      <c r="J1982" s="29">
        <v>5.2249999999999996</v>
      </c>
      <c r="K1982" s="29">
        <v>5.2249999999999996</v>
      </c>
      <c r="L1982" s="29" t="s">
        <v>1032</v>
      </c>
      <c r="M1982" s="29">
        <v>1</v>
      </c>
      <c r="N1982" s="29">
        <v>0.25</v>
      </c>
      <c r="O1982" s="29">
        <v>1</v>
      </c>
      <c r="P1982" s="29">
        <v>5.2249999999999996</v>
      </c>
      <c r="Q1982" s="29" t="s">
        <v>1033</v>
      </c>
    </row>
    <row r="1983" spans="1:17" x14ac:dyDescent="0.3">
      <c r="A1983" s="29" t="s">
        <v>931</v>
      </c>
      <c r="B1983" s="29">
        <v>1</v>
      </c>
      <c r="C1983" s="29" t="s">
        <v>1089</v>
      </c>
      <c r="D1983" s="29" t="s">
        <v>1099</v>
      </c>
      <c r="E1983" s="29">
        <v>250</v>
      </c>
      <c r="G1983" s="29" t="s">
        <v>1035</v>
      </c>
      <c r="H1983" s="29">
        <v>1</v>
      </c>
      <c r="I1983" s="29">
        <v>20.9</v>
      </c>
      <c r="J1983" s="29">
        <v>5.2249999999999996</v>
      </c>
      <c r="K1983" s="29">
        <v>5.2249999999999996</v>
      </c>
      <c r="L1983" s="29" t="s">
        <v>1032</v>
      </c>
      <c r="M1983" s="29">
        <v>1</v>
      </c>
      <c r="N1983" s="29">
        <v>0.25</v>
      </c>
      <c r="O1983" s="29">
        <v>1</v>
      </c>
      <c r="P1983" s="29">
        <v>5.2249999999999996</v>
      </c>
      <c r="Q1983" s="29" t="s">
        <v>1033</v>
      </c>
    </row>
    <row r="1984" spans="1:17" x14ac:dyDescent="0.3">
      <c r="A1984" s="29" t="s">
        <v>931</v>
      </c>
      <c r="B1984" s="29">
        <v>1</v>
      </c>
      <c r="C1984" s="29" t="s">
        <v>1089</v>
      </c>
      <c r="D1984" s="29" t="s">
        <v>1099</v>
      </c>
      <c r="E1984" s="29">
        <v>250</v>
      </c>
      <c r="G1984" s="29" t="s">
        <v>1035</v>
      </c>
      <c r="H1984" s="29">
        <v>1</v>
      </c>
      <c r="I1984" s="29">
        <v>20.9</v>
      </c>
      <c r="J1984" s="29">
        <v>5.2249999999999996</v>
      </c>
      <c r="K1984" s="29">
        <v>5.2249999999999996</v>
      </c>
      <c r="L1984" s="29" t="s">
        <v>1032</v>
      </c>
      <c r="M1984" s="29">
        <v>1</v>
      </c>
      <c r="N1984" s="29">
        <v>0.25</v>
      </c>
      <c r="O1984" s="29">
        <v>1</v>
      </c>
      <c r="P1984" s="29">
        <v>5.2249999999999996</v>
      </c>
      <c r="Q1984" s="29" t="s">
        <v>1033</v>
      </c>
    </row>
    <row r="1985" spans="1:17" x14ac:dyDescent="0.3">
      <c r="A1985" s="29" t="s">
        <v>931</v>
      </c>
      <c r="B1985" s="29">
        <v>1</v>
      </c>
      <c r="C1985" s="29" t="s">
        <v>1089</v>
      </c>
      <c r="D1985" s="29" t="s">
        <v>1099</v>
      </c>
      <c r="E1985" s="29">
        <v>250</v>
      </c>
      <c r="G1985" s="29" t="s">
        <v>1035</v>
      </c>
      <c r="H1985" s="29">
        <v>1</v>
      </c>
      <c r="I1985" s="29">
        <v>20.9</v>
      </c>
      <c r="J1985" s="29">
        <v>5.2249999999999996</v>
      </c>
      <c r="K1985" s="29">
        <v>5.2249999999999996</v>
      </c>
      <c r="L1985" s="29" t="s">
        <v>1032</v>
      </c>
      <c r="M1985" s="29">
        <v>1</v>
      </c>
      <c r="N1985" s="29">
        <v>0.25</v>
      </c>
      <c r="O1985" s="29">
        <v>1</v>
      </c>
      <c r="P1985" s="29">
        <v>5.2249999999999996</v>
      </c>
      <c r="Q1985" s="29" t="s">
        <v>1033</v>
      </c>
    </row>
    <row r="1986" spans="1:17" x14ac:dyDescent="0.3">
      <c r="A1986" s="29" t="s">
        <v>931</v>
      </c>
      <c r="B1986" s="29">
        <v>1</v>
      </c>
      <c r="C1986" s="29" t="s">
        <v>1089</v>
      </c>
      <c r="D1986" s="29" t="s">
        <v>1099</v>
      </c>
      <c r="E1986" s="29">
        <v>250</v>
      </c>
      <c r="G1986" s="29" t="s">
        <v>1035</v>
      </c>
      <c r="H1986" s="29">
        <v>1</v>
      </c>
      <c r="I1986" s="29">
        <v>20.9</v>
      </c>
      <c r="J1986" s="29">
        <v>5.2249999999999996</v>
      </c>
      <c r="K1986" s="29">
        <v>5.2249999999999996</v>
      </c>
      <c r="L1986" s="29" t="s">
        <v>1032</v>
      </c>
      <c r="M1986" s="29">
        <v>1</v>
      </c>
      <c r="N1986" s="29">
        <v>0.25</v>
      </c>
      <c r="O1986" s="29">
        <v>1</v>
      </c>
      <c r="P1986" s="29">
        <v>5.2249999999999996</v>
      </c>
      <c r="Q1986" s="29" t="s">
        <v>1033</v>
      </c>
    </row>
    <row r="1987" spans="1:17" x14ac:dyDescent="0.3">
      <c r="A1987" s="29" t="s">
        <v>931</v>
      </c>
      <c r="B1987" s="29">
        <v>1</v>
      </c>
      <c r="C1987" s="29" t="s">
        <v>1089</v>
      </c>
      <c r="D1987" s="29" t="s">
        <v>1099</v>
      </c>
      <c r="E1987" s="29">
        <v>250</v>
      </c>
      <c r="G1987" s="29" t="s">
        <v>1035</v>
      </c>
      <c r="H1987" s="29">
        <v>1</v>
      </c>
      <c r="I1987" s="29">
        <v>20.9</v>
      </c>
      <c r="J1987" s="29">
        <v>5.2249999999999996</v>
      </c>
      <c r="K1987" s="29">
        <v>5.2249999999999996</v>
      </c>
      <c r="L1987" s="29" t="s">
        <v>1032</v>
      </c>
      <c r="M1987" s="29">
        <v>1</v>
      </c>
      <c r="N1987" s="29">
        <v>0.25</v>
      </c>
      <c r="O1987" s="29">
        <v>1</v>
      </c>
      <c r="P1987" s="29">
        <v>5.2249999999999996</v>
      </c>
      <c r="Q1987" s="29" t="s">
        <v>1033</v>
      </c>
    </row>
    <row r="1988" spans="1:17" x14ac:dyDescent="0.3">
      <c r="A1988" s="29" t="s">
        <v>931</v>
      </c>
      <c r="B1988" s="29">
        <v>1</v>
      </c>
      <c r="C1988" s="29" t="s">
        <v>1089</v>
      </c>
      <c r="D1988" s="29" t="s">
        <v>1099</v>
      </c>
      <c r="E1988" s="29">
        <v>250</v>
      </c>
      <c r="G1988" s="29" t="s">
        <v>1035</v>
      </c>
      <c r="H1988" s="29">
        <v>1</v>
      </c>
      <c r="I1988" s="29">
        <v>20.9</v>
      </c>
      <c r="J1988" s="29">
        <v>5.2249999999999996</v>
      </c>
      <c r="K1988" s="29">
        <v>5.2249999999999996</v>
      </c>
      <c r="L1988" s="29" t="s">
        <v>1032</v>
      </c>
      <c r="M1988" s="29">
        <v>1</v>
      </c>
      <c r="N1988" s="29">
        <v>0.25</v>
      </c>
      <c r="O1988" s="29">
        <v>1</v>
      </c>
      <c r="P1988" s="29">
        <v>5.2249999999999996</v>
      </c>
      <c r="Q1988" s="29" t="s">
        <v>1033</v>
      </c>
    </row>
    <row r="1989" spans="1:17" x14ac:dyDescent="0.3">
      <c r="A1989" s="29" t="s">
        <v>932</v>
      </c>
      <c r="B1989" s="29">
        <v>1</v>
      </c>
      <c r="C1989" s="29" t="s">
        <v>1112</v>
      </c>
      <c r="D1989" s="29">
        <v>9</v>
      </c>
      <c r="E1989" s="29">
        <v>320.9136895641974</v>
      </c>
      <c r="F1989" s="29">
        <v>350</v>
      </c>
      <c r="G1989" s="29" t="s">
        <v>1035</v>
      </c>
      <c r="H1989" s="29">
        <v>1</v>
      </c>
      <c r="J1989" s="29">
        <v>7.9353932586986904</v>
      </c>
      <c r="K1989" s="29">
        <v>7.9353932586986904</v>
      </c>
      <c r="L1989" s="29" t="s">
        <v>1036</v>
      </c>
      <c r="M1989" s="29">
        <v>1</v>
      </c>
      <c r="O1989" s="29">
        <v>1</v>
      </c>
      <c r="P1989" s="29">
        <v>7.9353932586986904</v>
      </c>
      <c r="Q1989" s="29" t="s">
        <v>1037</v>
      </c>
    </row>
    <row r="1990" spans="1:17" x14ac:dyDescent="0.3">
      <c r="B1990" s="29">
        <v>2</v>
      </c>
      <c r="C1990" s="29" t="s">
        <v>1089</v>
      </c>
      <c r="D1990" s="29" t="s">
        <v>1099</v>
      </c>
      <c r="E1990" s="29">
        <v>250</v>
      </c>
      <c r="G1990" s="29" t="s">
        <v>1035</v>
      </c>
      <c r="H1990" s="29">
        <v>1</v>
      </c>
      <c r="I1990" s="29">
        <v>20.9</v>
      </c>
      <c r="J1990" s="29">
        <v>5.2249999999999996</v>
      </c>
      <c r="K1990" s="29">
        <v>5.2249999999999996</v>
      </c>
      <c r="L1990" s="29" t="s">
        <v>1032</v>
      </c>
      <c r="M1990" s="29">
        <v>1</v>
      </c>
      <c r="N1990" s="29">
        <v>0.25</v>
      </c>
      <c r="O1990" s="29">
        <v>1</v>
      </c>
      <c r="P1990" s="29">
        <v>5.2249999999999996</v>
      </c>
      <c r="Q1990" s="29" t="s">
        <v>1033</v>
      </c>
    </row>
    <row r="1991" spans="1:17" x14ac:dyDescent="0.3">
      <c r="A1991" s="29" t="s">
        <v>933</v>
      </c>
      <c r="B1991" s="29">
        <v>1</v>
      </c>
      <c r="C1991" s="29" t="s">
        <v>1089</v>
      </c>
      <c r="D1991" s="29" t="s">
        <v>1099</v>
      </c>
      <c r="E1991" s="29">
        <v>250</v>
      </c>
      <c r="G1991" s="29" t="s">
        <v>1035</v>
      </c>
      <c r="H1991" s="29">
        <v>1</v>
      </c>
      <c r="I1991" s="29">
        <v>20.9</v>
      </c>
      <c r="J1991" s="29">
        <v>5.2249999999999996</v>
      </c>
      <c r="K1991" s="29">
        <v>5.2249999999999996</v>
      </c>
      <c r="L1991" s="29" t="s">
        <v>1032</v>
      </c>
      <c r="M1991" s="29">
        <v>1</v>
      </c>
      <c r="N1991" s="29">
        <v>0.25</v>
      </c>
      <c r="O1991" s="29">
        <v>1</v>
      </c>
      <c r="P1991" s="29">
        <v>5.2249999999999996</v>
      </c>
      <c r="Q1991" s="29" t="s">
        <v>1033</v>
      </c>
    </row>
    <row r="1992" spans="1:17" x14ac:dyDescent="0.3">
      <c r="A1992" s="29" t="s">
        <v>934</v>
      </c>
      <c r="B1992" s="29">
        <v>1</v>
      </c>
      <c r="C1992" s="29" t="s">
        <v>1089</v>
      </c>
      <c r="D1992" s="29" t="s">
        <v>1099</v>
      </c>
      <c r="E1992" s="29">
        <v>250</v>
      </c>
      <c r="G1992" s="29" t="s">
        <v>1102</v>
      </c>
      <c r="H1992" s="29">
        <v>1</v>
      </c>
      <c r="I1992" s="29">
        <v>20.9</v>
      </c>
      <c r="J1992" s="29">
        <v>5.2249999999999996</v>
      </c>
      <c r="K1992" s="29">
        <v>5.2249999999999996</v>
      </c>
      <c r="L1992" s="29" t="s">
        <v>1032</v>
      </c>
      <c r="M1992" s="29">
        <v>1</v>
      </c>
      <c r="N1992" s="29">
        <v>0.25</v>
      </c>
      <c r="O1992" s="29">
        <v>1</v>
      </c>
      <c r="P1992" s="29">
        <v>5.2249999999999996</v>
      </c>
      <c r="Q1992" s="29" t="s">
        <v>1033</v>
      </c>
    </row>
    <row r="1993" spans="1:17" x14ac:dyDescent="0.3">
      <c r="A1993" s="29" t="s">
        <v>935</v>
      </c>
      <c r="B1993" s="29">
        <v>1</v>
      </c>
      <c r="C1993" s="29" t="s">
        <v>1089</v>
      </c>
      <c r="D1993" s="29" t="s">
        <v>1099</v>
      </c>
      <c r="E1993" s="29">
        <v>350</v>
      </c>
      <c r="G1993" s="29" t="s">
        <v>1102</v>
      </c>
      <c r="H1993" s="29">
        <v>1</v>
      </c>
      <c r="I1993" s="29">
        <v>20.9</v>
      </c>
      <c r="J1993" s="29">
        <v>7.3149999999999986</v>
      </c>
      <c r="K1993" s="29">
        <v>7.3149999999999986</v>
      </c>
      <c r="L1993" s="29" t="s">
        <v>1032</v>
      </c>
      <c r="M1993" s="29">
        <v>1</v>
      </c>
      <c r="N1993" s="29">
        <v>0.35</v>
      </c>
      <c r="O1993" s="29">
        <v>1</v>
      </c>
      <c r="P1993" s="29">
        <v>7.3149999999999986</v>
      </c>
      <c r="Q1993" s="29" t="s">
        <v>1033</v>
      </c>
    </row>
    <row r="1994" spans="1:17" x14ac:dyDescent="0.3">
      <c r="A1994" s="29" t="s">
        <v>936</v>
      </c>
      <c r="B1994" s="29">
        <v>1</v>
      </c>
      <c r="C1994" s="29" t="s">
        <v>1089</v>
      </c>
      <c r="D1994" s="29" t="s">
        <v>1099</v>
      </c>
      <c r="E1994" s="29">
        <v>250</v>
      </c>
      <c r="G1994" s="29" t="s">
        <v>1031</v>
      </c>
      <c r="H1994" s="29">
        <v>1</v>
      </c>
      <c r="I1994" s="29">
        <v>20.9</v>
      </c>
      <c r="J1994" s="29">
        <v>5.2249999999999996</v>
      </c>
      <c r="K1994" s="29">
        <v>5.2249999999999996</v>
      </c>
      <c r="L1994" s="29" t="s">
        <v>1032</v>
      </c>
      <c r="M1994" s="29">
        <v>1</v>
      </c>
      <c r="N1994" s="29">
        <v>0.25</v>
      </c>
      <c r="O1994" s="29">
        <v>1</v>
      </c>
      <c r="P1994" s="29">
        <v>5.2249999999999996</v>
      </c>
      <c r="Q1994" s="29" t="s">
        <v>1033</v>
      </c>
    </row>
    <row r="1995" spans="1:17" x14ac:dyDescent="0.3">
      <c r="A1995" s="29" t="s">
        <v>937</v>
      </c>
      <c r="B1995" s="29">
        <v>1</v>
      </c>
      <c r="C1995" s="29" t="s">
        <v>1089</v>
      </c>
      <c r="D1995" s="29" t="s">
        <v>1099</v>
      </c>
      <c r="E1995" s="29">
        <v>250</v>
      </c>
      <c r="G1995" s="29" t="s">
        <v>1035</v>
      </c>
      <c r="H1995" s="29">
        <v>1</v>
      </c>
      <c r="I1995" s="29">
        <v>20.9</v>
      </c>
      <c r="J1995" s="29">
        <v>5.2249999999999996</v>
      </c>
      <c r="K1995" s="29">
        <v>5.2249999999999996</v>
      </c>
      <c r="L1995" s="29" t="s">
        <v>1032</v>
      </c>
      <c r="M1995" s="29">
        <v>1</v>
      </c>
      <c r="N1995" s="29">
        <v>0.25</v>
      </c>
      <c r="O1995" s="29">
        <v>1</v>
      </c>
      <c r="P1995" s="29">
        <v>5.2249999999999996</v>
      </c>
      <c r="Q1995" s="29" t="s">
        <v>1033</v>
      </c>
    </row>
    <row r="1996" spans="1:17" x14ac:dyDescent="0.3">
      <c r="A1996" s="29" t="s">
        <v>938</v>
      </c>
      <c r="B1996" s="29">
        <v>1</v>
      </c>
      <c r="C1996" s="29" t="s">
        <v>1089</v>
      </c>
      <c r="D1996" s="29" t="s">
        <v>1099</v>
      </c>
      <c r="E1996" s="29">
        <v>300</v>
      </c>
      <c r="G1996" s="29" t="s">
        <v>1035</v>
      </c>
      <c r="H1996" s="29">
        <v>1</v>
      </c>
      <c r="I1996" s="29">
        <v>20.9</v>
      </c>
      <c r="J1996" s="29">
        <v>6.27</v>
      </c>
      <c r="K1996" s="29">
        <v>6.27</v>
      </c>
      <c r="L1996" s="29" t="s">
        <v>1032</v>
      </c>
      <c r="M1996" s="29">
        <v>1</v>
      </c>
      <c r="N1996" s="29">
        <v>0.3</v>
      </c>
      <c r="O1996" s="29">
        <v>1</v>
      </c>
      <c r="P1996" s="29">
        <v>6.27</v>
      </c>
      <c r="Q1996" s="29" t="s">
        <v>1033</v>
      </c>
    </row>
    <row r="1997" spans="1:17" x14ac:dyDescent="0.3">
      <c r="A1997" s="29" t="s">
        <v>939</v>
      </c>
      <c r="B1997" s="29">
        <v>1</v>
      </c>
      <c r="C1997" s="29" t="s">
        <v>1089</v>
      </c>
      <c r="D1997" s="29" t="s">
        <v>1099</v>
      </c>
      <c r="E1997" s="29">
        <v>250</v>
      </c>
      <c r="G1997" s="29" t="s">
        <v>1035</v>
      </c>
      <c r="H1997" s="29">
        <v>1</v>
      </c>
      <c r="I1997" s="29">
        <v>20.9</v>
      </c>
      <c r="J1997" s="29">
        <v>5.2249999999999996</v>
      </c>
      <c r="K1997" s="29">
        <v>5.2249999999999996</v>
      </c>
      <c r="L1997" s="29" t="s">
        <v>1032</v>
      </c>
      <c r="M1997" s="29">
        <v>1</v>
      </c>
      <c r="N1997" s="29">
        <v>0.25</v>
      </c>
      <c r="O1997" s="29">
        <v>1</v>
      </c>
      <c r="P1997" s="29">
        <v>5.2249999999999996</v>
      </c>
      <c r="Q1997" s="29" t="s">
        <v>1033</v>
      </c>
    </row>
    <row r="1998" spans="1:17" x14ac:dyDescent="0.3">
      <c r="A1998" s="29" t="s">
        <v>939</v>
      </c>
      <c r="B1998" s="29">
        <v>1</v>
      </c>
      <c r="C1998" s="29" t="s">
        <v>1089</v>
      </c>
      <c r="D1998" s="29" t="s">
        <v>1099</v>
      </c>
      <c r="E1998" s="29">
        <v>250</v>
      </c>
      <c r="G1998" s="29" t="s">
        <v>1035</v>
      </c>
      <c r="H1998" s="29">
        <v>1</v>
      </c>
      <c r="I1998" s="29">
        <v>20.9</v>
      </c>
      <c r="J1998" s="29">
        <v>5.2249999999999996</v>
      </c>
      <c r="K1998" s="29">
        <v>5.2249999999999996</v>
      </c>
      <c r="L1998" s="29" t="s">
        <v>1032</v>
      </c>
      <c r="M1998" s="29">
        <v>1</v>
      </c>
      <c r="N1998" s="29">
        <v>0.25</v>
      </c>
      <c r="O1998" s="29">
        <v>1</v>
      </c>
      <c r="P1998" s="29">
        <v>5.2249999999999996</v>
      </c>
      <c r="Q1998" s="29" t="s">
        <v>1033</v>
      </c>
    </row>
    <row r="1999" spans="1:17" x14ac:dyDescent="0.3">
      <c r="A1999" s="29" t="s">
        <v>939</v>
      </c>
      <c r="B1999" s="29">
        <v>1</v>
      </c>
      <c r="C1999" s="29" t="s">
        <v>1089</v>
      </c>
      <c r="D1999" s="29" t="s">
        <v>1099</v>
      </c>
      <c r="E1999" s="29">
        <v>250</v>
      </c>
      <c r="G1999" s="29" t="s">
        <v>1035</v>
      </c>
      <c r="H1999" s="29">
        <v>1</v>
      </c>
      <c r="I1999" s="29">
        <v>20.9</v>
      </c>
      <c r="J1999" s="29">
        <v>5.2249999999999996</v>
      </c>
      <c r="K1999" s="29">
        <v>5.2249999999999996</v>
      </c>
      <c r="L1999" s="29" t="s">
        <v>1032</v>
      </c>
      <c r="M1999" s="29">
        <v>1</v>
      </c>
      <c r="N1999" s="29">
        <v>0.25</v>
      </c>
      <c r="O1999" s="29">
        <v>1</v>
      </c>
      <c r="P1999" s="29">
        <v>5.2249999999999996</v>
      </c>
      <c r="Q1999" s="29" t="s">
        <v>1033</v>
      </c>
    </row>
    <row r="2000" spans="1:17" x14ac:dyDescent="0.3">
      <c r="A2000" s="29" t="s">
        <v>939</v>
      </c>
      <c r="B2000" s="29">
        <v>1</v>
      </c>
      <c r="C2000" s="29" t="s">
        <v>1089</v>
      </c>
      <c r="D2000" s="29" t="s">
        <v>1099</v>
      </c>
      <c r="E2000" s="29">
        <v>250</v>
      </c>
      <c r="G2000" s="29" t="s">
        <v>1035</v>
      </c>
      <c r="H2000" s="29">
        <v>1</v>
      </c>
      <c r="I2000" s="29">
        <v>20.9</v>
      </c>
      <c r="J2000" s="29">
        <v>5.2249999999999996</v>
      </c>
      <c r="K2000" s="29">
        <v>5.2249999999999996</v>
      </c>
      <c r="L2000" s="29" t="s">
        <v>1032</v>
      </c>
      <c r="M2000" s="29">
        <v>1</v>
      </c>
      <c r="N2000" s="29">
        <v>0.25</v>
      </c>
      <c r="O2000" s="29">
        <v>1</v>
      </c>
      <c r="P2000" s="29">
        <v>5.2249999999999996</v>
      </c>
      <c r="Q2000" s="29" t="s">
        <v>1033</v>
      </c>
    </row>
    <row r="2001" spans="1:17" x14ac:dyDescent="0.3">
      <c r="A2001" s="29" t="s">
        <v>939</v>
      </c>
      <c r="B2001" s="29">
        <v>1</v>
      </c>
      <c r="C2001" s="29" t="s">
        <v>1089</v>
      </c>
      <c r="D2001" s="29" t="s">
        <v>1099</v>
      </c>
      <c r="E2001" s="29">
        <v>250</v>
      </c>
      <c r="G2001" s="29" t="s">
        <v>1035</v>
      </c>
      <c r="H2001" s="29">
        <v>1</v>
      </c>
      <c r="I2001" s="29">
        <v>20.9</v>
      </c>
      <c r="J2001" s="29">
        <v>5.2249999999999996</v>
      </c>
      <c r="K2001" s="29">
        <v>5.2249999999999996</v>
      </c>
      <c r="L2001" s="29" t="s">
        <v>1032</v>
      </c>
      <c r="M2001" s="29">
        <v>1</v>
      </c>
      <c r="N2001" s="29">
        <v>0.25</v>
      </c>
      <c r="O2001" s="29">
        <v>1</v>
      </c>
      <c r="P2001" s="29">
        <v>5.2249999999999996</v>
      </c>
      <c r="Q2001" s="29" t="s">
        <v>1033</v>
      </c>
    </row>
    <row r="2002" spans="1:17" x14ac:dyDescent="0.3">
      <c r="A2002" s="29" t="s">
        <v>939</v>
      </c>
      <c r="B2002" s="29">
        <v>1</v>
      </c>
      <c r="C2002" s="29" t="s">
        <v>1089</v>
      </c>
      <c r="D2002" s="29" t="s">
        <v>1099</v>
      </c>
      <c r="E2002" s="29">
        <v>250</v>
      </c>
      <c r="G2002" s="29" t="s">
        <v>1035</v>
      </c>
      <c r="H2002" s="29">
        <v>1</v>
      </c>
      <c r="I2002" s="29">
        <v>20.9</v>
      </c>
      <c r="J2002" s="29">
        <v>5.2249999999999996</v>
      </c>
      <c r="K2002" s="29">
        <v>5.2249999999999996</v>
      </c>
      <c r="L2002" s="29" t="s">
        <v>1032</v>
      </c>
      <c r="M2002" s="29">
        <v>1</v>
      </c>
      <c r="N2002" s="29">
        <v>0.25</v>
      </c>
      <c r="O2002" s="29">
        <v>1</v>
      </c>
      <c r="P2002" s="29">
        <v>5.2249999999999996</v>
      </c>
      <c r="Q2002" s="29" t="s">
        <v>1033</v>
      </c>
    </row>
    <row r="2003" spans="1:17" x14ac:dyDescent="0.3">
      <c r="A2003" s="29" t="s">
        <v>939</v>
      </c>
      <c r="B2003" s="29">
        <v>1</v>
      </c>
      <c r="C2003" s="29" t="s">
        <v>1089</v>
      </c>
      <c r="D2003" s="29" t="s">
        <v>1099</v>
      </c>
      <c r="E2003" s="29">
        <v>250</v>
      </c>
      <c r="G2003" s="29" t="s">
        <v>1035</v>
      </c>
      <c r="H2003" s="29">
        <v>1</v>
      </c>
      <c r="I2003" s="29">
        <v>20.9</v>
      </c>
      <c r="J2003" s="29">
        <v>5.2249999999999996</v>
      </c>
      <c r="K2003" s="29">
        <v>5.2249999999999996</v>
      </c>
      <c r="L2003" s="29" t="s">
        <v>1032</v>
      </c>
      <c r="M2003" s="29">
        <v>1</v>
      </c>
      <c r="N2003" s="29">
        <v>0.25</v>
      </c>
      <c r="O2003" s="29">
        <v>1</v>
      </c>
      <c r="P2003" s="29">
        <v>5.2249999999999996</v>
      </c>
      <c r="Q2003" s="29" t="s">
        <v>1033</v>
      </c>
    </row>
    <row r="2004" spans="1:17" x14ac:dyDescent="0.3">
      <c r="A2004" s="29" t="s">
        <v>939</v>
      </c>
      <c r="B2004" s="29">
        <v>1</v>
      </c>
      <c r="C2004" s="29" t="s">
        <v>1089</v>
      </c>
      <c r="D2004" s="29" t="s">
        <v>1099</v>
      </c>
      <c r="E2004" s="29">
        <v>250</v>
      </c>
      <c r="G2004" s="29" t="s">
        <v>1035</v>
      </c>
      <c r="H2004" s="29">
        <v>1</v>
      </c>
      <c r="I2004" s="29">
        <v>20.9</v>
      </c>
      <c r="J2004" s="29">
        <v>5.2249999999999996</v>
      </c>
      <c r="K2004" s="29">
        <v>5.2249999999999996</v>
      </c>
      <c r="L2004" s="29" t="s">
        <v>1032</v>
      </c>
      <c r="M2004" s="29">
        <v>1</v>
      </c>
      <c r="N2004" s="29">
        <v>0.25</v>
      </c>
      <c r="O2004" s="29">
        <v>1</v>
      </c>
      <c r="P2004" s="29">
        <v>5.2249999999999996</v>
      </c>
      <c r="Q2004" s="29" t="s">
        <v>1033</v>
      </c>
    </row>
    <row r="2005" spans="1:17" x14ac:dyDescent="0.3">
      <c r="A2005" s="29" t="s">
        <v>939</v>
      </c>
      <c r="B2005" s="29">
        <v>1</v>
      </c>
      <c r="C2005" s="29" t="s">
        <v>1089</v>
      </c>
      <c r="D2005" s="29" t="s">
        <v>1099</v>
      </c>
      <c r="E2005" s="29">
        <v>250</v>
      </c>
      <c r="G2005" s="29" t="s">
        <v>1035</v>
      </c>
      <c r="H2005" s="29">
        <v>1</v>
      </c>
      <c r="I2005" s="29">
        <v>20.9</v>
      </c>
      <c r="J2005" s="29">
        <v>5.2249999999999996</v>
      </c>
      <c r="K2005" s="29">
        <v>5.2249999999999996</v>
      </c>
      <c r="L2005" s="29" t="s">
        <v>1032</v>
      </c>
      <c r="M2005" s="29">
        <v>1</v>
      </c>
      <c r="N2005" s="29">
        <v>0.25</v>
      </c>
      <c r="O2005" s="29">
        <v>1</v>
      </c>
      <c r="P2005" s="29">
        <v>5.2249999999999996</v>
      </c>
      <c r="Q2005" s="29" t="s">
        <v>1033</v>
      </c>
    </row>
    <row r="2006" spans="1:17" x14ac:dyDescent="0.3">
      <c r="A2006" s="29" t="s">
        <v>939</v>
      </c>
      <c r="B2006" s="29">
        <v>1</v>
      </c>
      <c r="C2006" s="29" t="s">
        <v>1089</v>
      </c>
      <c r="D2006" s="29" t="s">
        <v>1099</v>
      </c>
      <c r="E2006" s="29">
        <v>250</v>
      </c>
      <c r="G2006" s="29" t="s">
        <v>1035</v>
      </c>
      <c r="H2006" s="29">
        <v>1</v>
      </c>
      <c r="I2006" s="29">
        <v>20.9</v>
      </c>
      <c r="J2006" s="29">
        <v>5.2249999999999996</v>
      </c>
      <c r="K2006" s="29">
        <v>5.2249999999999996</v>
      </c>
      <c r="L2006" s="29" t="s">
        <v>1032</v>
      </c>
      <c r="M2006" s="29">
        <v>1</v>
      </c>
      <c r="N2006" s="29">
        <v>0.25</v>
      </c>
      <c r="O2006" s="29">
        <v>1</v>
      </c>
      <c r="P2006" s="29">
        <v>5.2249999999999996</v>
      </c>
      <c r="Q2006" s="29" t="s">
        <v>1033</v>
      </c>
    </row>
    <row r="2007" spans="1:17" x14ac:dyDescent="0.3">
      <c r="A2007" s="29" t="s">
        <v>939</v>
      </c>
      <c r="B2007" s="29">
        <v>1</v>
      </c>
      <c r="C2007" s="29" t="s">
        <v>1089</v>
      </c>
      <c r="D2007" s="29" t="s">
        <v>1099</v>
      </c>
      <c r="E2007" s="29">
        <v>250</v>
      </c>
      <c r="G2007" s="29" t="s">
        <v>1035</v>
      </c>
      <c r="H2007" s="29">
        <v>1</v>
      </c>
      <c r="I2007" s="29">
        <v>20.9</v>
      </c>
      <c r="J2007" s="29">
        <v>5.2249999999999996</v>
      </c>
      <c r="K2007" s="29">
        <v>5.2249999999999996</v>
      </c>
      <c r="L2007" s="29" t="s">
        <v>1032</v>
      </c>
      <c r="M2007" s="29">
        <v>1</v>
      </c>
      <c r="N2007" s="29">
        <v>0.25</v>
      </c>
      <c r="O2007" s="29">
        <v>1</v>
      </c>
      <c r="P2007" s="29">
        <v>5.2249999999999996</v>
      </c>
      <c r="Q2007" s="29" t="s">
        <v>1033</v>
      </c>
    </row>
    <row r="2008" spans="1:17" x14ac:dyDescent="0.3">
      <c r="A2008" s="29" t="s">
        <v>940</v>
      </c>
      <c r="B2008" s="29">
        <v>1</v>
      </c>
      <c r="C2008" s="29" t="s">
        <v>1089</v>
      </c>
      <c r="D2008" s="29" t="s">
        <v>1099</v>
      </c>
      <c r="E2008" s="29">
        <v>250</v>
      </c>
      <c r="G2008" s="29" t="s">
        <v>1035</v>
      </c>
      <c r="H2008" s="29">
        <v>1</v>
      </c>
      <c r="I2008" s="29">
        <v>20.9</v>
      </c>
      <c r="J2008" s="29">
        <v>5.2249999999999996</v>
      </c>
      <c r="K2008" s="29">
        <v>5.2249999999999996</v>
      </c>
      <c r="L2008" s="29" t="s">
        <v>1032</v>
      </c>
      <c r="M2008" s="29">
        <v>1</v>
      </c>
      <c r="N2008" s="29">
        <v>0.25</v>
      </c>
      <c r="O2008" s="29">
        <v>1</v>
      </c>
      <c r="P2008" s="29">
        <v>5.2249999999999996</v>
      </c>
      <c r="Q2008" s="29" t="s">
        <v>1033</v>
      </c>
    </row>
    <row r="2009" spans="1:17" x14ac:dyDescent="0.3">
      <c r="A2009" s="29" t="s">
        <v>941</v>
      </c>
      <c r="B2009" s="29">
        <v>1</v>
      </c>
      <c r="C2009" s="29" t="s">
        <v>1112</v>
      </c>
      <c r="D2009" s="29">
        <v>9</v>
      </c>
      <c r="E2009" s="29">
        <v>400.71014296537811</v>
      </c>
      <c r="F2009" s="29">
        <v>350</v>
      </c>
      <c r="G2009" s="29" t="s">
        <v>1035</v>
      </c>
      <c r="H2009" s="29">
        <v>1</v>
      </c>
      <c r="J2009" s="29">
        <v>9.9085600601763861</v>
      </c>
      <c r="K2009" s="29">
        <v>9.9085600601763861</v>
      </c>
      <c r="L2009" s="29" t="s">
        <v>1036</v>
      </c>
      <c r="M2009" s="29">
        <v>1</v>
      </c>
      <c r="O2009" s="29">
        <v>1</v>
      </c>
      <c r="P2009" s="29">
        <v>9.9085600601763861</v>
      </c>
      <c r="Q2009" s="29" t="s">
        <v>1037</v>
      </c>
    </row>
    <row r="2010" spans="1:17" x14ac:dyDescent="0.3">
      <c r="B2010" s="29">
        <v>2</v>
      </c>
      <c r="C2010" s="29" t="s">
        <v>1089</v>
      </c>
      <c r="D2010" s="29" t="s">
        <v>1099</v>
      </c>
      <c r="E2010" s="29">
        <v>250</v>
      </c>
      <c r="G2010" s="29" t="s">
        <v>1035</v>
      </c>
      <c r="H2010" s="29">
        <v>1</v>
      </c>
      <c r="I2010" s="29">
        <v>20.9</v>
      </c>
      <c r="J2010" s="29">
        <v>5.2249999999999996</v>
      </c>
      <c r="K2010" s="29">
        <v>5.2249999999999996</v>
      </c>
      <c r="L2010" s="29" t="s">
        <v>1032</v>
      </c>
      <c r="M2010" s="29">
        <v>1</v>
      </c>
      <c r="N2010" s="29">
        <v>0.25</v>
      </c>
      <c r="O2010" s="29">
        <v>1</v>
      </c>
      <c r="P2010" s="29">
        <v>5.2249999999999996</v>
      </c>
      <c r="Q2010" s="29" t="s">
        <v>1033</v>
      </c>
    </row>
    <row r="2011" spans="1:17" x14ac:dyDescent="0.3">
      <c r="A2011" s="29" t="s">
        <v>942</v>
      </c>
      <c r="B2011" s="29">
        <v>1</v>
      </c>
      <c r="C2011" s="29" t="s">
        <v>1089</v>
      </c>
      <c r="D2011" s="29" t="s">
        <v>1099</v>
      </c>
      <c r="E2011" s="29">
        <v>250</v>
      </c>
      <c r="G2011" s="29" t="s">
        <v>1102</v>
      </c>
      <c r="H2011" s="29">
        <v>1</v>
      </c>
      <c r="I2011" s="29">
        <v>20.9</v>
      </c>
      <c r="J2011" s="29">
        <v>5.2249999999999996</v>
      </c>
      <c r="K2011" s="29">
        <v>5.2249999999999996</v>
      </c>
      <c r="L2011" s="29" t="s">
        <v>1032</v>
      </c>
      <c r="M2011" s="29">
        <v>1</v>
      </c>
      <c r="N2011" s="29">
        <v>0.25</v>
      </c>
      <c r="O2011" s="29">
        <v>1</v>
      </c>
      <c r="P2011" s="29">
        <v>5.2249999999999996</v>
      </c>
      <c r="Q2011" s="29" t="s">
        <v>1033</v>
      </c>
    </row>
    <row r="2012" spans="1:17" x14ac:dyDescent="0.3">
      <c r="A2012" s="29" t="s">
        <v>943</v>
      </c>
      <c r="B2012" s="29">
        <v>1</v>
      </c>
      <c r="C2012" s="29" t="s">
        <v>1089</v>
      </c>
      <c r="D2012" s="29" t="s">
        <v>1099</v>
      </c>
      <c r="E2012" s="29">
        <v>250</v>
      </c>
      <c r="G2012" s="29" t="s">
        <v>1031</v>
      </c>
      <c r="H2012" s="29">
        <v>1</v>
      </c>
      <c r="I2012" s="29">
        <v>20.9</v>
      </c>
      <c r="J2012" s="29">
        <v>5.2249999999999996</v>
      </c>
      <c r="K2012" s="29">
        <v>5.2249999999999996</v>
      </c>
      <c r="L2012" s="29" t="s">
        <v>1032</v>
      </c>
      <c r="M2012" s="29">
        <v>1</v>
      </c>
      <c r="N2012" s="29">
        <v>0.25</v>
      </c>
      <c r="O2012" s="29">
        <v>1</v>
      </c>
      <c r="P2012" s="29">
        <v>5.2249999999999996</v>
      </c>
      <c r="Q2012" s="29" t="s">
        <v>1033</v>
      </c>
    </row>
    <row r="2013" spans="1:17" x14ac:dyDescent="0.3">
      <c r="A2013" s="29" t="s">
        <v>944</v>
      </c>
      <c r="B2013" s="29">
        <v>1</v>
      </c>
      <c r="C2013" s="29" t="s">
        <v>1089</v>
      </c>
      <c r="D2013" s="29" t="s">
        <v>1099</v>
      </c>
      <c r="E2013" s="29">
        <v>403</v>
      </c>
      <c r="G2013" s="29" t="s">
        <v>1031</v>
      </c>
      <c r="H2013" s="29">
        <v>1</v>
      </c>
      <c r="I2013" s="29">
        <v>20.9</v>
      </c>
      <c r="J2013" s="29">
        <v>8.4227000000000007</v>
      </c>
      <c r="K2013" s="29">
        <v>8.4227000000000007</v>
      </c>
      <c r="L2013" s="29" t="s">
        <v>1032</v>
      </c>
      <c r="M2013" s="29">
        <v>1</v>
      </c>
      <c r="N2013" s="29">
        <v>0.40300000000000002</v>
      </c>
      <c r="O2013" s="29">
        <v>1</v>
      </c>
      <c r="P2013" s="29">
        <v>8.4227000000000007</v>
      </c>
      <c r="Q2013" s="29" t="s">
        <v>1033</v>
      </c>
    </row>
    <row r="2014" spans="1:17" x14ac:dyDescent="0.3">
      <c r="A2014" s="29" t="s">
        <v>945</v>
      </c>
      <c r="B2014" s="29">
        <v>1</v>
      </c>
      <c r="C2014" s="29" t="s">
        <v>1089</v>
      </c>
      <c r="D2014" s="29" t="s">
        <v>1099</v>
      </c>
      <c r="E2014" s="29">
        <v>150</v>
      </c>
      <c r="G2014" s="29" t="s">
        <v>1035</v>
      </c>
      <c r="H2014" s="29">
        <v>1</v>
      </c>
      <c r="I2014" s="29">
        <v>20.9</v>
      </c>
      <c r="J2014" s="29">
        <v>3.1349999999999998</v>
      </c>
      <c r="K2014" s="29">
        <v>3.1349999999999998</v>
      </c>
      <c r="L2014" s="29" t="s">
        <v>1032</v>
      </c>
      <c r="M2014" s="29">
        <v>1</v>
      </c>
      <c r="N2014" s="29">
        <v>0.15</v>
      </c>
      <c r="O2014" s="29">
        <v>1</v>
      </c>
      <c r="P2014" s="29">
        <v>3.1349999999999998</v>
      </c>
      <c r="Q2014" s="29" t="s">
        <v>1033</v>
      </c>
    </row>
    <row r="2015" spans="1:17" x14ac:dyDescent="0.3">
      <c r="A2015" s="29" t="s">
        <v>946</v>
      </c>
      <c r="B2015" s="29">
        <v>1</v>
      </c>
      <c r="C2015" s="29" t="s">
        <v>1089</v>
      </c>
      <c r="D2015" s="29" t="s">
        <v>1099</v>
      </c>
      <c r="E2015" s="29">
        <v>150</v>
      </c>
      <c r="G2015" s="29" t="s">
        <v>1035</v>
      </c>
      <c r="H2015" s="29">
        <v>1</v>
      </c>
      <c r="I2015" s="29">
        <v>20.9</v>
      </c>
      <c r="J2015" s="29">
        <v>3.1349999999999998</v>
      </c>
      <c r="K2015" s="29">
        <v>3.1349999999999998</v>
      </c>
      <c r="L2015" s="29" t="s">
        <v>1032</v>
      </c>
      <c r="M2015" s="29">
        <v>1</v>
      </c>
      <c r="N2015" s="29">
        <v>0.15</v>
      </c>
      <c r="O2015" s="29">
        <v>1</v>
      </c>
      <c r="P2015" s="29">
        <v>3.1349999999999998</v>
      </c>
      <c r="Q2015" s="29" t="s">
        <v>1033</v>
      </c>
    </row>
    <row r="2016" spans="1:17" x14ac:dyDescent="0.3">
      <c r="A2016" s="29" t="s">
        <v>947</v>
      </c>
      <c r="B2016" s="29">
        <v>1</v>
      </c>
      <c r="C2016" s="29" t="s">
        <v>1089</v>
      </c>
      <c r="D2016" s="29" t="s">
        <v>1099</v>
      </c>
      <c r="E2016" s="29">
        <v>150</v>
      </c>
      <c r="G2016" s="29" t="s">
        <v>1035</v>
      </c>
      <c r="H2016" s="29">
        <v>1</v>
      </c>
      <c r="I2016" s="29">
        <v>20.9</v>
      </c>
      <c r="J2016" s="29">
        <v>3.1349999999999998</v>
      </c>
      <c r="K2016" s="29">
        <v>3.1349999999999998</v>
      </c>
      <c r="L2016" s="29" t="s">
        <v>1032</v>
      </c>
      <c r="M2016" s="29">
        <v>1</v>
      </c>
      <c r="N2016" s="29">
        <v>0.15</v>
      </c>
      <c r="O2016" s="29">
        <v>1</v>
      </c>
      <c r="P2016" s="29">
        <v>3.1349999999999998</v>
      </c>
      <c r="Q2016" s="29" t="s">
        <v>1033</v>
      </c>
    </row>
    <row r="2017" spans="1:17" x14ac:dyDescent="0.3">
      <c r="A2017" s="29" t="s">
        <v>948</v>
      </c>
      <c r="B2017" s="29">
        <v>1</v>
      </c>
      <c r="C2017" s="29" t="s">
        <v>1089</v>
      </c>
      <c r="D2017" s="29" t="s">
        <v>1099</v>
      </c>
      <c r="E2017" s="29">
        <v>150</v>
      </c>
      <c r="G2017" s="29" t="s">
        <v>1035</v>
      </c>
      <c r="H2017" s="29">
        <v>1</v>
      </c>
      <c r="I2017" s="29">
        <v>20.9</v>
      </c>
      <c r="J2017" s="29">
        <v>3.1349999999999998</v>
      </c>
      <c r="K2017" s="29">
        <v>3.1349999999999998</v>
      </c>
      <c r="L2017" s="29" t="s">
        <v>1032</v>
      </c>
      <c r="M2017" s="29">
        <v>1</v>
      </c>
      <c r="N2017" s="29">
        <v>0.15</v>
      </c>
      <c r="O2017" s="29">
        <v>1</v>
      </c>
      <c r="P2017" s="29">
        <v>3.1349999999999998</v>
      </c>
      <c r="Q2017" s="29" t="s">
        <v>1033</v>
      </c>
    </row>
    <row r="2018" spans="1:17" x14ac:dyDescent="0.3">
      <c r="A2018" s="29" t="s">
        <v>1113</v>
      </c>
      <c r="B2018" s="29" t="s">
        <v>1042</v>
      </c>
    </row>
    <row r="2019" spans="1:17" x14ac:dyDescent="0.3">
      <c r="A2019" s="29" t="s">
        <v>961</v>
      </c>
      <c r="B2019" s="29" t="s">
        <v>1042</v>
      </c>
    </row>
    <row r="2020" spans="1:17" x14ac:dyDescent="0.3">
      <c r="A2020" s="29" t="s">
        <v>962</v>
      </c>
      <c r="B2020" s="29" t="s">
        <v>1042</v>
      </c>
    </row>
    <row r="2021" spans="1:17" x14ac:dyDescent="0.3">
      <c r="A2021" s="29" t="s">
        <v>962</v>
      </c>
      <c r="B2021" s="29" t="s">
        <v>1042</v>
      </c>
    </row>
    <row r="2022" spans="1:17" x14ac:dyDescent="0.3">
      <c r="A2022" s="29" t="s">
        <v>963</v>
      </c>
      <c r="B2022" s="29" t="s">
        <v>1042</v>
      </c>
    </row>
    <row r="2023" spans="1:17" x14ac:dyDescent="0.3">
      <c r="A2023" s="29" t="s">
        <v>964</v>
      </c>
      <c r="B2023" s="29" t="s">
        <v>1042</v>
      </c>
    </row>
    <row r="2024" spans="1:17" x14ac:dyDescent="0.3">
      <c r="A2024" s="29" t="s">
        <v>965</v>
      </c>
      <c r="B2024" s="29" t="s">
        <v>1042</v>
      </c>
    </row>
    <row r="2025" spans="1:17" x14ac:dyDescent="0.3">
      <c r="A2025" s="29" t="s">
        <v>966</v>
      </c>
      <c r="B2025" s="29" t="s">
        <v>1042</v>
      </c>
    </row>
    <row r="2026" spans="1:17" x14ac:dyDescent="0.3">
      <c r="A2026" s="29" t="s">
        <v>967</v>
      </c>
      <c r="B2026" s="29" t="s">
        <v>1042</v>
      </c>
    </row>
    <row r="2027" spans="1:17" x14ac:dyDescent="0.3">
      <c r="A2027" s="29" t="s">
        <v>967</v>
      </c>
      <c r="B2027" s="29" t="s">
        <v>1042</v>
      </c>
    </row>
    <row r="2028" spans="1:17" x14ac:dyDescent="0.3">
      <c r="A2028" s="29" t="s">
        <v>968</v>
      </c>
      <c r="B2028" s="29" t="s">
        <v>1042</v>
      </c>
    </row>
    <row r="2029" spans="1:17" x14ac:dyDescent="0.3">
      <c r="A2029" s="29" t="s">
        <v>969</v>
      </c>
      <c r="B2029" s="29" t="s">
        <v>1042</v>
      </c>
    </row>
    <row r="2030" spans="1:17" x14ac:dyDescent="0.3">
      <c r="A2030" s="29" t="s">
        <v>970</v>
      </c>
      <c r="B2030" s="29" t="s">
        <v>1042</v>
      </c>
    </row>
    <row r="2031" spans="1:17" x14ac:dyDescent="0.3">
      <c r="A2031" s="29" t="s">
        <v>971</v>
      </c>
      <c r="B2031" s="29" t="s">
        <v>1042</v>
      </c>
    </row>
    <row r="2032" spans="1:17" x14ac:dyDescent="0.3">
      <c r="A2032" s="29" t="s">
        <v>972</v>
      </c>
      <c r="B2032" s="29" t="s">
        <v>1042</v>
      </c>
    </row>
    <row r="2033" spans="1:17" x14ac:dyDescent="0.3">
      <c r="A2033" s="29" t="s">
        <v>973</v>
      </c>
      <c r="B2033" s="29" t="s">
        <v>1042</v>
      </c>
    </row>
    <row r="2034" spans="1:17" x14ac:dyDescent="0.3">
      <c r="A2034" s="29" t="s">
        <v>974</v>
      </c>
      <c r="B2034" s="29" t="s">
        <v>1042</v>
      </c>
    </row>
    <row r="2035" spans="1:17" x14ac:dyDescent="0.3">
      <c r="A2035" s="29" t="s">
        <v>975</v>
      </c>
      <c r="B2035" s="29" t="s">
        <v>1042</v>
      </c>
    </row>
    <row r="2036" spans="1:17" x14ac:dyDescent="0.3">
      <c r="A2036" s="29" t="s">
        <v>976</v>
      </c>
      <c r="B2036" s="29">
        <v>1</v>
      </c>
      <c r="C2036" s="29" t="s">
        <v>1089</v>
      </c>
      <c r="D2036" s="29" t="s">
        <v>1099</v>
      </c>
      <c r="E2036" s="29">
        <v>150</v>
      </c>
      <c r="G2036" s="29" t="s">
        <v>1035</v>
      </c>
      <c r="H2036" s="29">
        <v>1</v>
      </c>
      <c r="I2036" s="29">
        <v>20.9</v>
      </c>
      <c r="J2036" s="29">
        <v>3.1349999999999998</v>
      </c>
      <c r="K2036" s="29">
        <v>3.1349999999999998</v>
      </c>
      <c r="L2036" s="29" t="s">
        <v>1032</v>
      </c>
      <c r="M2036" s="29">
        <v>1</v>
      </c>
      <c r="N2036" s="29">
        <v>0.15</v>
      </c>
      <c r="O2036" s="29">
        <v>1</v>
      </c>
      <c r="P2036" s="29">
        <v>3.1349999999999998</v>
      </c>
      <c r="Q2036" s="29" t="s">
        <v>1033</v>
      </c>
    </row>
    <row r="2037" spans="1:17" x14ac:dyDescent="0.3">
      <c r="A2037" s="29" t="s">
        <v>977</v>
      </c>
      <c r="B2037" s="29">
        <v>1</v>
      </c>
      <c r="C2037" s="29" t="s">
        <v>1089</v>
      </c>
      <c r="D2037" s="29" t="s">
        <v>1099</v>
      </c>
      <c r="E2037" s="29">
        <v>150</v>
      </c>
      <c r="G2037" s="29" t="s">
        <v>1035</v>
      </c>
      <c r="H2037" s="29">
        <v>1</v>
      </c>
      <c r="I2037" s="29">
        <v>20.9</v>
      </c>
      <c r="J2037" s="29">
        <v>3.1349999999999998</v>
      </c>
      <c r="K2037" s="29">
        <v>3.1349999999999998</v>
      </c>
      <c r="L2037" s="29" t="s">
        <v>1032</v>
      </c>
      <c r="M2037" s="29">
        <v>1</v>
      </c>
      <c r="N2037" s="29">
        <v>0.15</v>
      </c>
      <c r="O2037" s="29">
        <v>1</v>
      </c>
      <c r="P2037" s="29">
        <v>3.1349999999999998</v>
      </c>
      <c r="Q2037" s="29" t="s">
        <v>1033</v>
      </c>
    </row>
    <row r="2038" spans="1:17" x14ac:dyDescent="0.3">
      <c r="A2038" s="29" t="s">
        <v>978</v>
      </c>
      <c r="B2038" s="29">
        <v>1</v>
      </c>
      <c r="C2038" s="29" t="s">
        <v>1103</v>
      </c>
      <c r="D2038" s="29">
        <v>12</v>
      </c>
      <c r="E2038" s="29">
        <v>320</v>
      </c>
      <c r="F2038" s="29">
        <v>300</v>
      </c>
      <c r="G2038" s="29" t="s">
        <v>1035</v>
      </c>
      <c r="H2038" s="29">
        <v>1</v>
      </c>
      <c r="J2038" s="29">
        <v>9.0431999999999988</v>
      </c>
      <c r="K2038" s="29">
        <v>9.0431999999999988</v>
      </c>
      <c r="L2038" s="29" t="s">
        <v>1036</v>
      </c>
      <c r="M2038" s="29">
        <v>1</v>
      </c>
      <c r="O2038" s="29">
        <v>1</v>
      </c>
      <c r="P2038" s="29">
        <v>9.0431999999999988</v>
      </c>
      <c r="Q2038" s="29" t="s">
        <v>1037</v>
      </c>
    </row>
    <row r="2039" spans="1:17" x14ac:dyDescent="0.3">
      <c r="B2039" s="29">
        <v>2</v>
      </c>
      <c r="C2039" s="29" t="s">
        <v>1104</v>
      </c>
      <c r="D2039" s="29">
        <v>12</v>
      </c>
      <c r="E2039" s="29">
        <v>100</v>
      </c>
      <c r="F2039" s="29">
        <v>300</v>
      </c>
      <c r="G2039" s="29" t="s">
        <v>1035</v>
      </c>
      <c r="H2039" s="29">
        <v>1</v>
      </c>
      <c r="J2039" s="29">
        <v>2.8260000000000001</v>
      </c>
      <c r="K2039" s="29">
        <v>2.8260000000000001</v>
      </c>
      <c r="L2039" s="29" t="s">
        <v>1036</v>
      </c>
      <c r="M2039" s="29">
        <v>1</v>
      </c>
      <c r="O2039" s="29">
        <v>1</v>
      </c>
      <c r="P2039" s="29">
        <v>2.8260000000000001</v>
      </c>
      <c r="Q2039" s="29" t="s">
        <v>1037</v>
      </c>
    </row>
    <row r="2040" spans="1:17" x14ac:dyDescent="0.3">
      <c r="B2040" s="29">
        <v>3</v>
      </c>
      <c r="C2040" s="29" t="s">
        <v>1101</v>
      </c>
      <c r="D2040" s="29">
        <v>12</v>
      </c>
      <c r="E2040" s="29">
        <v>201.6</v>
      </c>
      <c r="F2040" s="29">
        <v>300</v>
      </c>
      <c r="G2040" s="29" t="s">
        <v>1035</v>
      </c>
      <c r="H2040" s="29">
        <v>1</v>
      </c>
      <c r="J2040" s="29">
        <v>5.6972159999999992</v>
      </c>
      <c r="K2040" s="29">
        <v>5.6972159999999992</v>
      </c>
      <c r="L2040" s="29" t="s">
        <v>1036</v>
      </c>
      <c r="M2040" s="29">
        <v>1</v>
      </c>
      <c r="O2040" s="29">
        <v>1</v>
      </c>
      <c r="P2040" s="29">
        <v>5.6972159999999992</v>
      </c>
      <c r="Q2040" s="29" t="s">
        <v>1037</v>
      </c>
    </row>
    <row r="2041" spans="1:17" x14ac:dyDescent="0.3">
      <c r="A2041" s="29" t="s">
        <v>979</v>
      </c>
      <c r="B2041" s="29">
        <v>1</v>
      </c>
      <c r="C2041" s="29" t="s">
        <v>1089</v>
      </c>
      <c r="D2041" s="29" t="s">
        <v>1099</v>
      </c>
      <c r="E2041" s="29">
        <v>150</v>
      </c>
      <c r="G2041" s="29" t="s">
        <v>1035</v>
      </c>
      <c r="H2041" s="29">
        <v>1</v>
      </c>
      <c r="I2041" s="29">
        <v>20.9</v>
      </c>
      <c r="J2041" s="29">
        <v>3.1349999999999998</v>
      </c>
      <c r="K2041" s="29">
        <v>3.1349999999999998</v>
      </c>
      <c r="L2041" s="29" t="s">
        <v>1032</v>
      </c>
      <c r="M2041" s="29">
        <v>1</v>
      </c>
      <c r="N2041" s="29">
        <v>0.15</v>
      </c>
      <c r="O2041" s="29">
        <v>1</v>
      </c>
      <c r="P2041" s="29">
        <v>3.1349999999999998</v>
      </c>
      <c r="Q2041" s="29" t="s">
        <v>1033</v>
      </c>
    </row>
    <row r="2042" spans="1:17" x14ac:dyDescent="0.3">
      <c r="A2042" s="29" t="s">
        <v>979</v>
      </c>
      <c r="B2042" s="29">
        <v>1</v>
      </c>
      <c r="C2042" s="29" t="s">
        <v>1089</v>
      </c>
      <c r="D2042" s="29" t="s">
        <v>1099</v>
      </c>
      <c r="E2042" s="29">
        <v>150</v>
      </c>
      <c r="G2042" s="29" t="s">
        <v>1035</v>
      </c>
      <c r="H2042" s="29">
        <v>1</v>
      </c>
      <c r="I2042" s="29">
        <v>20.9</v>
      </c>
      <c r="J2042" s="29">
        <v>3.1349999999999998</v>
      </c>
      <c r="K2042" s="29">
        <v>3.1349999999999998</v>
      </c>
      <c r="L2042" s="29" t="s">
        <v>1032</v>
      </c>
      <c r="M2042" s="29">
        <v>1</v>
      </c>
      <c r="N2042" s="29">
        <v>0.15</v>
      </c>
      <c r="O2042" s="29">
        <v>1</v>
      </c>
      <c r="P2042" s="29">
        <v>3.1349999999999998</v>
      </c>
      <c r="Q2042" s="29" t="s">
        <v>1033</v>
      </c>
    </row>
    <row r="2043" spans="1:17" x14ac:dyDescent="0.3">
      <c r="A2043" s="29" t="s">
        <v>979</v>
      </c>
      <c r="B2043" s="29">
        <v>1</v>
      </c>
      <c r="C2043" s="29" t="s">
        <v>1089</v>
      </c>
      <c r="D2043" s="29" t="s">
        <v>1099</v>
      </c>
      <c r="E2043" s="29">
        <v>150</v>
      </c>
      <c r="G2043" s="29" t="s">
        <v>1035</v>
      </c>
      <c r="H2043" s="29">
        <v>1</v>
      </c>
      <c r="I2043" s="29">
        <v>20.9</v>
      </c>
      <c r="J2043" s="29">
        <v>3.1349999999999998</v>
      </c>
      <c r="K2043" s="29">
        <v>3.1349999999999998</v>
      </c>
      <c r="L2043" s="29" t="s">
        <v>1032</v>
      </c>
      <c r="M2043" s="29">
        <v>1</v>
      </c>
      <c r="N2043" s="29">
        <v>0.15</v>
      </c>
      <c r="O2043" s="29">
        <v>1</v>
      </c>
      <c r="P2043" s="29">
        <v>3.1349999999999998</v>
      </c>
      <c r="Q2043" s="29" t="s">
        <v>1033</v>
      </c>
    </row>
    <row r="2044" spans="1:17" x14ac:dyDescent="0.3">
      <c r="A2044" s="29" t="s">
        <v>979</v>
      </c>
      <c r="B2044" s="29">
        <v>1</v>
      </c>
      <c r="C2044" s="29" t="s">
        <v>1089</v>
      </c>
      <c r="D2044" s="29" t="s">
        <v>1099</v>
      </c>
      <c r="E2044" s="29">
        <v>150</v>
      </c>
      <c r="G2044" s="29" t="s">
        <v>1035</v>
      </c>
      <c r="H2044" s="29">
        <v>1</v>
      </c>
      <c r="I2044" s="29">
        <v>20.9</v>
      </c>
      <c r="J2044" s="29">
        <v>3.1349999999999998</v>
      </c>
      <c r="K2044" s="29">
        <v>3.1349999999999998</v>
      </c>
      <c r="L2044" s="29" t="s">
        <v>1032</v>
      </c>
      <c r="M2044" s="29">
        <v>1</v>
      </c>
      <c r="N2044" s="29">
        <v>0.15</v>
      </c>
      <c r="O2044" s="29">
        <v>1</v>
      </c>
      <c r="P2044" s="29">
        <v>3.1349999999999998</v>
      </c>
      <c r="Q2044" s="29" t="s">
        <v>1033</v>
      </c>
    </row>
    <row r="2045" spans="1:17" x14ac:dyDescent="0.3">
      <c r="A2045" s="29" t="s">
        <v>980</v>
      </c>
      <c r="B2045" s="29">
        <v>1</v>
      </c>
      <c r="C2045" s="29" t="s">
        <v>1089</v>
      </c>
      <c r="D2045" s="29" t="s">
        <v>1099</v>
      </c>
      <c r="E2045" s="29">
        <v>150</v>
      </c>
      <c r="G2045" s="29" t="s">
        <v>1035</v>
      </c>
      <c r="H2045" s="29">
        <v>1</v>
      </c>
      <c r="I2045" s="29">
        <v>20.9</v>
      </c>
      <c r="J2045" s="29">
        <v>3.1349999999999998</v>
      </c>
      <c r="K2045" s="29">
        <v>3.1349999999999998</v>
      </c>
      <c r="L2045" s="29" t="s">
        <v>1032</v>
      </c>
      <c r="M2045" s="29">
        <v>1</v>
      </c>
      <c r="N2045" s="29">
        <v>0.15</v>
      </c>
      <c r="O2045" s="29">
        <v>1</v>
      </c>
      <c r="P2045" s="29">
        <v>3.1349999999999998</v>
      </c>
      <c r="Q2045" s="29" t="s">
        <v>1033</v>
      </c>
    </row>
    <row r="2046" spans="1:17" x14ac:dyDescent="0.3">
      <c r="A2046" s="29" t="s">
        <v>980</v>
      </c>
      <c r="B2046" s="29">
        <v>1</v>
      </c>
      <c r="C2046" s="29" t="s">
        <v>1089</v>
      </c>
      <c r="D2046" s="29" t="s">
        <v>1099</v>
      </c>
      <c r="E2046" s="29">
        <v>150</v>
      </c>
      <c r="G2046" s="29" t="s">
        <v>1035</v>
      </c>
      <c r="H2046" s="29">
        <v>1</v>
      </c>
      <c r="I2046" s="29">
        <v>20.9</v>
      </c>
      <c r="J2046" s="29">
        <v>3.1349999999999998</v>
      </c>
      <c r="K2046" s="29">
        <v>3.1349999999999998</v>
      </c>
      <c r="L2046" s="29" t="s">
        <v>1032</v>
      </c>
      <c r="M2046" s="29">
        <v>1</v>
      </c>
      <c r="N2046" s="29">
        <v>0.15</v>
      </c>
      <c r="O2046" s="29">
        <v>1</v>
      </c>
      <c r="P2046" s="29">
        <v>3.1349999999999998</v>
      </c>
      <c r="Q2046" s="29" t="s">
        <v>1033</v>
      </c>
    </row>
    <row r="2047" spans="1:17" x14ac:dyDescent="0.3">
      <c r="A2047" s="29" t="s">
        <v>980</v>
      </c>
      <c r="B2047" s="29">
        <v>1</v>
      </c>
      <c r="C2047" s="29" t="s">
        <v>1089</v>
      </c>
      <c r="D2047" s="29" t="s">
        <v>1099</v>
      </c>
      <c r="E2047" s="29">
        <v>150</v>
      </c>
      <c r="G2047" s="29" t="s">
        <v>1035</v>
      </c>
      <c r="H2047" s="29">
        <v>1</v>
      </c>
      <c r="I2047" s="29">
        <v>20.9</v>
      </c>
      <c r="J2047" s="29">
        <v>3.1349999999999998</v>
      </c>
      <c r="K2047" s="29">
        <v>3.1349999999999998</v>
      </c>
      <c r="L2047" s="29" t="s">
        <v>1032</v>
      </c>
      <c r="M2047" s="29">
        <v>1</v>
      </c>
      <c r="N2047" s="29">
        <v>0.15</v>
      </c>
      <c r="O2047" s="29">
        <v>1</v>
      </c>
      <c r="P2047" s="29">
        <v>3.1349999999999998</v>
      </c>
      <c r="Q2047" s="29" t="s">
        <v>1033</v>
      </c>
    </row>
    <row r="2048" spans="1:17" x14ac:dyDescent="0.3">
      <c r="A2048" s="29" t="s">
        <v>981</v>
      </c>
      <c r="B2048" s="29">
        <v>1</v>
      </c>
      <c r="C2048" s="29" t="s">
        <v>1089</v>
      </c>
      <c r="D2048" s="29" t="s">
        <v>1099</v>
      </c>
      <c r="E2048" s="29">
        <v>150</v>
      </c>
      <c r="G2048" s="29" t="s">
        <v>1035</v>
      </c>
      <c r="H2048" s="29">
        <v>1</v>
      </c>
      <c r="I2048" s="29">
        <v>20.9</v>
      </c>
      <c r="J2048" s="29">
        <v>3.1349999999999998</v>
      </c>
      <c r="K2048" s="29">
        <v>3.1349999999999998</v>
      </c>
      <c r="L2048" s="29" t="s">
        <v>1032</v>
      </c>
      <c r="M2048" s="29">
        <v>1</v>
      </c>
      <c r="N2048" s="29">
        <v>0.15</v>
      </c>
      <c r="O2048" s="29">
        <v>1</v>
      </c>
      <c r="P2048" s="29">
        <v>3.1349999999999998</v>
      </c>
      <c r="Q2048" s="29" t="s">
        <v>1033</v>
      </c>
    </row>
    <row r="2049" spans="1:17" x14ac:dyDescent="0.3">
      <c r="A2049" s="29" t="s">
        <v>982</v>
      </c>
      <c r="B2049" s="29">
        <v>1</v>
      </c>
      <c r="C2049" s="29" t="s">
        <v>1089</v>
      </c>
      <c r="D2049" s="29" t="s">
        <v>1099</v>
      </c>
      <c r="E2049" s="29">
        <v>250</v>
      </c>
      <c r="G2049" s="29" t="s">
        <v>1035</v>
      </c>
      <c r="H2049" s="29">
        <v>1</v>
      </c>
      <c r="I2049" s="29">
        <v>20.9</v>
      </c>
      <c r="J2049" s="29">
        <v>5.2249999999999996</v>
      </c>
      <c r="K2049" s="29">
        <v>5.2249999999999996</v>
      </c>
      <c r="L2049" s="29" t="s">
        <v>1032</v>
      </c>
      <c r="M2049" s="29">
        <v>1</v>
      </c>
      <c r="N2049" s="29">
        <v>0.25</v>
      </c>
      <c r="O2049" s="29">
        <v>1</v>
      </c>
      <c r="P2049" s="29">
        <v>5.2249999999999996</v>
      </c>
      <c r="Q2049" s="29" t="s">
        <v>1033</v>
      </c>
    </row>
    <row r="2050" spans="1:17" x14ac:dyDescent="0.3">
      <c r="A2050" s="29" t="s">
        <v>982</v>
      </c>
      <c r="B2050" s="29">
        <v>1</v>
      </c>
      <c r="C2050" s="29" t="s">
        <v>1089</v>
      </c>
      <c r="D2050" s="29" t="s">
        <v>1099</v>
      </c>
      <c r="E2050" s="29">
        <v>250</v>
      </c>
      <c r="G2050" s="29" t="s">
        <v>1035</v>
      </c>
      <c r="H2050" s="29">
        <v>1</v>
      </c>
      <c r="I2050" s="29">
        <v>20.9</v>
      </c>
      <c r="J2050" s="29">
        <v>5.2249999999999996</v>
      </c>
      <c r="K2050" s="29">
        <v>5.2249999999999996</v>
      </c>
      <c r="L2050" s="29" t="s">
        <v>1032</v>
      </c>
      <c r="M2050" s="29">
        <v>1</v>
      </c>
      <c r="N2050" s="29">
        <v>0.25</v>
      </c>
      <c r="O2050" s="29">
        <v>1</v>
      </c>
      <c r="P2050" s="29">
        <v>5.2249999999999996</v>
      </c>
      <c r="Q2050" s="29" t="s">
        <v>1033</v>
      </c>
    </row>
    <row r="2051" spans="1:17" x14ac:dyDescent="0.3">
      <c r="A2051" s="29" t="s">
        <v>983</v>
      </c>
      <c r="B2051" s="29">
        <v>1</v>
      </c>
      <c r="C2051" s="29" t="s">
        <v>1089</v>
      </c>
      <c r="D2051" s="29" t="s">
        <v>1099</v>
      </c>
      <c r="E2051" s="29">
        <v>250</v>
      </c>
      <c r="G2051" s="29" t="s">
        <v>1031</v>
      </c>
      <c r="H2051" s="29">
        <v>1</v>
      </c>
      <c r="I2051" s="29">
        <v>20.9</v>
      </c>
      <c r="J2051" s="29">
        <v>5.2249999999999996</v>
      </c>
      <c r="K2051" s="29">
        <v>5.2249999999999996</v>
      </c>
      <c r="L2051" s="29" t="s">
        <v>1032</v>
      </c>
      <c r="M2051" s="29">
        <v>1</v>
      </c>
      <c r="N2051" s="29">
        <v>0.25</v>
      </c>
      <c r="O2051" s="29">
        <v>1</v>
      </c>
      <c r="P2051" s="29">
        <v>5.2249999999999996</v>
      </c>
      <c r="Q2051" s="29" t="s">
        <v>1033</v>
      </c>
    </row>
    <row r="2052" spans="1:17" x14ac:dyDescent="0.3">
      <c r="A2052" s="29" t="s">
        <v>984</v>
      </c>
      <c r="B2052" s="29">
        <v>1</v>
      </c>
      <c r="C2052" s="29" t="s">
        <v>1089</v>
      </c>
      <c r="D2052" s="29" t="s">
        <v>1099</v>
      </c>
      <c r="E2052" s="29">
        <v>250</v>
      </c>
      <c r="G2052" s="29" t="s">
        <v>1035</v>
      </c>
      <c r="H2052" s="29">
        <v>1</v>
      </c>
      <c r="I2052" s="29">
        <v>20.9</v>
      </c>
      <c r="J2052" s="29">
        <v>5.2249999999999996</v>
      </c>
      <c r="K2052" s="29">
        <v>5.2249999999999996</v>
      </c>
      <c r="L2052" s="29" t="s">
        <v>1032</v>
      </c>
      <c r="M2052" s="29">
        <v>1</v>
      </c>
      <c r="N2052" s="29">
        <v>0.25</v>
      </c>
      <c r="O2052" s="29">
        <v>1</v>
      </c>
      <c r="P2052" s="29">
        <v>5.2249999999999996</v>
      </c>
      <c r="Q2052" s="29" t="s">
        <v>1033</v>
      </c>
    </row>
    <row r="2053" spans="1:17" x14ac:dyDescent="0.3">
      <c r="A2053" s="29" t="s">
        <v>984</v>
      </c>
      <c r="B2053" s="29">
        <v>1</v>
      </c>
      <c r="C2053" s="29" t="s">
        <v>1089</v>
      </c>
      <c r="D2053" s="29" t="s">
        <v>1099</v>
      </c>
      <c r="E2053" s="29">
        <v>250</v>
      </c>
      <c r="G2053" s="29" t="s">
        <v>1035</v>
      </c>
      <c r="H2053" s="29">
        <v>1</v>
      </c>
      <c r="I2053" s="29">
        <v>20.9</v>
      </c>
      <c r="J2053" s="29">
        <v>5.2249999999999996</v>
      </c>
      <c r="K2053" s="29">
        <v>5.2249999999999996</v>
      </c>
      <c r="L2053" s="29" t="s">
        <v>1032</v>
      </c>
      <c r="M2053" s="29">
        <v>1</v>
      </c>
      <c r="N2053" s="29">
        <v>0.25</v>
      </c>
      <c r="O2053" s="29">
        <v>1</v>
      </c>
      <c r="P2053" s="29">
        <v>5.2249999999999996</v>
      </c>
      <c r="Q2053" s="29" t="s">
        <v>1033</v>
      </c>
    </row>
    <row r="2054" spans="1:17" x14ac:dyDescent="0.3">
      <c r="A2054" s="29" t="s">
        <v>985</v>
      </c>
      <c r="B2054" s="29">
        <v>1</v>
      </c>
      <c r="C2054" s="29" t="s">
        <v>1089</v>
      </c>
      <c r="D2054" s="29" t="s">
        <v>1099</v>
      </c>
      <c r="E2054" s="29">
        <v>250</v>
      </c>
      <c r="G2054" s="29" t="s">
        <v>1031</v>
      </c>
      <c r="H2054" s="29">
        <v>1</v>
      </c>
      <c r="I2054" s="29">
        <v>20.9</v>
      </c>
      <c r="J2054" s="29">
        <v>5.2249999999999996</v>
      </c>
      <c r="K2054" s="29">
        <v>5.2249999999999996</v>
      </c>
      <c r="L2054" s="29" t="s">
        <v>1032</v>
      </c>
      <c r="M2054" s="29">
        <v>1</v>
      </c>
      <c r="N2054" s="29">
        <v>0.25</v>
      </c>
      <c r="O2054" s="29">
        <v>1</v>
      </c>
      <c r="P2054" s="29">
        <v>5.2249999999999996</v>
      </c>
      <c r="Q2054" s="29" t="s">
        <v>1033</v>
      </c>
    </row>
    <row r="2055" spans="1:17" x14ac:dyDescent="0.3">
      <c r="A2055" s="29" t="s">
        <v>986</v>
      </c>
      <c r="B2055" s="29">
        <v>1</v>
      </c>
      <c r="C2055" s="29" t="s">
        <v>1089</v>
      </c>
      <c r="D2055" s="29" t="s">
        <v>1099</v>
      </c>
      <c r="E2055" s="29">
        <v>250</v>
      </c>
      <c r="G2055" s="29" t="s">
        <v>1035</v>
      </c>
      <c r="H2055" s="29">
        <v>1</v>
      </c>
      <c r="I2055" s="29">
        <v>20.9</v>
      </c>
      <c r="J2055" s="29">
        <v>5.2249999999999996</v>
      </c>
      <c r="K2055" s="29">
        <v>5.2249999999999996</v>
      </c>
      <c r="L2055" s="29" t="s">
        <v>1032</v>
      </c>
      <c r="M2055" s="29">
        <v>1</v>
      </c>
      <c r="N2055" s="29">
        <v>0.25</v>
      </c>
      <c r="O2055" s="29">
        <v>1</v>
      </c>
      <c r="P2055" s="29">
        <v>5.2249999999999996</v>
      </c>
      <c r="Q2055" s="29" t="s">
        <v>1033</v>
      </c>
    </row>
    <row r="2056" spans="1:17" x14ac:dyDescent="0.3">
      <c r="A2056" s="29" t="s">
        <v>986</v>
      </c>
      <c r="B2056" s="29">
        <v>1</v>
      </c>
      <c r="C2056" s="29" t="s">
        <v>1089</v>
      </c>
      <c r="D2056" s="29" t="s">
        <v>1099</v>
      </c>
      <c r="E2056" s="29">
        <v>250</v>
      </c>
      <c r="G2056" s="29" t="s">
        <v>1035</v>
      </c>
      <c r="H2056" s="29">
        <v>1</v>
      </c>
      <c r="I2056" s="29">
        <v>20.9</v>
      </c>
      <c r="J2056" s="29">
        <v>5.2249999999999996</v>
      </c>
      <c r="K2056" s="29">
        <v>5.2249999999999996</v>
      </c>
      <c r="L2056" s="29" t="s">
        <v>1032</v>
      </c>
      <c r="M2056" s="29">
        <v>1</v>
      </c>
      <c r="N2056" s="29">
        <v>0.25</v>
      </c>
      <c r="O2056" s="29">
        <v>1</v>
      </c>
      <c r="P2056" s="29">
        <v>5.2249999999999996</v>
      </c>
      <c r="Q2056" s="29" t="s">
        <v>1033</v>
      </c>
    </row>
    <row r="2057" spans="1:17" x14ac:dyDescent="0.3">
      <c r="A2057" s="29" t="s">
        <v>986</v>
      </c>
      <c r="B2057" s="29">
        <v>1</v>
      </c>
      <c r="C2057" s="29" t="s">
        <v>1089</v>
      </c>
      <c r="D2057" s="29" t="s">
        <v>1099</v>
      </c>
      <c r="E2057" s="29">
        <v>250</v>
      </c>
      <c r="G2057" s="29" t="s">
        <v>1035</v>
      </c>
      <c r="H2057" s="29">
        <v>1</v>
      </c>
      <c r="I2057" s="29">
        <v>20.9</v>
      </c>
      <c r="J2057" s="29">
        <v>5.2249999999999996</v>
      </c>
      <c r="K2057" s="29">
        <v>5.2249999999999996</v>
      </c>
      <c r="L2057" s="29" t="s">
        <v>1032</v>
      </c>
      <c r="M2057" s="29">
        <v>1</v>
      </c>
      <c r="N2057" s="29">
        <v>0.25</v>
      </c>
      <c r="O2057" s="29">
        <v>1</v>
      </c>
      <c r="P2057" s="29">
        <v>5.2249999999999996</v>
      </c>
      <c r="Q2057" s="29" t="s">
        <v>1033</v>
      </c>
    </row>
    <row r="2058" spans="1:17" x14ac:dyDescent="0.3">
      <c r="A2058" s="29" t="s">
        <v>987</v>
      </c>
      <c r="B2058" s="29">
        <v>1</v>
      </c>
      <c r="C2058" s="29" t="s">
        <v>1089</v>
      </c>
      <c r="D2058" s="29" t="s">
        <v>1099</v>
      </c>
      <c r="E2058" s="29">
        <v>250</v>
      </c>
      <c r="G2058" s="29" t="s">
        <v>1031</v>
      </c>
      <c r="H2058" s="29">
        <v>1</v>
      </c>
      <c r="I2058" s="29">
        <v>20.9</v>
      </c>
      <c r="J2058" s="29">
        <v>5.2249999999999996</v>
      </c>
      <c r="K2058" s="29">
        <v>5.2249999999999996</v>
      </c>
      <c r="L2058" s="29" t="s">
        <v>1032</v>
      </c>
      <c r="M2058" s="29">
        <v>1</v>
      </c>
      <c r="N2058" s="29">
        <v>0.25</v>
      </c>
      <c r="O2058" s="29">
        <v>1</v>
      </c>
      <c r="P2058" s="29">
        <v>5.2249999999999996</v>
      </c>
      <c r="Q2058" s="29" t="s">
        <v>1033</v>
      </c>
    </row>
    <row r="2059" spans="1:17" x14ac:dyDescent="0.3">
      <c r="A2059" s="29" t="s">
        <v>988</v>
      </c>
      <c r="B2059" s="29">
        <v>1</v>
      </c>
      <c r="C2059" s="29" t="s">
        <v>1089</v>
      </c>
      <c r="D2059" s="29" t="s">
        <v>1099</v>
      </c>
      <c r="E2059" s="29">
        <v>250</v>
      </c>
      <c r="G2059" s="29" t="s">
        <v>1031</v>
      </c>
      <c r="H2059" s="29">
        <v>1</v>
      </c>
      <c r="I2059" s="29">
        <v>20.9</v>
      </c>
      <c r="J2059" s="29">
        <v>5.2249999999999996</v>
      </c>
      <c r="K2059" s="29">
        <v>5.2249999999999996</v>
      </c>
      <c r="L2059" s="29" t="s">
        <v>1032</v>
      </c>
      <c r="M2059" s="29">
        <v>1</v>
      </c>
      <c r="N2059" s="29">
        <v>0.25</v>
      </c>
      <c r="O2059" s="29">
        <v>1</v>
      </c>
      <c r="P2059" s="29">
        <v>5.2249999999999996</v>
      </c>
      <c r="Q2059" s="29" t="s">
        <v>1033</v>
      </c>
    </row>
    <row r="2060" spans="1:17" x14ac:dyDescent="0.3">
      <c r="A2060" s="29" t="s">
        <v>989</v>
      </c>
      <c r="B2060" s="29">
        <v>1</v>
      </c>
      <c r="C2060" s="29" t="s">
        <v>1089</v>
      </c>
      <c r="D2060" s="29" t="s">
        <v>1099</v>
      </c>
      <c r="E2060" s="29">
        <v>250</v>
      </c>
      <c r="G2060" s="29" t="s">
        <v>1035</v>
      </c>
      <c r="H2060" s="29">
        <v>1</v>
      </c>
      <c r="I2060" s="29">
        <v>20.9</v>
      </c>
      <c r="J2060" s="29">
        <v>5.2249999999999996</v>
      </c>
      <c r="K2060" s="29">
        <v>5.2249999999999996</v>
      </c>
      <c r="L2060" s="29" t="s">
        <v>1032</v>
      </c>
      <c r="M2060" s="29">
        <v>1</v>
      </c>
      <c r="N2060" s="29">
        <v>0.25</v>
      </c>
      <c r="O2060" s="29">
        <v>1</v>
      </c>
      <c r="P2060" s="29">
        <v>5.2249999999999996</v>
      </c>
      <c r="Q2060" s="29" t="s">
        <v>1033</v>
      </c>
    </row>
    <row r="2061" spans="1:17" x14ac:dyDescent="0.3">
      <c r="B2061" s="29">
        <v>2</v>
      </c>
      <c r="C2061" s="29" t="s">
        <v>1114</v>
      </c>
      <c r="D2061" s="29">
        <v>1.5</v>
      </c>
      <c r="E2061" s="29">
        <v>50</v>
      </c>
      <c r="F2061" s="29">
        <v>529</v>
      </c>
      <c r="G2061" s="29" t="s">
        <v>1035</v>
      </c>
      <c r="H2061" s="29">
        <v>1</v>
      </c>
      <c r="J2061" s="29">
        <v>0.31144875</v>
      </c>
      <c r="K2061" s="29">
        <v>0.31144875</v>
      </c>
      <c r="L2061" s="29" t="s">
        <v>1036</v>
      </c>
      <c r="M2061" s="29">
        <v>1</v>
      </c>
      <c r="O2061" s="29">
        <v>1</v>
      </c>
      <c r="P2061" s="29">
        <v>0.31144875</v>
      </c>
      <c r="Q2061" s="29" t="s">
        <v>1037</v>
      </c>
    </row>
    <row r="2062" spans="1:17" x14ac:dyDescent="0.3">
      <c r="A2062" s="29" t="s">
        <v>989</v>
      </c>
      <c r="B2062" s="29">
        <v>1</v>
      </c>
      <c r="C2062" s="29" t="s">
        <v>1089</v>
      </c>
      <c r="D2062" s="29" t="s">
        <v>1099</v>
      </c>
      <c r="E2062" s="29">
        <v>250</v>
      </c>
      <c r="G2062" s="29" t="s">
        <v>1035</v>
      </c>
      <c r="H2062" s="29">
        <v>1</v>
      </c>
      <c r="I2062" s="29">
        <v>20.9</v>
      </c>
      <c r="J2062" s="29">
        <v>5.2249999999999996</v>
      </c>
      <c r="K2062" s="29">
        <v>5.2249999999999996</v>
      </c>
      <c r="L2062" s="29" t="s">
        <v>1032</v>
      </c>
      <c r="M2062" s="29">
        <v>1</v>
      </c>
      <c r="N2062" s="29">
        <v>0.25</v>
      </c>
      <c r="O2062" s="29">
        <v>1</v>
      </c>
      <c r="P2062" s="29">
        <v>5.2249999999999996</v>
      </c>
      <c r="Q2062" s="29" t="s">
        <v>1033</v>
      </c>
    </row>
    <row r="2063" spans="1:17" x14ac:dyDescent="0.3">
      <c r="B2063" s="29">
        <v>2</v>
      </c>
      <c r="C2063" s="29" t="s">
        <v>1114</v>
      </c>
      <c r="D2063" s="29">
        <v>1.5</v>
      </c>
      <c r="E2063" s="29">
        <v>50</v>
      </c>
      <c r="F2063" s="29">
        <v>529</v>
      </c>
      <c r="G2063" s="29" t="s">
        <v>1035</v>
      </c>
      <c r="H2063" s="29">
        <v>1</v>
      </c>
      <c r="J2063" s="29">
        <v>0.31144875</v>
      </c>
      <c r="K2063" s="29">
        <v>0.31144875</v>
      </c>
      <c r="L2063" s="29" t="s">
        <v>1036</v>
      </c>
      <c r="M2063" s="29">
        <v>1</v>
      </c>
      <c r="O2063" s="29">
        <v>1</v>
      </c>
      <c r="P2063" s="29">
        <v>0.31144875</v>
      </c>
      <c r="Q2063" s="29" t="s">
        <v>1037</v>
      </c>
    </row>
    <row r="2064" spans="1:17" x14ac:dyDescent="0.3">
      <c r="A2064" s="29" t="s">
        <v>990</v>
      </c>
      <c r="B2064" s="29">
        <v>1</v>
      </c>
      <c r="C2064" s="29" t="s">
        <v>1030</v>
      </c>
      <c r="D2064" s="29" t="s">
        <v>1115</v>
      </c>
      <c r="E2064" s="29">
        <v>700</v>
      </c>
      <c r="G2064" s="29" t="s">
        <v>1034</v>
      </c>
      <c r="H2064" s="29">
        <v>1</v>
      </c>
      <c r="I2064" s="29">
        <v>16.079999999999998</v>
      </c>
      <c r="J2064" s="29">
        <v>11.255999999999998</v>
      </c>
      <c r="K2064" s="29">
        <v>11.255999999999998</v>
      </c>
      <c r="L2064" s="29" t="s">
        <v>1032</v>
      </c>
      <c r="M2064" s="29">
        <v>1</v>
      </c>
      <c r="N2064" s="29">
        <v>0.7</v>
      </c>
      <c r="P2064" s="29">
        <v>11.255999999999998</v>
      </c>
      <c r="Q2064" s="29" t="s">
        <v>1033</v>
      </c>
    </row>
    <row r="2065" spans="1:18" x14ac:dyDescent="0.3">
      <c r="B2065" s="29">
        <v>2</v>
      </c>
      <c r="C2065" s="29" t="s">
        <v>1041</v>
      </c>
      <c r="D2065" s="29">
        <v>9</v>
      </c>
      <c r="E2065" s="29">
        <v>260</v>
      </c>
      <c r="F2065" s="29">
        <v>260</v>
      </c>
      <c r="G2065" s="29" t="s">
        <v>1035</v>
      </c>
      <c r="H2065" s="29">
        <v>1</v>
      </c>
      <c r="J2065" s="29">
        <v>4.7759399999999994</v>
      </c>
      <c r="K2065" s="29">
        <v>4.7759399999999994</v>
      </c>
      <c r="L2065" s="29" t="s">
        <v>1036</v>
      </c>
      <c r="M2065" s="29">
        <v>1</v>
      </c>
      <c r="O2065" s="29">
        <v>1</v>
      </c>
      <c r="P2065" s="29">
        <v>4.7759399999999994</v>
      </c>
      <c r="Q2065" s="29" t="s">
        <v>1037</v>
      </c>
      <c r="R2065" t="s">
        <v>1128</v>
      </c>
    </row>
    <row r="2066" spans="1:18" x14ac:dyDescent="0.3">
      <c r="B2066" s="29">
        <v>3</v>
      </c>
      <c r="C2066" s="29" t="s">
        <v>1038</v>
      </c>
      <c r="D2066" s="30" t="s">
        <v>287</v>
      </c>
      <c r="G2066" s="29" t="s">
        <v>1031</v>
      </c>
      <c r="H2066" s="29">
        <v>4</v>
      </c>
      <c r="J2066" s="29">
        <v>1</v>
      </c>
      <c r="K2066" s="29">
        <v>4</v>
      </c>
      <c r="L2066" s="29" t="s">
        <v>1039</v>
      </c>
      <c r="M2066" s="29">
        <v>1</v>
      </c>
      <c r="O2066" s="29">
        <v>4</v>
      </c>
      <c r="P2066" s="29">
        <v>4</v>
      </c>
      <c r="Q2066" s="29" t="s">
        <v>1040</v>
      </c>
    </row>
    <row r="2067" spans="1:18" x14ac:dyDescent="0.3">
      <c r="B2067" s="29">
        <v>4</v>
      </c>
      <c r="C2067" s="29" t="s">
        <v>1116</v>
      </c>
      <c r="D2067" s="29">
        <v>9</v>
      </c>
      <c r="E2067" s="29">
        <v>290</v>
      </c>
      <c r="F2067" s="29">
        <v>290</v>
      </c>
      <c r="G2067" s="29" t="s">
        <v>1035</v>
      </c>
      <c r="H2067" s="29">
        <v>1</v>
      </c>
      <c r="J2067" s="29">
        <v>5.9416649999999995</v>
      </c>
      <c r="K2067" s="29">
        <v>5.9416649999999995</v>
      </c>
      <c r="L2067" s="29" t="s">
        <v>1036</v>
      </c>
      <c r="M2067" s="29">
        <v>1</v>
      </c>
      <c r="O2067" s="29">
        <v>1</v>
      </c>
      <c r="P2067" s="29">
        <v>5.9416649999999995</v>
      </c>
      <c r="Q2067" s="29" t="s">
        <v>1037</v>
      </c>
    </row>
    <row r="2068" spans="1:18" x14ac:dyDescent="0.3">
      <c r="B2068" s="29">
        <v>5</v>
      </c>
      <c r="C2068" s="29" t="s">
        <v>1117</v>
      </c>
      <c r="D2068" s="29">
        <v>9</v>
      </c>
      <c r="E2068" s="29">
        <v>150</v>
      </c>
      <c r="F2068" s="29">
        <v>150</v>
      </c>
      <c r="G2068" s="29" t="s">
        <v>1035</v>
      </c>
      <c r="H2068" s="29">
        <v>1</v>
      </c>
      <c r="J2068" s="29">
        <v>1.5896249999999998</v>
      </c>
      <c r="K2068" s="29">
        <v>1.5896249999999998</v>
      </c>
      <c r="L2068" s="29" t="s">
        <v>1036</v>
      </c>
      <c r="M2068" s="29">
        <v>1</v>
      </c>
      <c r="O2068" s="29">
        <v>1</v>
      </c>
      <c r="P2068" s="29">
        <v>1.5896249999999998</v>
      </c>
      <c r="Q2068" s="29" t="s">
        <v>1037</v>
      </c>
    </row>
    <row r="2069" spans="1:18" x14ac:dyDescent="0.3">
      <c r="B2069" s="29">
        <v>6</v>
      </c>
      <c r="C2069" s="29" t="s">
        <v>1068</v>
      </c>
      <c r="D2069" s="29" t="s">
        <v>1118</v>
      </c>
      <c r="G2069" s="29" t="s">
        <v>1070</v>
      </c>
      <c r="H2069" s="29">
        <v>1</v>
      </c>
      <c r="J2069" s="29">
        <v>20</v>
      </c>
      <c r="K2069" s="29">
        <v>20</v>
      </c>
      <c r="L2069" s="29" t="s">
        <v>1039</v>
      </c>
      <c r="M2069" s="29">
        <v>1</v>
      </c>
      <c r="O2069" s="29">
        <v>1</v>
      </c>
      <c r="P2069" s="29">
        <v>20</v>
      </c>
      <c r="Q2069" s="29" t="s">
        <v>1040</v>
      </c>
    </row>
    <row r="2070" spans="1:18" x14ac:dyDescent="0.3">
      <c r="B2070" s="29">
        <v>7</v>
      </c>
      <c r="C2070" s="29" t="s">
        <v>1119</v>
      </c>
      <c r="D2070" s="29" t="s">
        <v>1120</v>
      </c>
      <c r="G2070" s="29" t="s">
        <v>1121</v>
      </c>
      <c r="H2070" s="29">
        <v>1</v>
      </c>
      <c r="J2070" s="29">
        <v>5</v>
      </c>
      <c r="K2070" s="29">
        <v>5</v>
      </c>
      <c r="L2070" s="29" t="s">
        <v>1039</v>
      </c>
      <c r="M2070" s="29">
        <v>1</v>
      </c>
      <c r="O2070" s="29">
        <v>1</v>
      </c>
      <c r="P2070" s="29">
        <v>5</v>
      </c>
      <c r="Q2070" s="29" t="s">
        <v>1040</v>
      </c>
    </row>
    <row r="2071" spans="1:18" x14ac:dyDescent="0.3">
      <c r="B2071" s="29">
        <v>8</v>
      </c>
      <c r="C2071" s="29" t="s">
        <v>1122</v>
      </c>
      <c r="D2071" s="29" t="s">
        <v>1120</v>
      </c>
      <c r="G2071" s="29" t="s">
        <v>1121</v>
      </c>
      <c r="H2071" s="29">
        <v>1</v>
      </c>
      <c r="J2071" s="29">
        <v>5</v>
      </c>
      <c r="K2071" s="29">
        <v>5</v>
      </c>
      <c r="L2071" s="29" t="s">
        <v>1039</v>
      </c>
      <c r="M2071" s="29">
        <v>1</v>
      </c>
      <c r="O2071" s="29">
        <v>1</v>
      </c>
      <c r="P2071" s="29">
        <v>5</v>
      </c>
      <c r="Q2071" s="29" t="s">
        <v>1040</v>
      </c>
    </row>
    <row r="2072" spans="1:18" x14ac:dyDescent="0.3">
      <c r="A2072" s="29" t="s">
        <v>991</v>
      </c>
      <c r="B2072" s="29">
        <v>1</v>
      </c>
      <c r="C2072" s="29" t="s">
        <v>1030</v>
      </c>
      <c r="D2072" s="29" t="s">
        <v>1123</v>
      </c>
      <c r="E2072" s="29">
        <v>600</v>
      </c>
      <c r="G2072" s="29" t="s">
        <v>1034</v>
      </c>
      <c r="H2072" s="29">
        <v>1</v>
      </c>
      <c r="I2072" s="29">
        <v>11.29</v>
      </c>
      <c r="J2072" s="29">
        <v>6.7739999999999991</v>
      </c>
      <c r="K2072" s="29">
        <v>6.7739999999999991</v>
      </c>
      <c r="L2072" s="29" t="s">
        <v>1032</v>
      </c>
      <c r="M2072" s="29">
        <v>1</v>
      </c>
      <c r="N2072" s="29">
        <v>0.6</v>
      </c>
      <c r="P2072" s="29">
        <v>6.7739999999999991</v>
      </c>
      <c r="Q2072" s="29" t="s">
        <v>1033</v>
      </c>
    </row>
    <row r="2073" spans="1:18" x14ac:dyDescent="0.3">
      <c r="B2073" s="29">
        <v>2</v>
      </c>
      <c r="C2073" s="29" t="s">
        <v>1041</v>
      </c>
      <c r="D2073" s="29">
        <v>9</v>
      </c>
      <c r="E2073" s="29">
        <v>180</v>
      </c>
      <c r="F2073" s="29">
        <v>180</v>
      </c>
      <c r="G2073" s="29" t="s">
        <v>1035</v>
      </c>
      <c r="H2073" s="29">
        <v>1</v>
      </c>
      <c r="J2073" s="29">
        <v>2.2890600000000001</v>
      </c>
      <c r="K2073" s="29">
        <v>2.2890600000000001</v>
      </c>
      <c r="L2073" s="29" t="s">
        <v>1036</v>
      </c>
      <c r="M2073" s="29">
        <v>1</v>
      </c>
      <c r="O2073" s="29">
        <v>1</v>
      </c>
      <c r="P2073" s="29">
        <v>2.2890600000000001</v>
      </c>
      <c r="Q2073" s="29" t="s">
        <v>1037</v>
      </c>
      <c r="R2073" t="s">
        <v>1130</v>
      </c>
    </row>
    <row r="2074" spans="1:18" x14ac:dyDescent="0.3">
      <c r="B2074" s="29">
        <v>3</v>
      </c>
      <c r="C2074" s="29" t="s">
        <v>1038</v>
      </c>
      <c r="D2074" s="30" t="s">
        <v>287</v>
      </c>
      <c r="G2074" s="29" t="s">
        <v>1031</v>
      </c>
      <c r="H2074" s="29">
        <v>4</v>
      </c>
      <c r="J2074" s="29">
        <v>1</v>
      </c>
      <c r="K2074" s="29">
        <v>4</v>
      </c>
      <c r="L2074" s="29" t="s">
        <v>1039</v>
      </c>
      <c r="M2074" s="29">
        <v>1</v>
      </c>
      <c r="O2074" s="29">
        <v>4</v>
      </c>
      <c r="P2074" s="29">
        <v>4</v>
      </c>
      <c r="Q2074" s="29" t="s">
        <v>1040</v>
      </c>
    </row>
    <row r="2075" spans="1:18" x14ac:dyDescent="0.3">
      <c r="B2075" s="29">
        <v>4</v>
      </c>
      <c r="C2075" s="29" t="s">
        <v>1116</v>
      </c>
      <c r="D2075" s="29">
        <v>9</v>
      </c>
      <c r="E2075" s="29">
        <v>210</v>
      </c>
      <c r="F2075" s="29">
        <v>210</v>
      </c>
      <c r="G2075" s="29" t="s">
        <v>1035</v>
      </c>
      <c r="H2075" s="29">
        <v>1</v>
      </c>
      <c r="J2075" s="29">
        <v>3.1156649999999999</v>
      </c>
      <c r="K2075" s="29">
        <v>3.1156649999999999</v>
      </c>
      <c r="L2075" s="29" t="s">
        <v>1036</v>
      </c>
      <c r="M2075" s="29">
        <v>1</v>
      </c>
      <c r="O2075" s="29">
        <v>1</v>
      </c>
      <c r="P2075" s="29">
        <v>3.1156649999999999</v>
      </c>
      <c r="Q2075" s="29" t="s">
        <v>1037</v>
      </c>
    </row>
    <row r="2076" spans="1:18" x14ac:dyDescent="0.3">
      <c r="B2076" s="29">
        <v>5</v>
      </c>
      <c r="C2076" s="29" t="s">
        <v>1117</v>
      </c>
      <c r="D2076" s="29">
        <v>9</v>
      </c>
      <c r="E2076" s="29">
        <v>120</v>
      </c>
      <c r="F2076" s="29">
        <v>120</v>
      </c>
      <c r="G2076" s="29" t="s">
        <v>1035</v>
      </c>
      <c r="H2076" s="29">
        <v>1</v>
      </c>
      <c r="J2076" s="29">
        <v>1.01736</v>
      </c>
      <c r="K2076" s="29">
        <v>1.01736</v>
      </c>
      <c r="L2076" s="29" t="s">
        <v>1036</v>
      </c>
      <c r="M2076" s="29">
        <v>1</v>
      </c>
      <c r="O2076" s="29">
        <v>1</v>
      </c>
      <c r="P2076" s="29">
        <v>1.01736</v>
      </c>
      <c r="Q2076" s="29" t="s">
        <v>1037</v>
      </c>
    </row>
    <row r="2077" spans="1:18" x14ac:dyDescent="0.3">
      <c r="B2077" s="29">
        <v>6</v>
      </c>
      <c r="C2077" s="29" t="s">
        <v>1068</v>
      </c>
      <c r="D2077" s="29" t="s">
        <v>1124</v>
      </c>
      <c r="G2077" s="29" t="s">
        <v>1070</v>
      </c>
      <c r="H2077" s="29">
        <v>1</v>
      </c>
      <c r="J2077" s="29">
        <v>20</v>
      </c>
      <c r="K2077" s="29">
        <v>20</v>
      </c>
      <c r="L2077" s="29" t="s">
        <v>1039</v>
      </c>
      <c r="M2077" s="29">
        <v>1</v>
      </c>
      <c r="O2077" s="29">
        <v>1</v>
      </c>
      <c r="P2077" s="29">
        <v>20</v>
      </c>
      <c r="Q2077" s="29" t="s">
        <v>1040</v>
      </c>
    </row>
    <row r="2078" spans="1:18" x14ac:dyDescent="0.3">
      <c r="B2078" s="29">
        <v>7</v>
      </c>
      <c r="C2078" s="29" t="s">
        <v>1119</v>
      </c>
      <c r="D2078" s="29" t="s">
        <v>1125</v>
      </c>
      <c r="G2078" s="29" t="s">
        <v>1121</v>
      </c>
      <c r="H2078" s="29">
        <v>1</v>
      </c>
      <c r="J2078" s="29">
        <v>5</v>
      </c>
      <c r="K2078" s="29">
        <v>5</v>
      </c>
      <c r="L2078" s="29" t="s">
        <v>1039</v>
      </c>
      <c r="M2078" s="29">
        <v>1</v>
      </c>
      <c r="O2078" s="29">
        <v>1</v>
      </c>
      <c r="P2078" s="29">
        <v>5</v>
      </c>
      <c r="Q2078" s="29" t="s">
        <v>1040</v>
      </c>
    </row>
    <row r="2079" spans="1:18" x14ac:dyDescent="0.3">
      <c r="B2079" s="29">
        <v>8</v>
      </c>
      <c r="C2079" s="29" t="s">
        <v>1122</v>
      </c>
      <c r="D2079" s="29" t="s">
        <v>1125</v>
      </c>
      <c r="G2079" s="29" t="s">
        <v>1121</v>
      </c>
      <c r="H2079" s="29">
        <v>1</v>
      </c>
      <c r="J2079" s="29">
        <v>5</v>
      </c>
      <c r="K2079" s="29">
        <v>5</v>
      </c>
      <c r="L2079" s="29" t="s">
        <v>1039</v>
      </c>
      <c r="M2079" s="29">
        <v>1</v>
      </c>
      <c r="O2079" s="29">
        <v>1</v>
      </c>
      <c r="P2079" s="29">
        <v>5</v>
      </c>
      <c r="Q2079" s="29" t="s">
        <v>1040</v>
      </c>
    </row>
    <row r="2080" spans="1:18" x14ac:dyDescent="0.3">
      <c r="A2080" s="29" t="s">
        <v>992</v>
      </c>
      <c r="B2080" s="29">
        <v>1</v>
      </c>
      <c r="C2080" s="29" t="s">
        <v>1030</v>
      </c>
      <c r="D2080" s="29" t="s">
        <v>1123</v>
      </c>
      <c r="E2080" s="29">
        <v>700</v>
      </c>
      <c r="G2080" s="29" t="s">
        <v>1034</v>
      </c>
      <c r="H2080" s="29">
        <v>1</v>
      </c>
      <c r="I2080" s="29">
        <v>11.29</v>
      </c>
      <c r="J2080" s="29">
        <v>7.9029999999999987</v>
      </c>
      <c r="K2080" s="29">
        <v>7.9029999999999987</v>
      </c>
      <c r="L2080" s="29" t="s">
        <v>1032</v>
      </c>
      <c r="M2080" s="29">
        <v>1</v>
      </c>
      <c r="N2080" s="29">
        <v>0.7</v>
      </c>
      <c r="P2080" s="29">
        <v>7.9029999999999987</v>
      </c>
      <c r="Q2080" s="29" t="s">
        <v>1033</v>
      </c>
    </row>
    <row r="2081" spans="1:18" x14ac:dyDescent="0.3">
      <c r="B2081" s="29">
        <v>2</v>
      </c>
      <c r="C2081" s="29" t="s">
        <v>1041</v>
      </c>
      <c r="D2081" s="29">
        <v>9</v>
      </c>
      <c r="E2081" s="29">
        <v>180</v>
      </c>
      <c r="F2081" s="29">
        <v>180</v>
      </c>
      <c r="G2081" s="29" t="s">
        <v>1035</v>
      </c>
      <c r="H2081" s="29">
        <v>1</v>
      </c>
      <c r="J2081" s="29">
        <v>2.2890600000000001</v>
      </c>
      <c r="K2081" s="29">
        <v>2.2890600000000001</v>
      </c>
      <c r="L2081" s="29" t="s">
        <v>1036</v>
      </c>
      <c r="M2081" s="29">
        <v>1</v>
      </c>
      <c r="O2081" s="29">
        <v>1</v>
      </c>
      <c r="P2081" s="29">
        <v>2.2890600000000001</v>
      </c>
      <c r="Q2081" s="29" t="s">
        <v>1037</v>
      </c>
      <c r="R2081" t="s">
        <v>1130</v>
      </c>
    </row>
    <row r="2082" spans="1:18" x14ac:dyDescent="0.3">
      <c r="B2082" s="29">
        <v>3</v>
      </c>
      <c r="C2082" s="29" t="s">
        <v>1038</v>
      </c>
      <c r="D2082" s="30" t="s">
        <v>287</v>
      </c>
      <c r="G2082" s="29" t="s">
        <v>1031</v>
      </c>
      <c r="H2082" s="29">
        <v>4</v>
      </c>
      <c r="J2082" s="29">
        <v>1</v>
      </c>
      <c r="K2082" s="29">
        <v>4</v>
      </c>
      <c r="L2082" s="29" t="s">
        <v>1039</v>
      </c>
      <c r="M2082" s="29">
        <v>1</v>
      </c>
      <c r="O2082" s="29">
        <v>4</v>
      </c>
      <c r="P2082" s="29">
        <v>4</v>
      </c>
      <c r="Q2082" s="29" t="s">
        <v>1040</v>
      </c>
    </row>
    <row r="2083" spans="1:18" x14ac:dyDescent="0.3">
      <c r="B2083" s="29">
        <v>4</v>
      </c>
      <c r="C2083" s="29" t="s">
        <v>1116</v>
      </c>
      <c r="D2083" s="29">
        <v>9</v>
      </c>
      <c r="E2083" s="29">
        <v>210</v>
      </c>
      <c r="F2083" s="29">
        <v>210</v>
      </c>
      <c r="G2083" s="29" t="s">
        <v>1035</v>
      </c>
      <c r="H2083" s="29">
        <v>1</v>
      </c>
      <c r="J2083" s="29">
        <v>3.1156649999999999</v>
      </c>
      <c r="K2083" s="29">
        <v>3.1156649999999999</v>
      </c>
      <c r="L2083" s="29" t="s">
        <v>1036</v>
      </c>
      <c r="M2083" s="29">
        <v>1</v>
      </c>
      <c r="O2083" s="29">
        <v>1</v>
      </c>
      <c r="P2083" s="29">
        <v>3.1156649999999999</v>
      </c>
      <c r="Q2083" s="29" t="s">
        <v>1037</v>
      </c>
    </row>
    <row r="2084" spans="1:18" x14ac:dyDescent="0.3">
      <c r="B2084" s="29">
        <v>5</v>
      </c>
      <c r="C2084" s="29" t="s">
        <v>1117</v>
      </c>
      <c r="D2084" s="29">
        <v>9</v>
      </c>
      <c r="E2084" s="29">
        <v>120</v>
      </c>
      <c r="F2084" s="29">
        <v>120</v>
      </c>
      <c r="G2084" s="29" t="s">
        <v>1035</v>
      </c>
      <c r="H2084" s="29">
        <v>1</v>
      </c>
      <c r="J2084" s="29">
        <v>1.01736</v>
      </c>
      <c r="K2084" s="29">
        <v>1.01736</v>
      </c>
      <c r="L2084" s="29" t="s">
        <v>1036</v>
      </c>
      <c r="M2084" s="29">
        <v>1</v>
      </c>
      <c r="O2084" s="29">
        <v>1</v>
      </c>
      <c r="P2084" s="29">
        <v>1.01736</v>
      </c>
      <c r="Q2084" s="29" t="s">
        <v>1037</v>
      </c>
    </row>
    <row r="2085" spans="1:18" x14ac:dyDescent="0.3">
      <c r="B2085" s="29">
        <v>6</v>
      </c>
      <c r="C2085" s="29" t="s">
        <v>1068</v>
      </c>
      <c r="D2085" s="29" t="s">
        <v>1124</v>
      </c>
      <c r="G2085" s="29" t="s">
        <v>1070</v>
      </c>
      <c r="H2085" s="29">
        <v>1</v>
      </c>
      <c r="J2085" s="29">
        <v>20</v>
      </c>
      <c r="K2085" s="29">
        <v>20</v>
      </c>
      <c r="L2085" s="29" t="s">
        <v>1039</v>
      </c>
      <c r="M2085" s="29">
        <v>1</v>
      </c>
      <c r="O2085" s="29">
        <v>1</v>
      </c>
      <c r="P2085" s="29">
        <v>20</v>
      </c>
      <c r="Q2085" s="29" t="s">
        <v>1040</v>
      </c>
    </row>
    <row r="2086" spans="1:18" x14ac:dyDescent="0.3">
      <c r="B2086" s="29">
        <v>7</v>
      </c>
      <c r="C2086" s="29" t="s">
        <v>1119</v>
      </c>
      <c r="D2086" s="29" t="s">
        <v>1125</v>
      </c>
      <c r="G2086" s="29" t="s">
        <v>1121</v>
      </c>
      <c r="H2086" s="29">
        <v>1</v>
      </c>
      <c r="J2086" s="29">
        <v>5</v>
      </c>
      <c r="K2086" s="29">
        <v>5</v>
      </c>
      <c r="L2086" s="29" t="s">
        <v>1039</v>
      </c>
      <c r="M2086" s="29">
        <v>1</v>
      </c>
      <c r="O2086" s="29">
        <v>1</v>
      </c>
      <c r="P2086" s="29">
        <v>5</v>
      </c>
      <c r="Q2086" s="29" t="s">
        <v>1040</v>
      </c>
    </row>
    <row r="2087" spans="1:18" x14ac:dyDescent="0.3">
      <c r="B2087" s="29">
        <v>8</v>
      </c>
      <c r="C2087" s="29" t="s">
        <v>1122</v>
      </c>
      <c r="D2087" s="29" t="s">
        <v>1125</v>
      </c>
      <c r="G2087" s="29" t="s">
        <v>1121</v>
      </c>
      <c r="H2087" s="29">
        <v>1</v>
      </c>
      <c r="J2087" s="29">
        <v>5</v>
      </c>
      <c r="K2087" s="29">
        <v>5</v>
      </c>
      <c r="L2087" s="29" t="s">
        <v>1039</v>
      </c>
      <c r="M2087" s="29">
        <v>1</v>
      </c>
      <c r="O2087" s="29">
        <v>1</v>
      </c>
      <c r="P2087" s="29">
        <v>5</v>
      </c>
      <c r="Q2087" s="29" t="s">
        <v>1040</v>
      </c>
    </row>
    <row r="2088" spans="1:18" x14ac:dyDescent="0.3">
      <c r="A2088" s="29" t="s">
        <v>993</v>
      </c>
      <c r="B2088" s="29">
        <v>1</v>
      </c>
      <c r="C2088" s="29" t="s">
        <v>1030</v>
      </c>
      <c r="D2088" s="29" t="s">
        <v>1123</v>
      </c>
      <c r="E2088" s="29">
        <v>800</v>
      </c>
      <c r="G2088" s="29" t="s">
        <v>1034</v>
      </c>
      <c r="H2088" s="29">
        <v>1</v>
      </c>
      <c r="I2088" s="29">
        <v>11.29</v>
      </c>
      <c r="J2088" s="29">
        <v>9.032</v>
      </c>
      <c r="K2088" s="29">
        <v>9.032</v>
      </c>
      <c r="L2088" s="29" t="s">
        <v>1032</v>
      </c>
      <c r="M2088" s="29">
        <v>1</v>
      </c>
      <c r="N2088" s="29">
        <v>0.8</v>
      </c>
      <c r="P2088" s="29">
        <v>9.032</v>
      </c>
      <c r="Q2088" s="29" t="s">
        <v>1033</v>
      </c>
    </row>
    <row r="2089" spans="1:18" x14ac:dyDescent="0.3">
      <c r="B2089" s="29">
        <v>2</v>
      </c>
      <c r="C2089" s="29" t="s">
        <v>1041</v>
      </c>
      <c r="D2089" s="29">
        <v>9</v>
      </c>
      <c r="E2089" s="29">
        <v>180</v>
      </c>
      <c r="F2089" s="29">
        <v>180</v>
      </c>
      <c r="G2089" s="29" t="s">
        <v>1035</v>
      </c>
      <c r="H2089" s="29">
        <v>1</v>
      </c>
      <c r="J2089" s="29">
        <v>2.2890600000000001</v>
      </c>
      <c r="K2089" s="29">
        <v>2.2890600000000001</v>
      </c>
      <c r="L2089" s="29" t="s">
        <v>1036</v>
      </c>
      <c r="M2089" s="29">
        <v>1</v>
      </c>
      <c r="O2089" s="29">
        <v>1</v>
      </c>
      <c r="P2089" s="29">
        <v>2.2890600000000001</v>
      </c>
      <c r="Q2089" s="29" t="s">
        <v>1037</v>
      </c>
      <c r="R2089" t="s">
        <v>1130</v>
      </c>
    </row>
    <row r="2090" spans="1:18" x14ac:dyDescent="0.3">
      <c r="B2090" s="29">
        <v>3</v>
      </c>
      <c r="C2090" s="29" t="s">
        <v>1038</v>
      </c>
      <c r="D2090" s="30" t="s">
        <v>287</v>
      </c>
      <c r="G2090" s="29" t="s">
        <v>1031</v>
      </c>
      <c r="H2090" s="29">
        <v>4</v>
      </c>
      <c r="J2090" s="29">
        <v>1</v>
      </c>
      <c r="K2090" s="29">
        <v>4</v>
      </c>
      <c r="L2090" s="29" t="s">
        <v>1039</v>
      </c>
      <c r="M2090" s="29">
        <v>1</v>
      </c>
      <c r="O2090" s="29">
        <v>4</v>
      </c>
      <c r="P2090" s="29">
        <v>4</v>
      </c>
      <c r="Q2090" s="29" t="s">
        <v>1040</v>
      </c>
    </row>
    <row r="2091" spans="1:18" x14ac:dyDescent="0.3">
      <c r="B2091" s="29">
        <v>4</v>
      </c>
      <c r="C2091" s="29" t="s">
        <v>1116</v>
      </c>
      <c r="D2091" s="29">
        <v>9</v>
      </c>
      <c r="E2091" s="29">
        <v>210</v>
      </c>
      <c r="F2091" s="29">
        <v>210</v>
      </c>
      <c r="G2091" s="29" t="s">
        <v>1035</v>
      </c>
      <c r="H2091" s="29">
        <v>1</v>
      </c>
      <c r="J2091" s="29">
        <v>3.1156649999999999</v>
      </c>
      <c r="K2091" s="29">
        <v>3.1156649999999999</v>
      </c>
      <c r="L2091" s="29" t="s">
        <v>1036</v>
      </c>
      <c r="M2091" s="29">
        <v>1</v>
      </c>
      <c r="O2091" s="29">
        <v>1</v>
      </c>
      <c r="P2091" s="29">
        <v>3.1156649999999999</v>
      </c>
      <c r="Q2091" s="29" t="s">
        <v>1037</v>
      </c>
    </row>
    <row r="2092" spans="1:18" x14ac:dyDescent="0.3">
      <c r="B2092" s="29">
        <v>5</v>
      </c>
      <c r="C2092" s="29" t="s">
        <v>1117</v>
      </c>
      <c r="D2092" s="29">
        <v>9</v>
      </c>
      <c r="E2092" s="29">
        <v>120</v>
      </c>
      <c r="F2092" s="29">
        <v>120</v>
      </c>
      <c r="G2092" s="29" t="s">
        <v>1035</v>
      </c>
      <c r="H2092" s="29">
        <v>1</v>
      </c>
      <c r="J2092" s="29">
        <v>1.01736</v>
      </c>
      <c r="K2092" s="29">
        <v>1.01736</v>
      </c>
      <c r="L2092" s="29" t="s">
        <v>1036</v>
      </c>
      <c r="M2092" s="29">
        <v>1</v>
      </c>
      <c r="O2092" s="29">
        <v>1</v>
      </c>
      <c r="P2092" s="29">
        <v>1.01736</v>
      </c>
      <c r="Q2092" s="29" t="s">
        <v>1037</v>
      </c>
    </row>
    <row r="2093" spans="1:18" x14ac:dyDescent="0.3">
      <c r="B2093" s="29">
        <v>6</v>
      </c>
      <c r="C2093" s="29" t="s">
        <v>1068</v>
      </c>
      <c r="D2093" s="29" t="s">
        <v>1124</v>
      </c>
      <c r="G2093" s="29" t="s">
        <v>1070</v>
      </c>
      <c r="H2093" s="29">
        <v>1</v>
      </c>
      <c r="J2093" s="29">
        <v>20</v>
      </c>
      <c r="K2093" s="29">
        <v>20</v>
      </c>
      <c r="L2093" s="29" t="s">
        <v>1039</v>
      </c>
      <c r="M2093" s="29">
        <v>1</v>
      </c>
      <c r="O2093" s="29">
        <v>1</v>
      </c>
      <c r="P2093" s="29">
        <v>20</v>
      </c>
      <c r="Q2093" s="29" t="s">
        <v>1040</v>
      </c>
    </row>
    <row r="2094" spans="1:18" x14ac:dyDescent="0.3">
      <c r="B2094" s="29">
        <v>7</v>
      </c>
      <c r="C2094" s="29" t="s">
        <v>1119</v>
      </c>
      <c r="D2094" s="29" t="s">
        <v>1125</v>
      </c>
      <c r="G2094" s="29" t="s">
        <v>1121</v>
      </c>
      <c r="H2094" s="29">
        <v>1</v>
      </c>
      <c r="J2094" s="29">
        <v>5</v>
      </c>
      <c r="K2094" s="29">
        <v>5</v>
      </c>
      <c r="L2094" s="29" t="s">
        <v>1039</v>
      </c>
      <c r="M2094" s="29">
        <v>1</v>
      </c>
      <c r="O2094" s="29">
        <v>1</v>
      </c>
      <c r="P2094" s="29">
        <v>5</v>
      </c>
      <c r="Q2094" s="29" t="s">
        <v>1040</v>
      </c>
    </row>
    <row r="2095" spans="1:18" x14ac:dyDescent="0.3">
      <c r="B2095" s="29">
        <v>8</v>
      </c>
      <c r="C2095" s="29" t="s">
        <v>1122</v>
      </c>
      <c r="D2095" s="29" t="s">
        <v>1125</v>
      </c>
      <c r="G2095" s="29" t="s">
        <v>1121</v>
      </c>
      <c r="H2095" s="29">
        <v>1</v>
      </c>
      <c r="J2095" s="29">
        <v>5</v>
      </c>
      <c r="K2095" s="29">
        <v>5</v>
      </c>
      <c r="L2095" s="29" t="s">
        <v>1039</v>
      </c>
      <c r="M2095" s="29">
        <v>1</v>
      </c>
      <c r="O2095" s="29">
        <v>1</v>
      </c>
      <c r="P2095" s="29">
        <v>5</v>
      </c>
      <c r="Q2095" s="29" t="s">
        <v>1040</v>
      </c>
    </row>
    <row r="2096" spans="1:18" x14ac:dyDescent="0.3">
      <c r="A2096" s="29" t="s">
        <v>994</v>
      </c>
      <c r="B2096" s="29">
        <v>1</v>
      </c>
      <c r="C2096" s="29" t="s">
        <v>1030</v>
      </c>
      <c r="D2096" s="29" t="s">
        <v>1123</v>
      </c>
      <c r="E2096" s="29">
        <v>1000</v>
      </c>
      <c r="G2096" s="29" t="s">
        <v>1034</v>
      </c>
      <c r="H2096" s="29">
        <v>1</v>
      </c>
      <c r="I2096" s="29">
        <v>11.29</v>
      </c>
      <c r="J2096" s="29">
        <v>11.29</v>
      </c>
      <c r="K2096" s="29">
        <v>11.29</v>
      </c>
      <c r="L2096" s="29" t="s">
        <v>1032</v>
      </c>
      <c r="M2096" s="29">
        <v>1</v>
      </c>
      <c r="N2096" s="29">
        <v>1</v>
      </c>
      <c r="P2096" s="29">
        <v>11.29</v>
      </c>
      <c r="Q2096" s="29" t="s">
        <v>1033</v>
      </c>
    </row>
    <row r="2097" spans="1:18" x14ac:dyDescent="0.3">
      <c r="B2097" s="29">
        <v>2</v>
      </c>
      <c r="C2097" s="29" t="s">
        <v>1041</v>
      </c>
      <c r="D2097" s="29">
        <v>9</v>
      </c>
      <c r="E2097" s="29">
        <v>180</v>
      </c>
      <c r="F2097" s="29">
        <v>180</v>
      </c>
      <c r="G2097" s="29" t="s">
        <v>1035</v>
      </c>
      <c r="H2097" s="29">
        <v>1</v>
      </c>
      <c r="J2097" s="29">
        <v>2.2890600000000001</v>
      </c>
      <c r="K2097" s="29">
        <v>2.2890600000000001</v>
      </c>
      <c r="L2097" s="29" t="s">
        <v>1036</v>
      </c>
      <c r="M2097" s="29">
        <v>1</v>
      </c>
      <c r="O2097" s="29">
        <v>1</v>
      </c>
      <c r="P2097" s="29">
        <v>2.2890600000000001</v>
      </c>
      <c r="Q2097" s="29" t="s">
        <v>1037</v>
      </c>
      <c r="R2097" t="s">
        <v>1130</v>
      </c>
    </row>
    <row r="2098" spans="1:18" x14ac:dyDescent="0.3">
      <c r="B2098" s="29">
        <v>3</v>
      </c>
      <c r="C2098" s="29" t="s">
        <v>1038</v>
      </c>
      <c r="D2098" s="30" t="s">
        <v>287</v>
      </c>
      <c r="G2098" s="29" t="s">
        <v>1031</v>
      </c>
      <c r="H2098" s="29">
        <v>4</v>
      </c>
      <c r="J2098" s="29">
        <v>1</v>
      </c>
      <c r="K2098" s="29">
        <v>4</v>
      </c>
      <c r="L2098" s="29" t="s">
        <v>1039</v>
      </c>
      <c r="M2098" s="29">
        <v>1</v>
      </c>
      <c r="O2098" s="29">
        <v>4</v>
      </c>
      <c r="P2098" s="29">
        <v>4</v>
      </c>
      <c r="Q2098" s="29" t="s">
        <v>1040</v>
      </c>
    </row>
    <row r="2099" spans="1:18" x14ac:dyDescent="0.3">
      <c r="B2099" s="29">
        <v>4</v>
      </c>
      <c r="C2099" s="29" t="s">
        <v>1116</v>
      </c>
      <c r="D2099" s="29">
        <v>9</v>
      </c>
      <c r="E2099" s="29">
        <v>210</v>
      </c>
      <c r="F2099" s="29">
        <v>210</v>
      </c>
      <c r="G2099" s="29" t="s">
        <v>1035</v>
      </c>
      <c r="H2099" s="29">
        <v>1</v>
      </c>
      <c r="J2099" s="29">
        <v>3.1156649999999999</v>
      </c>
      <c r="K2099" s="29">
        <v>3.1156649999999999</v>
      </c>
      <c r="L2099" s="29" t="s">
        <v>1036</v>
      </c>
      <c r="M2099" s="29">
        <v>1</v>
      </c>
      <c r="O2099" s="29">
        <v>1</v>
      </c>
      <c r="P2099" s="29">
        <v>3.1156649999999999</v>
      </c>
      <c r="Q2099" s="29" t="s">
        <v>1037</v>
      </c>
    </row>
    <row r="2100" spans="1:18" x14ac:dyDescent="0.3">
      <c r="B2100" s="29">
        <v>5</v>
      </c>
      <c r="C2100" s="29" t="s">
        <v>1117</v>
      </c>
      <c r="D2100" s="29">
        <v>9</v>
      </c>
      <c r="E2100" s="29">
        <v>120</v>
      </c>
      <c r="F2100" s="29">
        <v>120</v>
      </c>
      <c r="G2100" s="29" t="s">
        <v>1035</v>
      </c>
      <c r="H2100" s="29">
        <v>1</v>
      </c>
      <c r="J2100" s="29">
        <v>1.01736</v>
      </c>
      <c r="K2100" s="29">
        <v>1.01736</v>
      </c>
      <c r="L2100" s="29" t="s">
        <v>1036</v>
      </c>
      <c r="M2100" s="29">
        <v>1</v>
      </c>
      <c r="O2100" s="29">
        <v>1</v>
      </c>
      <c r="P2100" s="29">
        <v>1.01736</v>
      </c>
      <c r="Q2100" s="29" t="s">
        <v>1037</v>
      </c>
    </row>
    <row r="2101" spans="1:18" x14ac:dyDescent="0.3">
      <c r="B2101" s="29">
        <v>6</v>
      </c>
      <c r="C2101" s="29" t="s">
        <v>1068</v>
      </c>
      <c r="D2101" s="29" t="s">
        <v>1124</v>
      </c>
      <c r="G2101" s="29" t="s">
        <v>1070</v>
      </c>
      <c r="H2101" s="29">
        <v>1</v>
      </c>
      <c r="J2101" s="29">
        <v>20</v>
      </c>
      <c r="K2101" s="29">
        <v>20</v>
      </c>
      <c r="L2101" s="29" t="s">
        <v>1039</v>
      </c>
      <c r="M2101" s="29">
        <v>1</v>
      </c>
      <c r="O2101" s="29">
        <v>1</v>
      </c>
      <c r="P2101" s="29">
        <v>20</v>
      </c>
      <c r="Q2101" s="29" t="s">
        <v>1040</v>
      </c>
    </row>
    <row r="2102" spans="1:18" x14ac:dyDescent="0.3">
      <c r="B2102" s="29">
        <v>7</v>
      </c>
      <c r="C2102" s="29" t="s">
        <v>1119</v>
      </c>
      <c r="D2102" s="29" t="s">
        <v>1125</v>
      </c>
      <c r="G2102" s="29" t="s">
        <v>1121</v>
      </c>
      <c r="H2102" s="29">
        <v>1</v>
      </c>
      <c r="J2102" s="29">
        <v>5</v>
      </c>
      <c r="K2102" s="29">
        <v>5</v>
      </c>
      <c r="L2102" s="29" t="s">
        <v>1039</v>
      </c>
      <c r="M2102" s="29">
        <v>1</v>
      </c>
      <c r="O2102" s="29">
        <v>1</v>
      </c>
      <c r="P2102" s="29">
        <v>5</v>
      </c>
      <c r="Q2102" s="29" t="s">
        <v>1040</v>
      </c>
    </row>
    <row r="2103" spans="1:18" x14ac:dyDescent="0.3">
      <c r="B2103" s="29">
        <v>8</v>
      </c>
      <c r="C2103" s="29" t="s">
        <v>1122</v>
      </c>
      <c r="D2103" s="29" t="s">
        <v>1125</v>
      </c>
      <c r="G2103" s="29" t="s">
        <v>1121</v>
      </c>
      <c r="H2103" s="29">
        <v>1</v>
      </c>
      <c r="J2103" s="29">
        <v>5</v>
      </c>
      <c r="K2103" s="29">
        <v>5</v>
      </c>
      <c r="L2103" s="29" t="s">
        <v>1039</v>
      </c>
      <c r="M2103" s="29">
        <v>1</v>
      </c>
      <c r="O2103" s="29">
        <v>1</v>
      </c>
      <c r="P2103" s="29">
        <v>5</v>
      </c>
      <c r="Q2103" s="29" t="s">
        <v>1040</v>
      </c>
    </row>
    <row r="2104" spans="1:18" x14ac:dyDescent="0.3">
      <c r="A2104" s="29" t="s">
        <v>995</v>
      </c>
      <c r="B2104" s="29">
        <v>1</v>
      </c>
      <c r="C2104" s="29" t="s">
        <v>1030</v>
      </c>
      <c r="D2104" s="29" t="s">
        <v>1123</v>
      </c>
      <c r="E2104" s="29">
        <v>1300</v>
      </c>
      <c r="G2104" s="29" t="s">
        <v>1034</v>
      </c>
      <c r="H2104" s="29">
        <v>1</v>
      </c>
      <c r="I2104" s="29">
        <v>11.29</v>
      </c>
      <c r="J2104" s="29">
        <v>14.677</v>
      </c>
      <c r="K2104" s="29">
        <v>14.677</v>
      </c>
      <c r="L2104" s="29" t="s">
        <v>1032</v>
      </c>
      <c r="M2104" s="29">
        <v>1</v>
      </c>
      <c r="N2104" s="29">
        <v>1.3</v>
      </c>
      <c r="P2104" s="29">
        <v>14.677</v>
      </c>
      <c r="Q2104" s="29" t="s">
        <v>1033</v>
      </c>
    </row>
    <row r="2105" spans="1:18" x14ac:dyDescent="0.3">
      <c r="B2105" s="29">
        <v>2</v>
      </c>
      <c r="C2105" s="29" t="s">
        <v>1041</v>
      </c>
      <c r="D2105" s="29">
        <v>9</v>
      </c>
      <c r="E2105" s="29">
        <v>180</v>
      </c>
      <c r="F2105" s="29">
        <v>180</v>
      </c>
      <c r="G2105" s="29" t="s">
        <v>1035</v>
      </c>
      <c r="H2105" s="29">
        <v>1</v>
      </c>
      <c r="J2105" s="29">
        <v>2.2890600000000001</v>
      </c>
      <c r="K2105" s="29">
        <v>2.2890600000000001</v>
      </c>
      <c r="L2105" s="29" t="s">
        <v>1036</v>
      </c>
      <c r="M2105" s="29">
        <v>1</v>
      </c>
      <c r="O2105" s="29">
        <v>1</v>
      </c>
      <c r="P2105" s="29">
        <v>2.2890600000000001</v>
      </c>
      <c r="Q2105" s="29" t="s">
        <v>1037</v>
      </c>
      <c r="R2105" t="s">
        <v>1130</v>
      </c>
    </row>
    <row r="2106" spans="1:18" x14ac:dyDescent="0.3">
      <c r="B2106" s="29">
        <v>3</v>
      </c>
      <c r="C2106" s="29" t="s">
        <v>1038</v>
      </c>
      <c r="D2106" s="30" t="s">
        <v>287</v>
      </c>
      <c r="G2106" s="29" t="s">
        <v>1031</v>
      </c>
      <c r="H2106" s="29">
        <v>4</v>
      </c>
      <c r="J2106" s="29">
        <v>1</v>
      </c>
      <c r="K2106" s="29">
        <v>4</v>
      </c>
      <c r="L2106" s="29" t="s">
        <v>1039</v>
      </c>
      <c r="M2106" s="29">
        <v>1</v>
      </c>
      <c r="O2106" s="29">
        <v>4</v>
      </c>
      <c r="P2106" s="29">
        <v>4</v>
      </c>
      <c r="Q2106" s="29" t="s">
        <v>1040</v>
      </c>
    </row>
    <row r="2107" spans="1:18" x14ac:dyDescent="0.3">
      <c r="B2107" s="29">
        <v>4</v>
      </c>
      <c r="C2107" s="29" t="s">
        <v>1116</v>
      </c>
      <c r="D2107" s="29">
        <v>9</v>
      </c>
      <c r="E2107" s="29">
        <v>210</v>
      </c>
      <c r="F2107" s="29">
        <v>210</v>
      </c>
      <c r="G2107" s="29" t="s">
        <v>1035</v>
      </c>
      <c r="H2107" s="29">
        <v>1</v>
      </c>
      <c r="J2107" s="29">
        <v>3.1156649999999999</v>
      </c>
      <c r="K2107" s="29">
        <v>3.1156649999999999</v>
      </c>
      <c r="L2107" s="29" t="s">
        <v>1036</v>
      </c>
      <c r="M2107" s="29">
        <v>1</v>
      </c>
      <c r="O2107" s="29">
        <v>1</v>
      </c>
      <c r="P2107" s="29">
        <v>3.1156649999999999</v>
      </c>
      <c r="Q2107" s="29" t="s">
        <v>1037</v>
      </c>
    </row>
    <row r="2108" spans="1:18" x14ac:dyDescent="0.3">
      <c r="B2108" s="29">
        <v>5</v>
      </c>
      <c r="C2108" s="29" t="s">
        <v>1117</v>
      </c>
      <c r="D2108" s="29">
        <v>9</v>
      </c>
      <c r="E2108" s="29">
        <v>120</v>
      </c>
      <c r="F2108" s="29">
        <v>120</v>
      </c>
      <c r="G2108" s="29" t="s">
        <v>1035</v>
      </c>
      <c r="H2108" s="29">
        <v>1</v>
      </c>
      <c r="J2108" s="29">
        <v>1.01736</v>
      </c>
      <c r="K2108" s="29">
        <v>1.01736</v>
      </c>
      <c r="L2108" s="29" t="s">
        <v>1036</v>
      </c>
      <c r="M2108" s="29">
        <v>1</v>
      </c>
      <c r="O2108" s="29">
        <v>1</v>
      </c>
      <c r="P2108" s="29">
        <v>1.01736</v>
      </c>
      <c r="Q2108" s="29" t="s">
        <v>1037</v>
      </c>
    </row>
    <row r="2109" spans="1:18" x14ac:dyDescent="0.3">
      <c r="B2109" s="29">
        <v>6</v>
      </c>
      <c r="C2109" s="29" t="s">
        <v>1068</v>
      </c>
      <c r="D2109" s="29" t="s">
        <v>1124</v>
      </c>
      <c r="G2109" s="29" t="s">
        <v>1070</v>
      </c>
      <c r="H2109" s="29">
        <v>1</v>
      </c>
      <c r="J2109" s="29">
        <v>20</v>
      </c>
      <c r="K2109" s="29">
        <v>20</v>
      </c>
      <c r="L2109" s="29" t="s">
        <v>1039</v>
      </c>
      <c r="M2109" s="29">
        <v>1</v>
      </c>
      <c r="O2109" s="29">
        <v>1</v>
      </c>
      <c r="P2109" s="29">
        <v>20</v>
      </c>
      <c r="Q2109" s="29" t="s">
        <v>1040</v>
      </c>
    </row>
    <row r="2110" spans="1:18" x14ac:dyDescent="0.3">
      <c r="B2110" s="29">
        <v>7</v>
      </c>
      <c r="C2110" s="29" t="s">
        <v>1119</v>
      </c>
      <c r="D2110" s="29" t="s">
        <v>1125</v>
      </c>
      <c r="G2110" s="29" t="s">
        <v>1121</v>
      </c>
      <c r="H2110" s="29">
        <v>1</v>
      </c>
      <c r="J2110" s="29">
        <v>5</v>
      </c>
      <c r="K2110" s="29">
        <v>5</v>
      </c>
      <c r="L2110" s="29" t="s">
        <v>1039</v>
      </c>
      <c r="M2110" s="29">
        <v>1</v>
      </c>
      <c r="O2110" s="29">
        <v>1</v>
      </c>
      <c r="P2110" s="29">
        <v>5</v>
      </c>
      <c r="Q2110" s="29" t="s">
        <v>1040</v>
      </c>
    </row>
    <row r="2111" spans="1:18" x14ac:dyDescent="0.3">
      <c r="B2111" s="29">
        <v>8</v>
      </c>
      <c r="C2111" s="29" t="s">
        <v>1122</v>
      </c>
      <c r="D2111" s="29" t="s">
        <v>1125</v>
      </c>
      <c r="G2111" s="29" t="s">
        <v>1121</v>
      </c>
      <c r="H2111" s="29">
        <v>1</v>
      </c>
      <c r="J2111" s="29">
        <v>5</v>
      </c>
      <c r="K2111" s="29">
        <v>5</v>
      </c>
      <c r="L2111" s="29" t="s">
        <v>1039</v>
      </c>
      <c r="M2111" s="29">
        <v>1</v>
      </c>
      <c r="O2111" s="29">
        <v>1</v>
      </c>
      <c r="P2111" s="29">
        <v>5</v>
      </c>
      <c r="Q2111" s="29" t="s">
        <v>1040</v>
      </c>
    </row>
    <row r="2112" spans="1:18" x14ac:dyDescent="0.3">
      <c r="A2112" s="29" t="s">
        <v>996</v>
      </c>
      <c r="B2112" s="29" t="s">
        <v>1042</v>
      </c>
      <c r="D2112" s="30"/>
    </row>
    <row r="2113" spans="1:4" x14ac:dyDescent="0.3">
      <c r="A2113" s="29" t="s">
        <v>1126</v>
      </c>
      <c r="B2113" s="29" t="s">
        <v>1042</v>
      </c>
      <c r="D2113" s="30"/>
    </row>
    <row r="2114" spans="1:4" x14ac:dyDescent="0.3">
      <c r="B2114" s="29" t="s">
        <v>1042</v>
      </c>
    </row>
    <row r="2115" spans="1:4" x14ac:dyDescent="0.3">
      <c r="B2115" s="29" t="s">
        <v>1042</v>
      </c>
    </row>
    <row r="2116" spans="1:4" x14ac:dyDescent="0.3">
      <c r="B2116" s="29" t="s">
        <v>1042</v>
      </c>
      <c r="D2116" s="30"/>
    </row>
    <row r="2117" spans="1:4" x14ac:dyDescent="0.3">
      <c r="B2117" s="29" t="s">
        <v>1042</v>
      </c>
      <c r="D2117" s="30"/>
    </row>
    <row r="2118" spans="1:4" x14ac:dyDescent="0.3">
      <c r="B2118" s="29" t="s">
        <v>1042</v>
      </c>
    </row>
    <row r="2119" spans="1:4" x14ac:dyDescent="0.3">
      <c r="B2119" s="29" t="s">
        <v>1042</v>
      </c>
    </row>
    <row r="2120" spans="1:4" x14ac:dyDescent="0.3">
      <c r="B2120" s="29" t="s">
        <v>1042</v>
      </c>
      <c r="D2120" s="30"/>
    </row>
    <row r="2121" spans="1:4" x14ac:dyDescent="0.3">
      <c r="D2121" s="30"/>
    </row>
    <row r="2124" spans="1:4" x14ac:dyDescent="0.3">
      <c r="D2124" s="30"/>
    </row>
    <row r="2125" spans="1:4" x14ac:dyDescent="0.3">
      <c r="D2125" s="30"/>
    </row>
    <row r="2127" spans="1:4" x14ac:dyDescent="0.3">
      <c r="D2127" s="30"/>
    </row>
    <row r="2128" spans="1:4" x14ac:dyDescent="0.3">
      <c r="D2128" s="30"/>
    </row>
    <row r="2130" spans="4:4" x14ac:dyDescent="0.3">
      <c r="D2130" s="30"/>
    </row>
    <row r="2131" spans="4:4" x14ac:dyDescent="0.3">
      <c r="D2131" s="30"/>
    </row>
    <row r="2133" spans="4:4" x14ac:dyDescent="0.3">
      <c r="D2133" s="30"/>
    </row>
    <row r="2134" spans="4:4" x14ac:dyDescent="0.3">
      <c r="D2134" s="30"/>
    </row>
    <row r="2136" spans="4:4" x14ac:dyDescent="0.3">
      <c r="D2136" s="30"/>
    </row>
    <row r="2137" spans="4:4" x14ac:dyDescent="0.3">
      <c r="D2137" s="30"/>
    </row>
    <row r="2140" spans="4:4" x14ac:dyDescent="0.3">
      <c r="D2140" s="30"/>
    </row>
    <row r="2141" spans="4:4" x14ac:dyDescent="0.3">
      <c r="D2141" s="30"/>
    </row>
    <row r="2144" spans="4:4" x14ac:dyDescent="0.3">
      <c r="D2144" s="30"/>
    </row>
    <row r="2146" spans="4:4" x14ac:dyDescent="0.3">
      <c r="D2146" s="30"/>
    </row>
    <row r="2147" spans="4:4" x14ac:dyDescent="0.3">
      <c r="D2147" s="30"/>
    </row>
    <row r="2150" spans="4:4" x14ac:dyDescent="0.3">
      <c r="D2150" s="30"/>
    </row>
    <row r="2152" spans="4:4" x14ac:dyDescent="0.3">
      <c r="D2152" s="30"/>
    </row>
    <row r="2153" spans="4:4" x14ac:dyDescent="0.3">
      <c r="D2153" s="30"/>
    </row>
    <row r="2156" spans="4:4" x14ac:dyDescent="0.3">
      <c r="D2156" s="30"/>
    </row>
    <row r="2157" spans="4:4" x14ac:dyDescent="0.3">
      <c r="D2157" s="30"/>
    </row>
    <row r="2160" spans="4:4" x14ac:dyDescent="0.3">
      <c r="D2160" s="30"/>
    </row>
    <row r="2162" spans="4:4" x14ac:dyDescent="0.3">
      <c r="D2162" s="30"/>
    </row>
    <row r="2163" spans="4:4" x14ac:dyDescent="0.3">
      <c r="D2163" s="30"/>
    </row>
    <row r="2166" spans="4:4" x14ac:dyDescent="0.3">
      <c r="D2166" s="30"/>
    </row>
    <row r="2168" spans="4:4" x14ac:dyDescent="0.3">
      <c r="D2168" s="30"/>
    </row>
    <row r="2169" spans="4:4" x14ac:dyDescent="0.3">
      <c r="D2169" s="30"/>
    </row>
    <row r="2172" spans="4:4" x14ac:dyDescent="0.3">
      <c r="D2172" s="30"/>
    </row>
    <row r="2173" spans="4:4" x14ac:dyDescent="0.3">
      <c r="D2173" s="30"/>
    </row>
    <row r="2174" spans="4:4" x14ac:dyDescent="0.3">
      <c r="D2174" s="30"/>
    </row>
    <row r="2177" spans="4:4" x14ac:dyDescent="0.3">
      <c r="D2177" s="30"/>
    </row>
    <row r="2179" spans="4:4" x14ac:dyDescent="0.3">
      <c r="D2179" s="30"/>
    </row>
    <row r="2180" spans="4:4" x14ac:dyDescent="0.3">
      <c r="D2180" s="30"/>
    </row>
    <row r="2183" spans="4:4" x14ac:dyDescent="0.3">
      <c r="D2183" s="30"/>
    </row>
    <row r="2185" spans="4:4" x14ac:dyDescent="0.3">
      <c r="D2185" s="30"/>
    </row>
    <row r="2186" spans="4:4" x14ac:dyDescent="0.3">
      <c r="D2186" s="30"/>
    </row>
    <row r="2189" spans="4:4" x14ac:dyDescent="0.3">
      <c r="D2189" s="30"/>
    </row>
    <row r="2190" spans="4:4" x14ac:dyDescent="0.3">
      <c r="D2190" s="30"/>
    </row>
    <row r="2193" spans="4:4" x14ac:dyDescent="0.3">
      <c r="D2193" s="30"/>
    </row>
    <row r="2194" spans="4:4" x14ac:dyDescent="0.3">
      <c r="D2194" s="30"/>
    </row>
    <row r="2197" spans="4:4" x14ac:dyDescent="0.3">
      <c r="D2197" s="30"/>
    </row>
    <row r="2198" spans="4:4" x14ac:dyDescent="0.3">
      <c r="D2198" s="30"/>
    </row>
    <row r="2201" spans="4:4" x14ac:dyDescent="0.3">
      <c r="D2201" s="30"/>
    </row>
    <row r="2203" spans="4:4" x14ac:dyDescent="0.3">
      <c r="D2203" s="30"/>
    </row>
    <row r="2204" spans="4:4" x14ac:dyDescent="0.3">
      <c r="D2204" s="30"/>
    </row>
    <row r="2207" spans="4:4" x14ac:dyDescent="0.3">
      <c r="D2207" s="30"/>
    </row>
    <row r="2209" spans="4:4" x14ac:dyDescent="0.3">
      <c r="D2209" s="30"/>
    </row>
    <row r="2210" spans="4:4" x14ac:dyDescent="0.3">
      <c r="D2210" s="30"/>
    </row>
    <row r="2213" spans="4:4" x14ac:dyDescent="0.3">
      <c r="D2213" s="30"/>
    </row>
    <row r="2215" spans="4:4" x14ac:dyDescent="0.3">
      <c r="D2215" s="30"/>
    </row>
    <row r="2216" spans="4:4" x14ac:dyDescent="0.3">
      <c r="D2216" s="30"/>
    </row>
    <row r="2219" spans="4:4" x14ac:dyDescent="0.3">
      <c r="D2219" s="30"/>
    </row>
    <row r="2221" spans="4:4" x14ac:dyDescent="0.3">
      <c r="D2221" s="30"/>
    </row>
    <row r="2222" spans="4:4" x14ac:dyDescent="0.3">
      <c r="D2222" s="30"/>
    </row>
    <row r="2224" spans="4:4" x14ac:dyDescent="0.3">
      <c r="D2224" s="30"/>
    </row>
    <row r="2225" spans="4:4" x14ac:dyDescent="0.3">
      <c r="D2225" s="30"/>
    </row>
    <row r="2228" spans="4:4" x14ac:dyDescent="0.3">
      <c r="D2228" s="30"/>
    </row>
    <row r="2229" spans="4:4" x14ac:dyDescent="0.3">
      <c r="D2229" s="30"/>
    </row>
    <row r="2230" spans="4:4" x14ac:dyDescent="0.3">
      <c r="D2230" s="30"/>
    </row>
    <row r="2233" spans="4:4" x14ac:dyDescent="0.3">
      <c r="D2233" s="30"/>
    </row>
    <row r="2235" spans="4:4" x14ac:dyDescent="0.3">
      <c r="D2235" s="30"/>
    </row>
    <row r="2236" spans="4:4" x14ac:dyDescent="0.3">
      <c r="D2236" s="30"/>
    </row>
    <row r="2239" spans="4:4" x14ac:dyDescent="0.3">
      <c r="D2239" s="30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D707-EE38-48D3-B591-428324B9DCED}">
  <sheetPr codeName="工作表8"/>
  <dimension ref="A1:N1118"/>
  <sheetViews>
    <sheetView tabSelected="1" workbookViewId="0">
      <selection activeCell="H14" sqref="H14"/>
    </sheetView>
  </sheetViews>
  <sheetFormatPr defaultRowHeight="16.2" x14ac:dyDescent="0.3"/>
  <cols>
    <col min="1" max="1" width="31.88671875" bestFit="1" customWidth="1"/>
    <col min="2" max="2" width="13.88671875" bestFit="1" customWidth="1"/>
    <col min="11" max="11" width="22.33203125" bestFit="1" customWidth="1"/>
    <col min="13" max="13" width="10.5546875" bestFit="1" customWidth="1"/>
  </cols>
  <sheetData>
    <row r="1" spans="1:14" x14ac:dyDescent="0.3">
      <c r="K1" t="s">
        <v>1045</v>
      </c>
      <c r="L1" t="s">
        <v>79</v>
      </c>
      <c r="M1" t="s">
        <v>1046</v>
      </c>
      <c r="N1" t="s">
        <v>1047</v>
      </c>
    </row>
    <row r="2" spans="1:14" x14ac:dyDescent="0.3">
      <c r="K2" t="s">
        <v>289</v>
      </c>
      <c r="L2">
        <v>63.005400000000002</v>
      </c>
      <c r="M2" t="e">
        <f>_xlfn.XLOOKUP(K2,A:A,B:B)</f>
        <v>#N/A</v>
      </c>
      <c r="N2" t="e">
        <f>L2-M2</f>
        <v>#N/A</v>
      </c>
    </row>
    <row r="3" spans="1:14" x14ac:dyDescent="0.3">
      <c r="A3" s="61" t="s">
        <v>1043</v>
      </c>
      <c r="B3" t="s">
        <v>1062</v>
      </c>
      <c r="K3" t="s">
        <v>290</v>
      </c>
      <c r="L3">
        <v>63.005400000000002</v>
      </c>
      <c r="M3" t="e">
        <f t="shared" ref="M3:M66" si="0">_xlfn.XLOOKUP(K3,A:A,B:B)</f>
        <v>#N/A</v>
      </c>
      <c r="N3" t="e">
        <f t="shared" ref="N3:N66" si="1">L3-M3</f>
        <v>#N/A</v>
      </c>
    </row>
    <row r="4" spans="1:14" x14ac:dyDescent="0.3">
      <c r="A4" s="62" t="s">
        <v>1061</v>
      </c>
      <c r="B4" s="70">
        <v>2242</v>
      </c>
      <c r="K4" t="s">
        <v>290</v>
      </c>
      <c r="L4">
        <v>63.005400000000002</v>
      </c>
      <c r="M4" t="e">
        <f t="shared" si="0"/>
        <v>#N/A</v>
      </c>
      <c r="N4" t="e">
        <f t="shared" si="1"/>
        <v>#N/A</v>
      </c>
    </row>
    <row r="5" spans="1:14" x14ac:dyDescent="0.3">
      <c r="A5" s="62" t="s">
        <v>1127</v>
      </c>
      <c r="B5" s="70">
        <v>30</v>
      </c>
      <c r="K5" t="s">
        <v>291</v>
      </c>
      <c r="L5">
        <v>66.381200000000007</v>
      </c>
      <c r="M5" t="e">
        <f t="shared" si="0"/>
        <v>#N/A</v>
      </c>
      <c r="N5" t="e">
        <f t="shared" si="1"/>
        <v>#N/A</v>
      </c>
    </row>
    <row r="6" spans="1:14" x14ac:dyDescent="0.3">
      <c r="A6" s="62" t="s">
        <v>1128</v>
      </c>
      <c r="B6" s="70">
        <v>21</v>
      </c>
      <c r="K6" t="s">
        <v>292</v>
      </c>
      <c r="L6">
        <v>41.540599999999998</v>
      </c>
      <c r="M6" t="e">
        <f t="shared" si="0"/>
        <v>#N/A</v>
      </c>
      <c r="N6" t="e">
        <f t="shared" si="1"/>
        <v>#N/A</v>
      </c>
    </row>
    <row r="7" spans="1:14" x14ac:dyDescent="0.3">
      <c r="A7" s="62" t="s">
        <v>1129</v>
      </c>
      <c r="B7" s="70">
        <v>10</v>
      </c>
      <c r="K7" t="s">
        <v>293</v>
      </c>
      <c r="L7">
        <v>54.323</v>
      </c>
      <c r="M7" t="e">
        <f t="shared" si="0"/>
        <v>#N/A</v>
      </c>
      <c r="N7" t="e">
        <f t="shared" si="1"/>
        <v>#N/A</v>
      </c>
    </row>
    <row r="8" spans="1:14" x14ac:dyDescent="0.3">
      <c r="A8" s="62" t="s">
        <v>1130</v>
      </c>
      <c r="B8" s="70">
        <v>29</v>
      </c>
      <c r="K8" t="s">
        <v>294</v>
      </c>
      <c r="L8">
        <v>53.302100000000003</v>
      </c>
      <c r="M8" t="e">
        <f t="shared" si="0"/>
        <v>#N/A</v>
      </c>
      <c r="N8" t="e">
        <f t="shared" si="1"/>
        <v>#N/A</v>
      </c>
    </row>
    <row r="9" spans="1:14" x14ac:dyDescent="0.3">
      <c r="A9" s="62" t="s">
        <v>1131</v>
      </c>
      <c r="B9" s="70">
        <v>4</v>
      </c>
      <c r="K9" t="s">
        <v>295</v>
      </c>
      <c r="L9">
        <v>3.8959999999999999</v>
      </c>
      <c r="M9" t="e">
        <f t="shared" si="0"/>
        <v>#N/A</v>
      </c>
      <c r="N9" t="e">
        <f t="shared" si="1"/>
        <v>#N/A</v>
      </c>
    </row>
    <row r="10" spans="1:14" x14ac:dyDescent="0.3">
      <c r="A10" s="62" t="s">
        <v>1132</v>
      </c>
      <c r="B10" s="70">
        <v>1</v>
      </c>
      <c r="K10" t="s">
        <v>296</v>
      </c>
      <c r="L10">
        <v>13.8994</v>
      </c>
      <c r="M10" t="e">
        <f t="shared" si="0"/>
        <v>#N/A</v>
      </c>
      <c r="N10" t="e">
        <f t="shared" si="1"/>
        <v>#N/A</v>
      </c>
    </row>
    <row r="11" spans="1:14" x14ac:dyDescent="0.3">
      <c r="A11" s="62" t="s">
        <v>1044</v>
      </c>
      <c r="B11" s="70">
        <v>2337</v>
      </c>
      <c r="K11" t="s">
        <v>286</v>
      </c>
      <c r="L11">
        <v>13.0144</v>
      </c>
      <c r="M11" t="e">
        <f t="shared" si="0"/>
        <v>#N/A</v>
      </c>
      <c r="N11" t="e">
        <f t="shared" si="1"/>
        <v>#N/A</v>
      </c>
    </row>
    <row r="12" spans="1:14" x14ac:dyDescent="0.3">
      <c r="K12" t="s">
        <v>297</v>
      </c>
      <c r="L12">
        <v>5.5213999999999999</v>
      </c>
      <c r="M12" t="e">
        <f t="shared" si="0"/>
        <v>#N/A</v>
      </c>
      <c r="N12" t="e">
        <f t="shared" si="1"/>
        <v>#N/A</v>
      </c>
    </row>
    <row r="13" spans="1:14" x14ac:dyDescent="0.3">
      <c r="K13" t="s">
        <v>298</v>
      </c>
      <c r="L13">
        <v>14.098000000000001</v>
      </c>
      <c r="M13" t="e">
        <f t="shared" si="0"/>
        <v>#N/A</v>
      </c>
      <c r="N13" t="e">
        <f t="shared" si="1"/>
        <v>#N/A</v>
      </c>
    </row>
    <row r="14" spans="1:14" x14ac:dyDescent="0.3">
      <c r="K14" t="s">
        <v>299</v>
      </c>
      <c r="L14">
        <v>14.098000000000001</v>
      </c>
      <c r="M14" t="e">
        <f t="shared" si="0"/>
        <v>#N/A</v>
      </c>
      <c r="N14" t="e">
        <f t="shared" si="1"/>
        <v>#N/A</v>
      </c>
    </row>
    <row r="15" spans="1:14" x14ac:dyDescent="0.3">
      <c r="K15" t="s">
        <v>300</v>
      </c>
      <c r="L15">
        <v>13.754799999999999</v>
      </c>
      <c r="M15" t="e">
        <f t="shared" si="0"/>
        <v>#N/A</v>
      </c>
      <c r="N15" t="e">
        <f t="shared" si="1"/>
        <v>#N/A</v>
      </c>
    </row>
    <row r="16" spans="1:14" x14ac:dyDescent="0.3">
      <c r="K16" t="s">
        <v>372</v>
      </c>
      <c r="L16">
        <v>15.7234</v>
      </c>
      <c r="M16" t="e">
        <f t="shared" si="0"/>
        <v>#N/A</v>
      </c>
      <c r="N16" t="e">
        <f t="shared" si="1"/>
        <v>#N/A</v>
      </c>
    </row>
    <row r="17" spans="3:14" x14ac:dyDescent="0.3">
      <c r="C17">
        <f>50*2^(-1)</f>
        <v>25</v>
      </c>
      <c r="K17" t="s">
        <v>373</v>
      </c>
      <c r="L17">
        <v>15.7234</v>
      </c>
      <c r="M17" t="e">
        <f t="shared" si="0"/>
        <v>#N/A</v>
      </c>
      <c r="N17" t="e">
        <f t="shared" si="1"/>
        <v>#N/A</v>
      </c>
    </row>
    <row r="18" spans="3:14" x14ac:dyDescent="0.3">
      <c r="C18">
        <f>SQRT(50)</f>
        <v>7.0710678118654755</v>
      </c>
      <c r="K18" t="s">
        <v>374</v>
      </c>
      <c r="L18">
        <v>4.0225</v>
      </c>
      <c r="M18" t="e">
        <f t="shared" si="0"/>
        <v>#N/A</v>
      </c>
      <c r="N18" t="e">
        <f t="shared" si="1"/>
        <v>#N/A</v>
      </c>
    </row>
    <row r="19" spans="3:14" x14ac:dyDescent="0.3">
      <c r="K19" t="s">
        <v>375</v>
      </c>
      <c r="L19">
        <v>4.0225</v>
      </c>
      <c r="M19" t="e">
        <f t="shared" si="0"/>
        <v>#N/A</v>
      </c>
      <c r="N19" t="e">
        <f t="shared" si="1"/>
        <v>#N/A</v>
      </c>
    </row>
    <row r="20" spans="3:14" x14ac:dyDescent="0.3">
      <c r="K20" t="s">
        <v>376</v>
      </c>
      <c r="L20">
        <v>4.5675999999999997</v>
      </c>
      <c r="M20" t="e">
        <f t="shared" si="0"/>
        <v>#N/A</v>
      </c>
      <c r="N20" t="e">
        <f t="shared" si="1"/>
        <v>#N/A</v>
      </c>
    </row>
    <row r="21" spans="3:14" x14ac:dyDescent="0.3">
      <c r="K21" t="s">
        <v>377</v>
      </c>
      <c r="L21">
        <v>13.149699999999999</v>
      </c>
      <c r="M21" t="e">
        <f t="shared" si="0"/>
        <v>#N/A</v>
      </c>
      <c r="N21" t="e">
        <f t="shared" si="1"/>
        <v>#N/A</v>
      </c>
    </row>
    <row r="22" spans="3:14" x14ac:dyDescent="0.3">
      <c r="K22" t="s">
        <v>378</v>
      </c>
      <c r="L22">
        <v>14.034700000000001</v>
      </c>
      <c r="M22" t="e">
        <f t="shared" si="0"/>
        <v>#N/A</v>
      </c>
      <c r="N22" t="e">
        <f t="shared" si="1"/>
        <v>#N/A</v>
      </c>
    </row>
    <row r="23" spans="3:14" x14ac:dyDescent="0.3">
      <c r="K23" t="s">
        <v>379</v>
      </c>
      <c r="L23">
        <v>13.149699999999999</v>
      </c>
      <c r="M23" t="e">
        <f t="shared" si="0"/>
        <v>#N/A</v>
      </c>
      <c r="N23" t="e">
        <f t="shared" si="1"/>
        <v>#N/A</v>
      </c>
    </row>
    <row r="24" spans="3:14" x14ac:dyDescent="0.3">
      <c r="E24">
        <f>290*SQRT(2)</f>
        <v>410.12193308819758</v>
      </c>
      <c r="K24" t="s">
        <v>379</v>
      </c>
      <c r="L24">
        <v>13.149699999999999</v>
      </c>
      <c r="M24" t="e">
        <f t="shared" si="0"/>
        <v>#N/A</v>
      </c>
      <c r="N24" t="e">
        <f t="shared" si="1"/>
        <v>#N/A</v>
      </c>
    </row>
    <row r="25" spans="3:14" x14ac:dyDescent="0.3">
      <c r="K25" t="s">
        <v>380</v>
      </c>
      <c r="L25">
        <v>5.3178999999999998</v>
      </c>
      <c r="M25" t="e">
        <f t="shared" si="0"/>
        <v>#N/A</v>
      </c>
      <c r="N25" t="e">
        <f t="shared" si="1"/>
        <v>#N/A</v>
      </c>
    </row>
    <row r="26" spans="3:14" x14ac:dyDescent="0.3">
      <c r="K26" t="s">
        <v>381</v>
      </c>
      <c r="L26">
        <v>13.9</v>
      </c>
      <c r="M26" t="e">
        <f t="shared" si="0"/>
        <v>#N/A</v>
      </c>
      <c r="N26" t="e">
        <f t="shared" si="1"/>
        <v>#N/A</v>
      </c>
    </row>
    <row r="27" spans="3:14" x14ac:dyDescent="0.3">
      <c r="K27" t="s">
        <v>382</v>
      </c>
      <c r="L27">
        <v>14.785</v>
      </c>
      <c r="M27" t="e">
        <f t="shared" si="0"/>
        <v>#N/A</v>
      </c>
      <c r="N27" t="e">
        <f t="shared" si="1"/>
        <v>#N/A</v>
      </c>
    </row>
    <row r="28" spans="3:14" x14ac:dyDescent="0.3">
      <c r="K28" t="s">
        <v>382</v>
      </c>
      <c r="L28">
        <v>14.785</v>
      </c>
      <c r="M28" t="e">
        <f t="shared" si="0"/>
        <v>#N/A</v>
      </c>
      <c r="N28" t="e">
        <f t="shared" si="1"/>
        <v>#N/A</v>
      </c>
    </row>
    <row r="29" spans="3:14" x14ac:dyDescent="0.3">
      <c r="K29" t="s">
        <v>383</v>
      </c>
      <c r="L29">
        <v>14.9902</v>
      </c>
      <c r="M29" t="e">
        <f t="shared" si="0"/>
        <v>#N/A</v>
      </c>
      <c r="N29" t="e">
        <f t="shared" si="1"/>
        <v>#N/A</v>
      </c>
    </row>
    <row r="30" spans="3:14" x14ac:dyDescent="0.3">
      <c r="K30" t="s">
        <v>384</v>
      </c>
      <c r="L30">
        <v>4.2767999999999997</v>
      </c>
      <c r="M30" t="e">
        <f t="shared" si="0"/>
        <v>#N/A</v>
      </c>
      <c r="N30" t="e">
        <f t="shared" si="1"/>
        <v>#N/A</v>
      </c>
    </row>
    <row r="31" spans="3:14" x14ac:dyDescent="0.3">
      <c r="K31" t="s">
        <v>384</v>
      </c>
      <c r="L31">
        <v>4.2767999999999997</v>
      </c>
      <c r="M31" t="e">
        <f t="shared" si="0"/>
        <v>#N/A</v>
      </c>
      <c r="N31" t="e">
        <f t="shared" si="1"/>
        <v>#N/A</v>
      </c>
    </row>
    <row r="32" spans="3:14" x14ac:dyDescent="0.3">
      <c r="K32" t="s">
        <v>384</v>
      </c>
      <c r="L32">
        <v>4.2767999999999997</v>
      </c>
      <c r="M32" t="e">
        <f t="shared" si="0"/>
        <v>#N/A</v>
      </c>
      <c r="N32" t="e">
        <f t="shared" si="1"/>
        <v>#N/A</v>
      </c>
    </row>
    <row r="33" spans="11:14" x14ac:dyDescent="0.3">
      <c r="K33" t="s">
        <v>385</v>
      </c>
      <c r="L33">
        <v>6.1905000000000001</v>
      </c>
      <c r="M33" t="e">
        <f t="shared" si="0"/>
        <v>#N/A</v>
      </c>
      <c r="N33" t="e">
        <f t="shared" si="1"/>
        <v>#N/A</v>
      </c>
    </row>
    <row r="34" spans="11:14" x14ac:dyDescent="0.3">
      <c r="K34" t="s">
        <v>386</v>
      </c>
      <c r="L34">
        <v>7.5664999999999996</v>
      </c>
      <c r="M34" t="e">
        <f t="shared" si="0"/>
        <v>#N/A</v>
      </c>
      <c r="N34" t="e">
        <f t="shared" si="1"/>
        <v>#N/A</v>
      </c>
    </row>
    <row r="35" spans="11:14" x14ac:dyDescent="0.3">
      <c r="K35" t="s">
        <v>387</v>
      </c>
      <c r="L35">
        <v>16.8749</v>
      </c>
      <c r="M35" t="e">
        <f t="shared" si="0"/>
        <v>#N/A</v>
      </c>
      <c r="N35" t="e">
        <f t="shared" si="1"/>
        <v>#N/A</v>
      </c>
    </row>
    <row r="36" spans="11:14" x14ac:dyDescent="0.3">
      <c r="K36" t="s">
        <v>387</v>
      </c>
      <c r="L36">
        <v>16.8749</v>
      </c>
      <c r="M36" t="e">
        <f t="shared" si="0"/>
        <v>#N/A</v>
      </c>
      <c r="N36" t="e">
        <f t="shared" si="1"/>
        <v>#N/A</v>
      </c>
    </row>
    <row r="37" spans="11:14" x14ac:dyDescent="0.3">
      <c r="K37" t="s">
        <v>388</v>
      </c>
      <c r="L37">
        <v>16.8749</v>
      </c>
      <c r="M37" t="e">
        <f t="shared" si="0"/>
        <v>#N/A</v>
      </c>
      <c r="N37" t="e">
        <f t="shared" si="1"/>
        <v>#N/A</v>
      </c>
    </row>
    <row r="38" spans="11:14" x14ac:dyDescent="0.3">
      <c r="K38" t="s">
        <v>388</v>
      </c>
      <c r="L38">
        <v>16.8749</v>
      </c>
      <c r="M38" t="e">
        <f t="shared" si="0"/>
        <v>#N/A</v>
      </c>
      <c r="N38" t="e">
        <f t="shared" si="1"/>
        <v>#N/A</v>
      </c>
    </row>
    <row r="39" spans="11:14" x14ac:dyDescent="0.3">
      <c r="K39" t="s">
        <v>388</v>
      </c>
      <c r="L39">
        <v>16.8749</v>
      </c>
      <c r="M39" t="e">
        <f t="shared" si="0"/>
        <v>#N/A</v>
      </c>
      <c r="N39" t="e">
        <f t="shared" si="1"/>
        <v>#N/A</v>
      </c>
    </row>
    <row r="40" spans="11:14" x14ac:dyDescent="0.3">
      <c r="K40" t="s">
        <v>389</v>
      </c>
      <c r="L40">
        <v>18.250900000000001</v>
      </c>
      <c r="M40" t="e">
        <f t="shared" si="0"/>
        <v>#N/A</v>
      </c>
      <c r="N40" t="e">
        <f t="shared" si="1"/>
        <v>#N/A</v>
      </c>
    </row>
    <row r="41" spans="11:14" x14ac:dyDescent="0.3">
      <c r="K41" t="s">
        <v>390</v>
      </c>
      <c r="L41">
        <v>19.135899999999999</v>
      </c>
      <c r="M41" t="e">
        <f t="shared" si="0"/>
        <v>#N/A</v>
      </c>
      <c r="N41" t="e">
        <f t="shared" si="1"/>
        <v>#N/A</v>
      </c>
    </row>
    <row r="42" spans="11:14" x14ac:dyDescent="0.3">
      <c r="K42" t="s">
        <v>391</v>
      </c>
      <c r="L42">
        <v>19.135899999999999</v>
      </c>
      <c r="M42" t="e">
        <f t="shared" si="0"/>
        <v>#N/A</v>
      </c>
      <c r="N42" t="e">
        <f t="shared" si="1"/>
        <v>#N/A</v>
      </c>
    </row>
    <row r="43" spans="11:14" x14ac:dyDescent="0.3">
      <c r="K43" t="s">
        <v>391</v>
      </c>
      <c r="L43">
        <v>19.135899999999999</v>
      </c>
      <c r="M43" t="e">
        <f t="shared" si="0"/>
        <v>#N/A</v>
      </c>
      <c r="N43" t="e">
        <f t="shared" si="1"/>
        <v>#N/A</v>
      </c>
    </row>
    <row r="44" spans="11:14" x14ac:dyDescent="0.3">
      <c r="K44" t="s">
        <v>392</v>
      </c>
      <c r="L44">
        <v>20.266400000000001</v>
      </c>
      <c r="M44" t="e">
        <f t="shared" si="0"/>
        <v>#N/A</v>
      </c>
      <c r="N44" t="e">
        <f t="shared" si="1"/>
        <v>#N/A</v>
      </c>
    </row>
    <row r="45" spans="11:14" x14ac:dyDescent="0.3">
      <c r="K45" t="s">
        <v>393</v>
      </c>
      <c r="L45">
        <v>10.696300000000001</v>
      </c>
      <c r="M45" t="e">
        <f t="shared" si="0"/>
        <v>#N/A</v>
      </c>
      <c r="N45" t="e">
        <f t="shared" si="1"/>
        <v>#N/A</v>
      </c>
    </row>
    <row r="46" spans="11:14" x14ac:dyDescent="0.3">
      <c r="K46" t="s">
        <v>393</v>
      </c>
      <c r="L46">
        <v>10.696300000000001</v>
      </c>
      <c r="M46" t="e">
        <f t="shared" si="0"/>
        <v>#N/A</v>
      </c>
      <c r="N46" t="e">
        <f t="shared" si="1"/>
        <v>#N/A</v>
      </c>
    </row>
    <row r="47" spans="11:14" x14ac:dyDescent="0.3">
      <c r="K47" t="s">
        <v>394</v>
      </c>
      <c r="L47">
        <v>13.916499999999999</v>
      </c>
      <c r="M47" t="e">
        <f t="shared" si="0"/>
        <v>#N/A</v>
      </c>
      <c r="N47" t="e">
        <f t="shared" si="1"/>
        <v>#N/A</v>
      </c>
    </row>
    <row r="48" spans="11:14" x14ac:dyDescent="0.3">
      <c r="K48" t="s">
        <v>394</v>
      </c>
      <c r="L48">
        <v>13.916499999999999</v>
      </c>
      <c r="M48" t="e">
        <f t="shared" si="0"/>
        <v>#N/A</v>
      </c>
      <c r="N48" t="e">
        <f t="shared" si="1"/>
        <v>#N/A</v>
      </c>
    </row>
    <row r="49" spans="11:14" x14ac:dyDescent="0.3">
      <c r="K49" t="s">
        <v>395</v>
      </c>
      <c r="L49">
        <v>17.007000000000001</v>
      </c>
      <c r="M49" t="e">
        <f t="shared" si="0"/>
        <v>#N/A</v>
      </c>
      <c r="N49" t="e">
        <f t="shared" si="1"/>
        <v>#N/A</v>
      </c>
    </row>
    <row r="50" spans="11:14" x14ac:dyDescent="0.3">
      <c r="K50" t="s">
        <v>396</v>
      </c>
      <c r="L50">
        <v>17.136700000000001</v>
      </c>
      <c r="M50" t="e">
        <f t="shared" si="0"/>
        <v>#N/A</v>
      </c>
      <c r="N50" t="e">
        <f t="shared" si="1"/>
        <v>#N/A</v>
      </c>
    </row>
    <row r="51" spans="11:14" x14ac:dyDescent="0.3">
      <c r="K51" t="s">
        <v>397</v>
      </c>
      <c r="L51">
        <v>29.611699999999999</v>
      </c>
      <c r="M51" t="e">
        <f t="shared" si="0"/>
        <v>#N/A</v>
      </c>
      <c r="N51" t="e">
        <f t="shared" si="1"/>
        <v>#N/A</v>
      </c>
    </row>
    <row r="52" spans="11:14" x14ac:dyDescent="0.3">
      <c r="K52" t="s">
        <v>398</v>
      </c>
      <c r="L52">
        <v>29.611699999999999</v>
      </c>
      <c r="M52" t="e">
        <f t="shared" si="0"/>
        <v>#N/A</v>
      </c>
      <c r="N52" t="e">
        <f t="shared" si="1"/>
        <v>#N/A</v>
      </c>
    </row>
    <row r="53" spans="11:14" x14ac:dyDescent="0.3">
      <c r="K53" t="s">
        <v>399</v>
      </c>
      <c r="L53">
        <v>31.221800000000002</v>
      </c>
      <c r="M53" t="e">
        <f t="shared" si="0"/>
        <v>#N/A</v>
      </c>
      <c r="N53" t="e">
        <f t="shared" si="1"/>
        <v>#N/A</v>
      </c>
    </row>
    <row r="54" spans="11:14" x14ac:dyDescent="0.3">
      <c r="K54" t="s">
        <v>400</v>
      </c>
      <c r="L54">
        <v>31.221800000000002</v>
      </c>
      <c r="M54" t="e">
        <f t="shared" si="0"/>
        <v>#N/A</v>
      </c>
      <c r="N54" t="e">
        <f t="shared" si="1"/>
        <v>#N/A</v>
      </c>
    </row>
    <row r="55" spans="11:14" x14ac:dyDescent="0.3">
      <c r="K55" t="s">
        <v>401</v>
      </c>
      <c r="L55">
        <v>16.8445</v>
      </c>
      <c r="M55" t="e">
        <f t="shared" si="0"/>
        <v>#N/A</v>
      </c>
      <c r="N55" t="e">
        <f t="shared" si="1"/>
        <v>#N/A</v>
      </c>
    </row>
    <row r="56" spans="11:14" x14ac:dyDescent="0.3">
      <c r="K56" t="s">
        <v>402</v>
      </c>
      <c r="L56">
        <v>35.787999999999997</v>
      </c>
      <c r="M56" t="e">
        <f t="shared" si="0"/>
        <v>#N/A</v>
      </c>
      <c r="N56" t="e">
        <f t="shared" si="1"/>
        <v>#N/A</v>
      </c>
    </row>
    <row r="57" spans="11:14" x14ac:dyDescent="0.3">
      <c r="K57" t="s">
        <v>403</v>
      </c>
      <c r="L57">
        <v>25.3384</v>
      </c>
      <c r="M57" t="e">
        <f t="shared" si="0"/>
        <v>#N/A</v>
      </c>
      <c r="N57" t="e">
        <f t="shared" si="1"/>
        <v>#N/A</v>
      </c>
    </row>
    <row r="58" spans="11:14" x14ac:dyDescent="0.3">
      <c r="K58" t="s">
        <v>404</v>
      </c>
      <c r="L58">
        <v>36.673000000000002</v>
      </c>
      <c r="M58" t="e">
        <f t="shared" si="0"/>
        <v>#N/A</v>
      </c>
      <c r="N58" t="e">
        <f t="shared" si="1"/>
        <v>#N/A</v>
      </c>
    </row>
    <row r="59" spans="11:14" x14ac:dyDescent="0.3">
      <c r="K59" t="s">
        <v>405</v>
      </c>
      <c r="L59">
        <v>36.673000000000002</v>
      </c>
      <c r="M59" t="e">
        <f t="shared" si="0"/>
        <v>#N/A</v>
      </c>
      <c r="N59" t="e">
        <f t="shared" si="1"/>
        <v>#N/A</v>
      </c>
    </row>
    <row r="60" spans="11:14" x14ac:dyDescent="0.3">
      <c r="K60" t="s">
        <v>406</v>
      </c>
      <c r="L60">
        <v>25.3384</v>
      </c>
      <c r="M60" t="e">
        <f t="shared" si="0"/>
        <v>#N/A</v>
      </c>
      <c r="N60" t="e">
        <f t="shared" si="1"/>
        <v>#N/A</v>
      </c>
    </row>
    <row r="61" spans="11:14" x14ac:dyDescent="0.3">
      <c r="K61" t="s">
        <v>407</v>
      </c>
      <c r="L61">
        <v>28.169699999999999</v>
      </c>
      <c r="M61" t="e">
        <f t="shared" si="0"/>
        <v>#N/A</v>
      </c>
      <c r="N61" t="e">
        <f t="shared" si="1"/>
        <v>#N/A</v>
      </c>
    </row>
    <row r="62" spans="11:14" x14ac:dyDescent="0.3">
      <c r="K62" t="s">
        <v>408</v>
      </c>
      <c r="L62">
        <v>29.0547</v>
      </c>
      <c r="M62" t="e">
        <f t="shared" si="0"/>
        <v>#N/A</v>
      </c>
      <c r="N62" t="e">
        <f t="shared" si="1"/>
        <v>#N/A</v>
      </c>
    </row>
    <row r="63" spans="11:14" x14ac:dyDescent="0.3">
      <c r="K63" t="s">
        <v>409</v>
      </c>
      <c r="L63">
        <v>29.0547</v>
      </c>
      <c r="M63" t="e">
        <f t="shared" si="0"/>
        <v>#N/A</v>
      </c>
      <c r="N63" t="e">
        <f t="shared" si="1"/>
        <v>#N/A</v>
      </c>
    </row>
    <row r="64" spans="11:14" x14ac:dyDescent="0.3">
      <c r="K64" t="s">
        <v>410</v>
      </c>
      <c r="L64">
        <v>35.230899999999998</v>
      </c>
      <c r="M64" t="e">
        <f t="shared" si="0"/>
        <v>#N/A</v>
      </c>
      <c r="N64" t="e">
        <f t="shared" si="1"/>
        <v>#N/A</v>
      </c>
    </row>
    <row r="65" spans="11:14" x14ac:dyDescent="0.3">
      <c r="K65" t="s">
        <v>411</v>
      </c>
      <c r="L65">
        <v>41.450600000000001</v>
      </c>
      <c r="M65" t="e">
        <f t="shared" si="0"/>
        <v>#N/A</v>
      </c>
      <c r="N65" t="e">
        <f t="shared" si="1"/>
        <v>#N/A</v>
      </c>
    </row>
    <row r="66" spans="11:14" x14ac:dyDescent="0.3">
      <c r="K66" t="s">
        <v>412</v>
      </c>
      <c r="L66">
        <v>42.335599999999999</v>
      </c>
      <c r="M66" t="e">
        <f t="shared" si="0"/>
        <v>#N/A</v>
      </c>
      <c r="N66" t="e">
        <f t="shared" si="1"/>
        <v>#N/A</v>
      </c>
    </row>
    <row r="67" spans="11:14" x14ac:dyDescent="0.3">
      <c r="K67" t="s">
        <v>413</v>
      </c>
      <c r="L67">
        <v>42.335599999999999</v>
      </c>
      <c r="M67" t="e">
        <f t="shared" ref="M67:M130" si="2">_xlfn.XLOOKUP(K67,A:A,B:B)</f>
        <v>#N/A</v>
      </c>
      <c r="N67" t="e">
        <f t="shared" ref="N67:N130" si="3">L67-M67</f>
        <v>#N/A</v>
      </c>
    </row>
    <row r="68" spans="11:14" x14ac:dyDescent="0.3">
      <c r="K68" t="s">
        <v>414</v>
      </c>
      <c r="L68">
        <v>33.832299999999996</v>
      </c>
      <c r="M68" t="e">
        <f t="shared" si="2"/>
        <v>#N/A</v>
      </c>
      <c r="N68" t="e">
        <f t="shared" si="3"/>
        <v>#N/A</v>
      </c>
    </row>
    <row r="69" spans="11:14" x14ac:dyDescent="0.3">
      <c r="K69" t="s">
        <v>415</v>
      </c>
      <c r="L69">
        <v>34.717300000000002</v>
      </c>
      <c r="M69" t="e">
        <f t="shared" si="2"/>
        <v>#N/A</v>
      </c>
      <c r="N69" t="e">
        <f t="shared" si="3"/>
        <v>#N/A</v>
      </c>
    </row>
    <row r="70" spans="11:14" x14ac:dyDescent="0.3">
      <c r="K70" t="s">
        <v>415</v>
      </c>
      <c r="L70">
        <v>34.717300000000002</v>
      </c>
      <c r="M70" t="e">
        <f t="shared" si="2"/>
        <v>#N/A</v>
      </c>
      <c r="N70" t="e">
        <f t="shared" si="3"/>
        <v>#N/A</v>
      </c>
    </row>
    <row r="71" spans="11:14" x14ac:dyDescent="0.3">
      <c r="K71" t="s">
        <v>416</v>
      </c>
      <c r="L71">
        <v>37.047499999999999</v>
      </c>
      <c r="M71" t="e">
        <f t="shared" si="2"/>
        <v>#N/A</v>
      </c>
      <c r="N71" t="e">
        <f t="shared" si="3"/>
        <v>#N/A</v>
      </c>
    </row>
    <row r="72" spans="11:14" x14ac:dyDescent="0.3">
      <c r="K72" t="s">
        <v>417</v>
      </c>
      <c r="L72">
        <v>15.2873</v>
      </c>
      <c r="M72" t="e">
        <f t="shared" si="2"/>
        <v>#N/A</v>
      </c>
      <c r="N72" t="e">
        <f t="shared" si="3"/>
        <v>#N/A</v>
      </c>
    </row>
    <row r="73" spans="11:14" x14ac:dyDescent="0.3">
      <c r="K73" t="s">
        <v>418</v>
      </c>
      <c r="L73">
        <v>19.0291</v>
      </c>
      <c r="M73" t="e">
        <f t="shared" si="2"/>
        <v>#N/A</v>
      </c>
      <c r="N73" t="e">
        <f t="shared" si="3"/>
        <v>#N/A</v>
      </c>
    </row>
    <row r="74" spans="11:14" x14ac:dyDescent="0.3">
      <c r="K74" t="s">
        <v>419</v>
      </c>
      <c r="L74">
        <v>20.119299999999999</v>
      </c>
      <c r="M74" t="e">
        <f t="shared" si="2"/>
        <v>#N/A</v>
      </c>
      <c r="N74" t="e">
        <f t="shared" si="3"/>
        <v>#N/A</v>
      </c>
    </row>
    <row r="75" spans="11:14" x14ac:dyDescent="0.3">
      <c r="K75" t="s">
        <v>420</v>
      </c>
      <c r="L75">
        <v>6.1612</v>
      </c>
      <c r="M75" t="e">
        <f t="shared" si="2"/>
        <v>#N/A</v>
      </c>
      <c r="N75" t="e">
        <f t="shared" si="3"/>
        <v>#N/A</v>
      </c>
    </row>
    <row r="76" spans="11:14" x14ac:dyDescent="0.3">
      <c r="K76" t="s">
        <v>421</v>
      </c>
      <c r="L76">
        <v>15.833500000000001</v>
      </c>
      <c r="M76" t="e">
        <f t="shared" si="2"/>
        <v>#N/A</v>
      </c>
      <c r="N76" t="e">
        <f t="shared" si="3"/>
        <v>#N/A</v>
      </c>
    </row>
    <row r="77" spans="11:14" x14ac:dyDescent="0.3">
      <c r="K77" t="s">
        <v>422</v>
      </c>
      <c r="L77">
        <v>16.378599999999999</v>
      </c>
      <c r="M77" t="e">
        <f t="shared" si="2"/>
        <v>#N/A</v>
      </c>
      <c r="N77" t="e">
        <f t="shared" si="3"/>
        <v>#N/A</v>
      </c>
    </row>
    <row r="78" spans="11:14" x14ac:dyDescent="0.3">
      <c r="K78" t="s">
        <v>423</v>
      </c>
      <c r="L78">
        <v>3.0182000000000002</v>
      </c>
      <c r="M78" t="e">
        <f t="shared" si="2"/>
        <v>#N/A</v>
      </c>
      <c r="N78" t="e">
        <f t="shared" si="3"/>
        <v>#N/A</v>
      </c>
    </row>
    <row r="79" spans="11:14" x14ac:dyDescent="0.3">
      <c r="K79" t="s">
        <v>424</v>
      </c>
      <c r="L79">
        <v>2.2637</v>
      </c>
      <c r="M79" t="e">
        <f t="shared" si="2"/>
        <v>#N/A</v>
      </c>
      <c r="N79" t="e">
        <f t="shared" si="3"/>
        <v>#N/A</v>
      </c>
    </row>
    <row r="80" spans="11:14" x14ac:dyDescent="0.3">
      <c r="K80" t="s">
        <v>425</v>
      </c>
      <c r="L80">
        <v>3.0057</v>
      </c>
      <c r="M80" t="e">
        <f t="shared" si="2"/>
        <v>#N/A</v>
      </c>
      <c r="N80" t="e">
        <f t="shared" si="3"/>
        <v>#N/A</v>
      </c>
    </row>
    <row r="81" spans="11:14" x14ac:dyDescent="0.3">
      <c r="K81" t="s">
        <v>426</v>
      </c>
      <c r="L81">
        <v>8.8040000000000003</v>
      </c>
      <c r="M81" t="e">
        <f t="shared" si="2"/>
        <v>#N/A</v>
      </c>
      <c r="N81" t="e">
        <f t="shared" si="3"/>
        <v>#N/A</v>
      </c>
    </row>
    <row r="82" spans="11:14" x14ac:dyDescent="0.3">
      <c r="K82" t="s">
        <v>427</v>
      </c>
      <c r="L82">
        <v>8.8040000000000003</v>
      </c>
      <c r="M82" t="e">
        <f t="shared" si="2"/>
        <v>#N/A</v>
      </c>
      <c r="N82" t="e">
        <f t="shared" si="3"/>
        <v>#N/A</v>
      </c>
    </row>
    <row r="83" spans="11:14" x14ac:dyDescent="0.3">
      <c r="K83" t="s">
        <v>427</v>
      </c>
      <c r="L83">
        <v>8.8040000000000003</v>
      </c>
      <c r="M83" t="e">
        <f t="shared" si="2"/>
        <v>#N/A</v>
      </c>
      <c r="N83" t="e">
        <f t="shared" si="3"/>
        <v>#N/A</v>
      </c>
    </row>
    <row r="84" spans="11:14" x14ac:dyDescent="0.3">
      <c r="K84" t="s">
        <v>427</v>
      </c>
      <c r="L84">
        <v>8.8040000000000003</v>
      </c>
      <c r="M84" t="e">
        <f t="shared" si="2"/>
        <v>#N/A</v>
      </c>
      <c r="N84" t="e">
        <f t="shared" si="3"/>
        <v>#N/A</v>
      </c>
    </row>
    <row r="85" spans="11:14" x14ac:dyDescent="0.3">
      <c r="K85" t="s">
        <v>428</v>
      </c>
      <c r="L85">
        <v>16.079599999999999</v>
      </c>
      <c r="M85" t="e">
        <f t="shared" si="2"/>
        <v>#N/A</v>
      </c>
      <c r="N85" t="e">
        <f t="shared" si="3"/>
        <v>#N/A</v>
      </c>
    </row>
    <row r="86" spans="11:14" x14ac:dyDescent="0.3">
      <c r="K86" t="s">
        <v>429</v>
      </c>
      <c r="L86">
        <v>32.159100000000002</v>
      </c>
      <c r="M86" t="e">
        <f t="shared" si="2"/>
        <v>#N/A</v>
      </c>
      <c r="N86" t="e">
        <f t="shared" si="3"/>
        <v>#N/A</v>
      </c>
    </row>
    <row r="87" spans="11:14" x14ac:dyDescent="0.3">
      <c r="K87" t="s">
        <v>430</v>
      </c>
      <c r="L87">
        <v>18.096399999999999</v>
      </c>
      <c r="M87" t="e">
        <f t="shared" si="2"/>
        <v>#N/A</v>
      </c>
      <c r="N87" t="e">
        <f t="shared" si="3"/>
        <v>#N/A</v>
      </c>
    </row>
    <row r="88" spans="11:14" x14ac:dyDescent="0.3">
      <c r="K88" t="s">
        <v>431</v>
      </c>
      <c r="L88">
        <v>36.192799999999998</v>
      </c>
      <c r="M88" t="e">
        <f t="shared" si="2"/>
        <v>#N/A</v>
      </c>
      <c r="N88" t="e">
        <f t="shared" si="3"/>
        <v>#N/A</v>
      </c>
    </row>
    <row r="89" spans="11:14" x14ac:dyDescent="0.3">
      <c r="K89" t="s">
        <v>432</v>
      </c>
      <c r="L89">
        <v>14.740500000000001</v>
      </c>
      <c r="M89" t="e">
        <f t="shared" si="2"/>
        <v>#N/A</v>
      </c>
      <c r="N89" t="e">
        <f t="shared" si="3"/>
        <v>#N/A</v>
      </c>
    </row>
    <row r="90" spans="11:14" x14ac:dyDescent="0.3">
      <c r="K90" t="s">
        <v>433</v>
      </c>
      <c r="L90">
        <v>18.011099999999999</v>
      </c>
      <c r="M90" t="e">
        <f t="shared" si="2"/>
        <v>#N/A</v>
      </c>
      <c r="N90" t="e">
        <f t="shared" si="3"/>
        <v>#N/A</v>
      </c>
    </row>
    <row r="91" spans="11:14" x14ac:dyDescent="0.3">
      <c r="K91" t="s">
        <v>434</v>
      </c>
      <c r="L91">
        <v>16.4603</v>
      </c>
      <c r="M91" t="e">
        <f t="shared" si="2"/>
        <v>#N/A</v>
      </c>
      <c r="N91" t="e">
        <f t="shared" si="3"/>
        <v>#N/A</v>
      </c>
    </row>
    <row r="92" spans="11:14" x14ac:dyDescent="0.3">
      <c r="K92" t="s">
        <v>435</v>
      </c>
      <c r="L92">
        <v>201.5847</v>
      </c>
      <c r="M92" t="e">
        <f t="shared" si="2"/>
        <v>#N/A</v>
      </c>
      <c r="N92" t="e">
        <f t="shared" si="3"/>
        <v>#N/A</v>
      </c>
    </row>
    <row r="93" spans="11:14" x14ac:dyDescent="0.3">
      <c r="K93" t="s">
        <v>436</v>
      </c>
      <c r="L93">
        <v>29.631499999999999</v>
      </c>
      <c r="M93" t="e">
        <f t="shared" si="2"/>
        <v>#N/A</v>
      </c>
      <c r="N93" t="e">
        <f t="shared" si="3"/>
        <v>#N/A</v>
      </c>
    </row>
    <row r="94" spans="11:14" x14ac:dyDescent="0.3">
      <c r="K94" t="s">
        <v>437</v>
      </c>
      <c r="L94">
        <v>63.523499999999999</v>
      </c>
      <c r="M94" t="e">
        <f t="shared" si="2"/>
        <v>#N/A</v>
      </c>
      <c r="N94" t="e">
        <f t="shared" si="3"/>
        <v>#N/A</v>
      </c>
    </row>
    <row r="95" spans="11:14" x14ac:dyDescent="0.3">
      <c r="K95" t="s">
        <v>438</v>
      </c>
      <c r="L95">
        <v>71.973500000000001</v>
      </c>
      <c r="M95" t="e">
        <f t="shared" si="2"/>
        <v>#N/A</v>
      </c>
      <c r="N95" t="e">
        <f t="shared" si="3"/>
        <v>#N/A</v>
      </c>
    </row>
    <row r="96" spans="11:14" x14ac:dyDescent="0.3">
      <c r="K96" t="s">
        <v>439</v>
      </c>
      <c r="L96">
        <v>76.343699999999998</v>
      </c>
      <c r="M96" t="e">
        <f t="shared" si="2"/>
        <v>#N/A</v>
      </c>
      <c r="N96" t="e">
        <f t="shared" si="3"/>
        <v>#N/A</v>
      </c>
    </row>
    <row r="97" spans="11:14" x14ac:dyDescent="0.3">
      <c r="K97" t="s">
        <v>440</v>
      </c>
      <c r="L97">
        <v>148.40860000000001</v>
      </c>
      <c r="M97" t="e">
        <f t="shared" si="2"/>
        <v>#N/A</v>
      </c>
      <c r="N97" t="e">
        <f t="shared" si="3"/>
        <v>#N/A</v>
      </c>
    </row>
    <row r="98" spans="11:14" x14ac:dyDescent="0.3">
      <c r="K98" t="s">
        <v>441</v>
      </c>
      <c r="L98">
        <v>161.49889999999999</v>
      </c>
      <c r="M98" t="e">
        <f t="shared" si="2"/>
        <v>#N/A</v>
      </c>
      <c r="N98" t="e">
        <f t="shared" si="3"/>
        <v>#N/A</v>
      </c>
    </row>
    <row r="99" spans="11:14" x14ac:dyDescent="0.3">
      <c r="K99" t="s">
        <v>442</v>
      </c>
      <c r="L99">
        <v>2.8100999999999998</v>
      </c>
      <c r="M99" t="e">
        <f t="shared" si="2"/>
        <v>#N/A</v>
      </c>
      <c r="N99" t="e">
        <f t="shared" si="3"/>
        <v>#N/A</v>
      </c>
    </row>
    <row r="100" spans="11:14" x14ac:dyDescent="0.3">
      <c r="K100" t="s">
        <v>443</v>
      </c>
      <c r="L100">
        <v>3.3519000000000001</v>
      </c>
      <c r="M100" t="e">
        <f t="shared" si="2"/>
        <v>#N/A</v>
      </c>
      <c r="N100" t="e">
        <f t="shared" si="3"/>
        <v>#N/A</v>
      </c>
    </row>
    <row r="101" spans="11:14" x14ac:dyDescent="0.3">
      <c r="K101" t="s">
        <v>443</v>
      </c>
      <c r="L101">
        <v>3.3519000000000001</v>
      </c>
      <c r="M101" t="e">
        <f t="shared" si="2"/>
        <v>#N/A</v>
      </c>
      <c r="N101" t="e">
        <f t="shared" si="3"/>
        <v>#N/A</v>
      </c>
    </row>
    <row r="102" spans="11:14" x14ac:dyDescent="0.3">
      <c r="K102" t="s">
        <v>444</v>
      </c>
      <c r="L102">
        <v>3.1036000000000001</v>
      </c>
      <c r="M102" t="e">
        <f t="shared" si="2"/>
        <v>#N/A</v>
      </c>
      <c r="N102" t="e">
        <f t="shared" si="3"/>
        <v>#N/A</v>
      </c>
    </row>
    <row r="103" spans="11:14" x14ac:dyDescent="0.3">
      <c r="K103" t="s">
        <v>445</v>
      </c>
      <c r="L103">
        <v>3.6486999999999998</v>
      </c>
      <c r="M103" t="e">
        <f t="shared" si="2"/>
        <v>#N/A</v>
      </c>
      <c r="N103" t="e">
        <f t="shared" si="3"/>
        <v>#N/A</v>
      </c>
    </row>
    <row r="104" spans="11:14" x14ac:dyDescent="0.3">
      <c r="K104" t="s">
        <v>446</v>
      </c>
      <c r="L104">
        <v>4.1938000000000004</v>
      </c>
      <c r="M104" t="e">
        <f t="shared" si="2"/>
        <v>#N/A</v>
      </c>
      <c r="N104" t="e">
        <f t="shared" si="3"/>
        <v>#N/A</v>
      </c>
    </row>
    <row r="105" spans="11:14" x14ac:dyDescent="0.3">
      <c r="K105" t="s">
        <v>447</v>
      </c>
      <c r="L105">
        <v>5.8291000000000004</v>
      </c>
      <c r="M105" t="e">
        <f t="shared" si="2"/>
        <v>#N/A</v>
      </c>
      <c r="N105" t="e">
        <f t="shared" si="3"/>
        <v>#N/A</v>
      </c>
    </row>
    <row r="106" spans="11:14" x14ac:dyDescent="0.3">
      <c r="K106" t="s">
        <v>448</v>
      </c>
      <c r="L106">
        <v>7.9414999999999996</v>
      </c>
      <c r="M106" t="e">
        <f t="shared" si="2"/>
        <v>#N/A</v>
      </c>
      <c r="N106" t="e">
        <f t="shared" si="3"/>
        <v>#N/A</v>
      </c>
    </row>
    <row r="107" spans="11:14" x14ac:dyDescent="0.3">
      <c r="K107" t="s">
        <v>448</v>
      </c>
      <c r="L107">
        <v>7.9414999999999996</v>
      </c>
      <c r="M107" t="e">
        <f t="shared" si="2"/>
        <v>#N/A</v>
      </c>
      <c r="N107" t="e">
        <f t="shared" si="3"/>
        <v>#N/A</v>
      </c>
    </row>
    <row r="108" spans="11:14" x14ac:dyDescent="0.3">
      <c r="K108" t="s">
        <v>449</v>
      </c>
      <c r="L108">
        <v>11.333</v>
      </c>
      <c r="M108" t="e">
        <f t="shared" si="2"/>
        <v>#N/A</v>
      </c>
      <c r="N108" t="e">
        <f t="shared" si="3"/>
        <v>#N/A</v>
      </c>
    </row>
    <row r="109" spans="11:14" x14ac:dyDescent="0.3">
      <c r="K109" t="s">
        <v>450</v>
      </c>
      <c r="L109">
        <v>13.593999999999999</v>
      </c>
      <c r="M109" t="e">
        <f t="shared" si="2"/>
        <v>#N/A</v>
      </c>
      <c r="N109" t="e">
        <f t="shared" si="3"/>
        <v>#N/A</v>
      </c>
    </row>
    <row r="110" spans="11:14" x14ac:dyDescent="0.3">
      <c r="K110" t="s">
        <v>451</v>
      </c>
      <c r="L110">
        <v>20.376999999999999</v>
      </c>
      <c r="M110" t="e">
        <f t="shared" si="2"/>
        <v>#N/A</v>
      </c>
      <c r="N110" t="e">
        <f t="shared" si="3"/>
        <v>#N/A</v>
      </c>
    </row>
    <row r="111" spans="11:14" x14ac:dyDescent="0.3">
      <c r="K111" t="s">
        <v>452</v>
      </c>
      <c r="L111">
        <v>21.5075</v>
      </c>
      <c r="M111" t="e">
        <f t="shared" si="2"/>
        <v>#N/A</v>
      </c>
      <c r="N111" t="e">
        <f t="shared" si="3"/>
        <v>#N/A</v>
      </c>
    </row>
    <row r="112" spans="11:14" x14ac:dyDescent="0.3">
      <c r="K112" t="s">
        <v>453</v>
      </c>
      <c r="L112">
        <v>12.662000000000001</v>
      </c>
      <c r="M112" t="e">
        <f t="shared" si="2"/>
        <v>#N/A</v>
      </c>
      <c r="N112" t="e">
        <f t="shared" si="3"/>
        <v>#N/A</v>
      </c>
    </row>
    <row r="113" spans="11:14" x14ac:dyDescent="0.3">
      <c r="K113" t="s">
        <v>454</v>
      </c>
      <c r="L113">
        <v>15.882199999999999</v>
      </c>
      <c r="M113" t="e">
        <f t="shared" si="2"/>
        <v>#N/A</v>
      </c>
      <c r="N113" t="e">
        <f t="shared" si="3"/>
        <v>#N/A</v>
      </c>
    </row>
    <row r="114" spans="11:14" x14ac:dyDescent="0.3">
      <c r="K114" t="s">
        <v>455</v>
      </c>
      <c r="L114">
        <v>17.4923</v>
      </c>
      <c r="M114" t="e">
        <f t="shared" si="2"/>
        <v>#N/A</v>
      </c>
      <c r="N114" t="e">
        <f t="shared" si="3"/>
        <v>#N/A</v>
      </c>
    </row>
    <row r="115" spans="11:14" x14ac:dyDescent="0.3">
      <c r="K115" t="s">
        <v>455</v>
      </c>
      <c r="L115">
        <v>17.4923</v>
      </c>
      <c r="M115" t="e">
        <f t="shared" si="2"/>
        <v>#N/A</v>
      </c>
      <c r="N115" t="e">
        <f t="shared" si="3"/>
        <v>#N/A</v>
      </c>
    </row>
    <row r="116" spans="11:14" x14ac:dyDescent="0.3">
      <c r="K116" t="s">
        <v>456</v>
      </c>
      <c r="L116">
        <v>27.325700000000001</v>
      </c>
      <c r="M116" t="e">
        <f t="shared" si="2"/>
        <v>#N/A</v>
      </c>
      <c r="N116" t="e">
        <f t="shared" si="3"/>
        <v>#N/A</v>
      </c>
    </row>
    <row r="117" spans="11:14" x14ac:dyDescent="0.3">
      <c r="K117" t="s">
        <v>457</v>
      </c>
      <c r="L117">
        <v>30.157</v>
      </c>
      <c r="M117" t="e">
        <f t="shared" si="2"/>
        <v>#N/A</v>
      </c>
      <c r="N117" t="e">
        <f t="shared" si="3"/>
        <v>#N/A</v>
      </c>
    </row>
    <row r="118" spans="11:14" x14ac:dyDescent="0.3">
      <c r="K118" t="s">
        <v>458</v>
      </c>
      <c r="L118">
        <v>32.988300000000002</v>
      </c>
      <c r="M118" t="e">
        <f t="shared" si="2"/>
        <v>#N/A</v>
      </c>
      <c r="N118" t="e">
        <f t="shared" si="3"/>
        <v>#N/A</v>
      </c>
    </row>
    <row r="119" spans="11:14" x14ac:dyDescent="0.3">
      <c r="K119" t="s">
        <v>459</v>
      </c>
      <c r="L119">
        <v>47.144799999999996</v>
      </c>
      <c r="M119" t="e">
        <f t="shared" si="2"/>
        <v>#N/A</v>
      </c>
      <c r="N119" t="e">
        <f t="shared" si="3"/>
        <v>#N/A</v>
      </c>
    </row>
    <row r="120" spans="11:14" x14ac:dyDescent="0.3">
      <c r="K120" t="s">
        <v>460</v>
      </c>
      <c r="L120">
        <v>10.72</v>
      </c>
      <c r="M120" t="e">
        <f t="shared" si="2"/>
        <v>#N/A</v>
      </c>
      <c r="N120" t="e">
        <f t="shared" si="3"/>
        <v>#N/A</v>
      </c>
    </row>
    <row r="121" spans="11:14" x14ac:dyDescent="0.3">
      <c r="K121" t="s">
        <v>461</v>
      </c>
      <c r="L121">
        <v>1.772</v>
      </c>
      <c r="M121" t="e">
        <f t="shared" si="2"/>
        <v>#N/A</v>
      </c>
      <c r="N121" t="e">
        <f t="shared" si="3"/>
        <v>#N/A</v>
      </c>
    </row>
    <row r="122" spans="11:14" x14ac:dyDescent="0.3">
      <c r="K122" t="s">
        <v>461</v>
      </c>
      <c r="L122">
        <v>1.772</v>
      </c>
      <c r="M122" t="e">
        <f t="shared" si="2"/>
        <v>#N/A</v>
      </c>
      <c r="N122" t="e">
        <f t="shared" si="3"/>
        <v>#N/A</v>
      </c>
    </row>
    <row r="123" spans="11:14" x14ac:dyDescent="0.3">
      <c r="K123" t="s">
        <v>461</v>
      </c>
      <c r="L123">
        <v>1.772</v>
      </c>
      <c r="M123" t="e">
        <f t="shared" si="2"/>
        <v>#N/A</v>
      </c>
      <c r="N123" t="e">
        <f t="shared" si="3"/>
        <v>#N/A</v>
      </c>
    </row>
    <row r="124" spans="11:14" x14ac:dyDescent="0.3">
      <c r="K124" t="s">
        <v>461</v>
      </c>
      <c r="L124">
        <v>1.772</v>
      </c>
      <c r="M124" t="e">
        <f t="shared" si="2"/>
        <v>#N/A</v>
      </c>
      <c r="N124" t="e">
        <f t="shared" si="3"/>
        <v>#N/A</v>
      </c>
    </row>
    <row r="125" spans="11:14" x14ac:dyDescent="0.3">
      <c r="K125" t="s">
        <v>462</v>
      </c>
      <c r="L125">
        <v>2.2149999999999999</v>
      </c>
      <c r="M125" t="e">
        <f t="shared" si="2"/>
        <v>#N/A</v>
      </c>
      <c r="N125" t="e">
        <f t="shared" si="3"/>
        <v>#N/A</v>
      </c>
    </row>
    <row r="126" spans="11:14" x14ac:dyDescent="0.3">
      <c r="K126" t="s">
        <v>462</v>
      </c>
      <c r="L126">
        <v>2.2149999999999999</v>
      </c>
      <c r="M126" t="e">
        <f t="shared" si="2"/>
        <v>#N/A</v>
      </c>
      <c r="N126" t="e">
        <f t="shared" si="3"/>
        <v>#N/A</v>
      </c>
    </row>
    <row r="127" spans="11:14" x14ac:dyDescent="0.3">
      <c r="K127" t="s">
        <v>462</v>
      </c>
      <c r="L127">
        <v>2.2149999999999999</v>
      </c>
      <c r="M127" t="e">
        <f t="shared" si="2"/>
        <v>#N/A</v>
      </c>
      <c r="N127" t="e">
        <f t="shared" si="3"/>
        <v>#N/A</v>
      </c>
    </row>
    <row r="128" spans="11:14" x14ac:dyDescent="0.3">
      <c r="K128" t="s">
        <v>462</v>
      </c>
      <c r="L128">
        <v>2.2149999999999999</v>
      </c>
      <c r="M128" t="e">
        <f t="shared" si="2"/>
        <v>#N/A</v>
      </c>
      <c r="N128" t="e">
        <f t="shared" si="3"/>
        <v>#N/A</v>
      </c>
    </row>
    <row r="129" spans="11:14" x14ac:dyDescent="0.3">
      <c r="K129" t="s">
        <v>462</v>
      </c>
      <c r="L129">
        <v>2.2149999999999999</v>
      </c>
      <c r="M129" t="e">
        <f t="shared" si="2"/>
        <v>#N/A</v>
      </c>
      <c r="N129" t="e">
        <f t="shared" si="3"/>
        <v>#N/A</v>
      </c>
    </row>
    <row r="130" spans="11:14" x14ac:dyDescent="0.3">
      <c r="K130" t="s">
        <v>462</v>
      </c>
      <c r="L130">
        <v>2.2149999999999999</v>
      </c>
      <c r="M130" t="e">
        <f t="shared" si="2"/>
        <v>#N/A</v>
      </c>
      <c r="N130" t="e">
        <f t="shared" si="3"/>
        <v>#N/A</v>
      </c>
    </row>
    <row r="131" spans="11:14" x14ac:dyDescent="0.3">
      <c r="K131" t="s">
        <v>462</v>
      </c>
      <c r="L131">
        <v>2.2149999999999999</v>
      </c>
      <c r="M131" t="e">
        <f t="shared" ref="M131:M194" si="4">_xlfn.XLOOKUP(K131,A:A,B:B)</f>
        <v>#N/A</v>
      </c>
      <c r="N131" t="e">
        <f t="shared" ref="N131:N194" si="5">L131-M131</f>
        <v>#N/A</v>
      </c>
    </row>
    <row r="132" spans="11:14" x14ac:dyDescent="0.3">
      <c r="K132" t="s">
        <v>463</v>
      </c>
      <c r="L132">
        <v>2.2149999999999999</v>
      </c>
      <c r="M132" t="e">
        <f t="shared" si="4"/>
        <v>#N/A</v>
      </c>
      <c r="N132" t="e">
        <f t="shared" si="5"/>
        <v>#N/A</v>
      </c>
    </row>
    <row r="133" spans="11:14" x14ac:dyDescent="0.3">
      <c r="K133" t="s">
        <v>464</v>
      </c>
      <c r="L133">
        <v>2.6579999999999999</v>
      </c>
      <c r="M133" t="e">
        <f t="shared" si="4"/>
        <v>#N/A</v>
      </c>
      <c r="N133" t="e">
        <f t="shared" si="5"/>
        <v>#N/A</v>
      </c>
    </row>
    <row r="134" spans="11:14" x14ac:dyDescent="0.3">
      <c r="K134" t="s">
        <v>464</v>
      </c>
      <c r="L134">
        <v>2.6579999999999999</v>
      </c>
      <c r="M134" t="e">
        <f t="shared" si="4"/>
        <v>#N/A</v>
      </c>
      <c r="N134" t="e">
        <f t="shared" si="5"/>
        <v>#N/A</v>
      </c>
    </row>
    <row r="135" spans="11:14" x14ac:dyDescent="0.3">
      <c r="K135" t="s">
        <v>465</v>
      </c>
      <c r="L135">
        <v>3.544</v>
      </c>
      <c r="M135" t="e">
        <f t="shared" si="4"/>
        <v>#N/A</v>
      </c>
      <c r="N135" t="e">
        <f t="shared" si="5"/>
        <v>#N/A</v>
      </c>
    </row>
    <row r="136" spans="11:14" x14ac:dyDescent="0.3">
      <c r="K136" t="s">
        <v>465</v>
      </c>
      <c r="L136">
        <v>3.544</v>
      </c>
      <c r="M136" t="e">
        <f t="shared" si="4"/>
        <v>#N/A</v>
      </c>
      <c r="N136" t="e">
        <f t="shared" si="5"/>
        <v>#N/A</v>
      </c>
    </row>
    <row r="137" spans="11:14" x14ac:dyDescent="0.3">
      <c r="K137" t="s">
        <v>465</v>
      </c>
      <c r="L137">
        <v>3.544</v>
      </c>
      <c r="M137" t="e">
        <f t="shared" si="4"/>
        <v>#N/A</v>
      </c>
      <c r="N137" t="e">
        <f t="shared" si="5"/>
        <v>#N/A</v>
      </c>
    </row>
    <row r="138" spans="11:14" x14ac:dyDescent="0.3">
      <c r="K138" t="s">
        <v>466</v>
      </c>
      <c r="L138">
        <v>4.43</v>
      </c>
      <c r="M138" t="e">
        <f t="shared" si="4"/>
        <v>#N/A</v>
      </c>
      <c r="N138" t="e">
        <f t="shared" si="5"/>
        <v>#N/A</v>
      </c>
    </row>
    <row r="139" spans="11:14" x14ac:dyDescent="0.3">
      <c r="K139" t="s">
        <v>467</v>
      </c>
      <c r="L139">
        <v>4.9800000000000004</v>
      </c>
      <c r="M139" t="e">
        <f t="shared" si="4"/>
        <v>#N/A</v>
      </c>
      <c r="N139" t="e">
        <f t="shared" si="5"/>
        <v>#N/A</v>
      </c>
    </row>
    <row r="140" spans="11:14" x14ac:dyDescent="0.3">
      <c r="K140" t="s">
        <v>467</v>
      </c>
      <c r="L140">
        <v>4.9800000000000004</v>
      </c>
      <c r="M140" t="e">
        <f t="shared" si="4"/>
        <v>#N/A</v>
      </c>
      <c r="N140" t="e">
        <f t="shared" si="5"/>
        <v>#N/A</v>
      </c>
    </row>
    <row r="141" spans="11:14" x14ac:dyDescent="0.3">
      <c r="K141" t="s">
        <v>468</v>
      </c>
      <c r="L141">
        <v>5.976</v>
      </c>
      <c r="M141" t="e">
        <f t="shared" si="4"/>
        <v>#N/A</v>
      </c>
      <c r="N141" t="e">
        <f t="shared" si="5"/>
        <v>#N/A</v>
      </c>
    </row>
    <row r="142" spans="11:14" x14ac:dyDescent="0.3">
      <c r="K142" t="s">
        <v>469</v>
      </c>
      <c r="L142">
        <v>5.976</v>
      </c>
      <c r="M142" t="e">
        <f t="shared" si="4"/>
        <v>#N/A</v>
      </c>
      <c r="N142" t="e">
        <f t="shared" si="5"/>
        <v>#N/A</v>
      </c>
    </row>
    <row r="143" spans="11:14" x14ac:dyDescent="0.3">
      <c r="K143" t="s">
        <v>470</v>
      </c>
      <c r="L143">
        <v>6.9720000000000004</v>
      </c>
      <c r="M143" t="e">
        <f t="shared" si="4"/>
        <v>#N/A</v>
      </c>
      <c r="N143" t="e">
        <f t="shared" si="5"/>
        <v>#N/A</v>
      </c>
    </row>
    <row r="144" spans="11:14" x14ac:dyDescent="0.3">
      <c r="K144" t="s">
        <v>470</v>
      </c>
      <c r="L144">
        <v>6.9720000000000004</v>
      </c>
      <c r="M144" t="e">
        <f t="shared" si="4"/>
        <v>#N/A</v>
      </c>
      <c r="N144" t="e">
        <f t="shared" si="5"/>
        <v>#N/A</v>
      </c>
    </row>
    <row r="145" spans="11:14" x14ac:dyDescent="0.3">
      <c r="K145" t="s">
        <v>470</v>
      </c>
      <c r="L145">
        <v>6.9720000000000004</v>
      </c>
      <c r="M145" t="e">
        <f t="shared" si="4"/>
        <v>#N/A</v>
      </c>
      <c r="N145" t="e">
        <f t="shared" si="5"/>
        <v>#N/A</v>
      </c>
    </row>
    <row r="146" spans="11:14" x14ac:dyDescent="0.3">
      <c r="K146" t="s">
        <v>471</v>
      </c>
      <c r="L146">
        <v>7.968</v>
      </c>
      <c r="M146" t="e">
        <f t="shared" si="4"/>
        <v>#N/A</v>
      </c>
      <c r="N146" t="e">
        <f t="shared" si="5"/>
        <v>#N/A</v>
      </c>
    </row>
    <row r="147" spans="11:14" x14ac:dyDescent="0.3">
      <c r="K147" t="s">
        <v>472</v>
      </c>
      <c r="L147">
        <v>8.9640000000000004</v>
      </c>
      <c r="M147" t="e">
        <f t="shared" si="4"/>
        <v>#N/A</v>
      </c>
      <c r="N147" t="e">
        <f t="shared" si="5"/>
        <v>#N/A</v>
      </c>
    </row>
    <row r="148" spans="11:14" x14ac:dyDescent="0.3">
      <c r="K148" t="s">
        <v>473</v>
      </c>
      <c r="L148">
        <v>9.9600000000000009</v>
      </c>
      <c r="M148" t="e">
        <f t="shared" si="4"/>
        <v>#N/A</v>
      </c>
      <c r="N148" t="e">
        <f t="shared" si="5"/>
        <v>#N/A</v>
      </c>
    </row>
    <row r="149" spans="11:14" x14ac:dyDescent="0.3">
      <c r="K149" t="s">
        <v>474</v>
      </c>
      <c r="L149">
        <v>10.956</v>
      </c>
      <c r="M149" t="e">
        <f t="shared" si="4"/>
        <v>#N/A</v>
      </c>
      <c r="N149" t="e">
        <f t="shared" si="5"/>
        <v>#N/A</v>
      </c>
    </row>
    <row r="150" spans="11:14" x14ac:dyDescent="0.3">
      <c r="K150" t="s">
        <v>475</v>
      </c>
      <c r="L150">
        <v>11.952</v>
      </c>
      <c r="M150" t="e">
        <f t="shared" si="4"/>
        <v>#N/A</v>
      </c>
      <c r="N150" t="e">
        <f t="shared" si="5"/>
        <v>#N/A</v>
      </c>
    </row>
    <row r="151" spans="11:14" x14ac:dyDescent="0.3">
      <c r="K151" t="s">
        <v>476</v>
      </c>
      <c r="L151">
        <v>13.944000000000001</v>
      </c>
      <c r="M151" t="e">
        <f t="shared" si="4"/>
        <v>#N/A</v>
      </c>
      <c r="N151" t="e">
        <f t="shared" si="5"/>
        <v>#N/A</v>
      </c>
    </row>
    <row r="152" spans="11:14" x14ac:dyDescent="0.3">
      <c r="K152" t="s">
        <v>477</v>
      </c>
      <c r="L152">
        <v>3.101</v>
      </c>
      <c r="M152" t="e">
        <f t="shared" si="4"/>
        <v>#N/A</v>
      </c>
      <c r="N152" t="e">
        <f t="shared" si="5"/>
        <v>#N/A</v>
      </c>
    </row>
    <row r="153" spans="11:14" x14ac:dyDescent="0.3">
      <c r="K153" t="s">
        <v>477</v>
      </c>
      <c r="L153">
        <v>3.101</v>
      </c>
      <c r="M153" t="e">
        <f t="shared" si="4"/>
        <v>#N/A</v>
      </c>
      <c r="N153" t="e">
        <f t="shared" si="5"/>
        <v>#N/A</v>
      </c>
    </row>
    <row r="154" spans="11:14" x14ac:dyDescent="0.3">
      <c r="K154" t="s">
        <v>477</v>
      </c>
      <c r="L154">
        <v>3.101</v>
      </c>
      <c r="M154" t="e">
        <f t="shared" si="4"/>
        <v>#N/A</v>
      </c>
      <c r="N154" t="e">
        <f t="shared" si="5"/>
        <v>#N/A</v>
      </c>
    </row>
    <row r="155" spans="11:14" x14ac:dyDescent="0.3">
      <c r="K155" t="s">
        <v>478</v>
      </c>
      <c r="L155">
        <v>3.101</v>
      </c>
      <c r="M155" t="e">
        <f t="shared" si="4"/>
        <v>#N/A</v>
      </c>
      <c r="N155" t="e">
        <f t="shared" si="5"/>
        <v>#N/A</v>
      </c>
    </row>
    <row r="156" spans="11:14" x14ac:dyDescent="0.3">
      <c r="K156" t="s">
        <v>479</v>
      </c>
      <c r="L156">
        <v>3.544</v>
      </c>
      <c r="M156" t="e">
        <f t="shared" si="4"/>
        <v>#N/A</v>
      </c>
      <c r="N156" t="e">
        <f t="shared" si="5"/>
        <v>#N/A</v>
      </c>
    </row>
    <row r="157" spans="11:14" x14ac:dyDescent="0.3">
      <c r="K157" t="s">
        <v>479</v>
      </c>
      <c r="L157">
        <v>3.544</v>
      </c>
      <c r="M157" t="e">
        <f t="shared" si="4"/>
        <v>#N/A</v>
      </c>
      <c r="N157" t="e">
        <f t="shared" si="5"/>
        <v>#N/A</v>
      </c>
    </row>
    <row r="158" spans="11:14" x14ac:dyDescent="0.3">
      <c r="K158" t="s">
        <v>479</v>
      </c>
      <c r="L158">
        <v>3.544</v>
      </c>
      <c r="M158" t="e">
        <f t="shared" si="4"/>
        <v>#N/A</v>
      </c>
      <c r="N158" t="e">
        <f t="shared" si="5"/>
        <v>#N/A</v>
      </c>
    </row>
    <row r="159" spans="11:14" x14ac:dyDescent="0.3">
      <c r="K159" t="s">
        <v>480</v>
      </c>
      <c r="L159">
        <v>4.43</v>
      </c>
      <c r="M159" t="e">
        <f t="shared" si="4"/>
        <v>#N/A</v>
      </c>
      <c r="N159" t="e">
        <f t="shared" si="5"/>
        <v>#N/A</v>
      </c>
    </row>
    <row r="160" spans="11:14" x14ac:dyDescent="0.3">
      <c r="K160" t="s">
        <v>480</v>
      </c>
      <c r="L160">
        <v>4.43</v>
      </c>
      <c r="M160" t="e">
        <f t="shared" si="4"/>
        <v>#N/A</v>
      </c>
      <c r="N160" t="e">
        <f t="shared" si="5"/>
        <v>#N/A</v>
      </c>
    </row>
    <row r="161" spans="11:14" x14ac:dyDescent="0.3">
      <c r="K161" t="s">
        <v>481</v>
      </c>
      <c r="L161">
        <v>3.9870000000000001</v>
      </c>
      <c r="M161" t="e">
        <f t="shared" si="4"/>
        <v>#N/A</v>
      </c>
      <c r="N161" t="e">
        <f t="shared" si="5"/>
        <v>#N/A</v>
      </c>
    </row>
    <row r="162" spans="11:14" x14ac:dyDescent="0.3">
      <c r="K162" t="s">
        <v>481</v>
      </c>
      <c r="L162">
        <v>3.9870000000000001</v>
      </c>
      <c r="M162" t="e">
        <f t="shared" si="4"/>
        <v>#N/A</v>
      </c>
      <c r="N162" t="e">
        <f t="shared" si="5"/>
        <v>#N/A</v>
      </c>
    </row>
    <row r="163" spans="11:14" x14ac:dyDescent="0.3">
      <c r="K163" t="s">
        <v>482</v>
      </c>
      <c r="L163">
        <v>4.8730000000000002</v>
      </c>
      <c r="M163" t="e">
        <f t="shared" si="4"/>
        <v>#N/A</v>
      </c>
      <c r="N163" t="e">
        <f t="shared" si="5"/>
        <v>#N/A</v>
      </c>
    </row>
    <row r="164" spans="11:14" x14ac:dyDescent="0.3">
      <c r="K164" t="s">
        <v>483</v>
      </c>
      <c r="L164">
        <v>4.43</v>
      </c>
      <c r="M164" t="e">
        <f t="shared" si="4"/>
        <v>#N/A</v>
      </c>
      <c r="N164" t="e">
        <f t="shared" si="5"/>
        <v>#N/A</v>
      </c>
    </row>
    <row r="165" spans="11:14" x14ac:dyDescent="0.3">
      <c r="K165" t="s">
        <v>484</v>
      </c>
      <c r="L165">
        <v>5.3159999999999998</v>
      </c>
      <c r="M165" t="e">
        <f t="shared" si="4"/>
        <v>#N/A</v>
      </c>
      <c r="N165" t="e">
        <f t="shared" si="5"/>
        <v>#N/A</v>
      </c>
    </row>
    <row r="166" spans="11:14" x14ac:dyDescent="0.3">
      <c r="K166" t="s">
        <v>484</v>
      </c>
      <c r="L166">
        <v>5.3159999999999998</v>
      </c>
      <c r="M166" t="e">
        <f t="shared" si="4"/>
        <v>#N/A</v>
      </c>
      <c r="N166" t="e">
        <f t="shared" si="5"/>
        <v>#N/A</v>
      </c>
    </row>
    <row r="167" spans="11:14" x14ac:dyDescent="0.3">
      <c r="K167" t="s">
        <v>485</v>
      </c>
      <c r="L167">
        <v>5.7590000000000003</v>
      </c>
      <c r="M167" t="e">
        <f t="shared" si="4"/>
        <v>#N/A</v>
      </c>
      <c r="N167" t="e">
        <f t="shared" si="5"/>
        <v>#N/A</v>
      </c>
    </row>
    <row r="168" spans="11:14" x14ac:dyDescent="0.3">
      <c r="K168" t="s">
        <v>486</v>
      </c>
      <c r="L168">
        <v>5.976</v>
      </c>
      <c r="M168" t="e">
        <f t="shared" si="4"/>
        <v>#N/A</v>
      </c>
      <c r="N168" t="e">
        <f t="shared" si="5"/>
        <v>#N/A</v>
      </c>
    </row>
    <row r="169" spans="11:14" x14ac:dyDescent="0.3">
      <c r="K169" t="s">
        <v>486</v>
      </c>
      <c r="L169">
        <v>5.976</v>
      </c>
      <c r="M169" t="e">
        <f t="shared" si="4"/>
        <v>#N/A</v>
      </c>
      <c r="N169" t="e">
        <f t="shared" si="5"/>
        <v>#N/A</v>
      </c>
    </row>
    <row r="170" spans="11:14" x14ac:dyDescent="0.3">
      <c r="K170" t="s">
        <v>487</v>
      </c>
      <c r="L170">
        <v>7.968</v>
      </c>
      <c r="M170" t="e">
        <f t="shared" si="4"/>
        <v>#N/A</v>
      </c>
      <c r="N170" t="e">
        <f t="shared" si="5"/>
        <v>#N/A</v>
      </c>
    </row>
    <row r="171" spans="11:14" x14ac:dyDescent="0.3">
      <c r="K171" t="s">
        <v>488</v>
      </c>
      <c r="L171">
        <v>9.9600000000000009</v>
      </c>
      <c r="M171" t="e">
        <f t="shared" si="4"/>
        <v>#N/A</v>
      </c>
      <c r="N171" t="e">
        <f t="shared" si="5"/>
        <v>#N/A</v>
      </c>
    </row>
    <row r="172" spans="11:14" x14ac:dyDescent="0.3">
      <c r="K172" t="s">
        <v>489</v>
      </c>
      <c r="L172">
        <v>6.9720000000000004</v>
      </c>
      <c r="M172" t="e">
        <f t="shared" si="4"/>
        <v>#N/A</v>
      </c>
      <c r="N172" t="e">
        <f t="shared" si="5"/>
        <v>#N/A</v>
      </c>
    </row>
    <row r="173" spans="11:14" x14ac:dyDescent="0.3">
      <c r="K173" t="s">
        <v>490</v>
      </c>
      <c r="L173">
        <v>9.9600000000000009</v>
      </c>
      <c r="M173" t="e">
        <f t="shared" si="4"/>
        <v>#N/A</v>
      </c>
      <c r="N173" t="e">
        <f t="shared" si="5"/>
        <v>#N/A</v>
      </c>
    </row>
    <row r="174" spans="11:14" x14ac:dyDescent="0.3">
      <c r="K174" t="s">
        <v>491</v>
      </c>
      <c r="L174">
        <v>10.956</v>
      </c>
      <c r="M174" t="e">
        <f t="shared" si="4"/>
        <v>#N/A</v>
      </c>
      <c r="N174" t="e">
        <f t="shared" si="5"/>
        <v>#N/A</v>
      </c>
    </row>
    <row r="175" spans="11:14" x14ac:dyDescent="0.3">
      <c r="K175" t="s">
        <v>491</v>
      </c>
      <c r="L175">
        <v>10.956</v>
      </c>
      <c r="M175" t="e">
        <f t="shared" si="4"/>
        <v>#N/A</v>
      </c>
      <c r="N175" t="e">
        <f t="shared" si="5"/>
        <v>#N/A</v>
      </c>
    </row>
    <row r="176" spans="11:14" x14ac:dyDescent="0.3">
      <c r="K176" t="s">
        <v>492</v>
      </c>
      <c r="L176">
        <v>11.952</v>
      </c>
      <c r="M176" t="e">
        <f t="shared" si="4"/>
        <v>#N/A</v>
      </c>
      <c r="N176" t="e">
        <f t="shared" si="5"/>
        <v>#N/A</v>
      </c>
    </row>
    <row r="177" spans="11:14" x14ac:dyDescent="0.3">
      <c r="K177" t="s">
        <v>493</v>
      </c>
      <c r="L177">
        <v>7.968</v>
      </c>
      <c r="M177" t="e">
        <f t="shared" si="4"/>
        <v>#N/A</v>
      </c>
      <c r="N177" t="e">
        <f t="shared" si="5"/>
        <v>#N/A</v>
      </c>
    </row>
    <row r="178" spans="11:14" x14ac:dyDescent="0.3">
      <c r="K178" t="s">
        <v>493</v>
      </c>
      <c r="L178">
        <v>7.968</v>
      </c>
      <c r="M178" t="e">
        <f t="shared" si="4"/>
        <v>#N/A</v>
      </c>
      <c r="N178" t="e">
        <f t="shared" si="5"/>
        <v>#N/A</v>
      </c>
    </row>
    <row r="179" spans="11:14" x14ac:dyDescent="0.3">
      <c r="K179" t="s">
        <v>493</v>
      </c>
      <c r="L179">
        <v>7.968</v>
      </c>
      <c r="M179" t="e">
        <f t="shared" si="4"/>
        <v>#N/A</v>
      </c>
      <c r="N179" t="e">
        <f t="shared" si="5"/>
        <v>#N/A</v>
      </c>
    </row>
    <row r="180" spans="11:14" x14ac:dyDescent="0.3">
      <c r="K180" t="s">
        <v>494</v>
      </c>
      <c r="L180">
        <v>9.9600000000000009</v>
      </c>
      <c r="M180" t="e">
        <f t="shared" si="4"/>
        <v>#N/A</v>
      </c>
      <c r="N180" t="e">
        <f t="shared" si="5"/>
        <v>#N/A</v>
      </c>
    </row>
    <row r="181" spans="11:14" x14ac:dyDescent="0.3">
      <c r="K181" t="s">
        <v>494</v>
      </c>
      <c r="L181">
        <v>9.9600000000000009</v>
      </c>
      <c r="M181" t="e">
        <f t="shared" si="4"/>
        <v>#N/A</v>
      </c>
      <c r="N181" t="e">
        <f t="shared" si="5"/>
        <v>#N/A</v>
      </c>
    </row>
    <row r="182" spans="11:14" x14ac:dyDescent="0.3">
      <c r="K182" t="s">
        <v>495</v>
      </c>
      <c r="L182">
        <v>12.948</v>
      </c>
      <c r="M182" t="e">
        <f t="shared" si="4"/>
        <v>#N/A</v>
      </c>
      <c r="N182" t="e">
        <f t="shared" si="5"/>
        <v>#N/A</v>
      </c>
    </row>
    <row r="183" spans="11:14" x14ac:dyDescent="0.3">
      <c r="K183" t="s">
        <v>496</v>
      </c>
      <c r="L183">
        <v>8.9640000000000004</v>
      </c>
      <c r="M183" t="e">
        <f t="shared" si="4"/>
        <v>#N/A</v>
      </c>
      <c r="N183" t="e">
        <f t="shared" si="5"/>
        <v>#N/A</v>
      </c>
    </row>
    <row r="184" spans="11:14" x14ac:dyDescent="0.3">
      <c r="K184" t="s">
        <v>497</v>
      </c>
      <c r="L184">
        <v>10.956</v>
      </c>
      <c r="M184" t="e">
        <f t="shared" si="4"/>
        <v>#N/A</v>
      </c>
      <c r="N184" t="e">
        <f t="shared" si="5"/>
        <v>#N/A</v>
      </c>
    </row>
    <row r="185" spans="11:14" x14ac:dyDescent="0.3">
      <c r="K185" t="s">
        <v>498</v>
      </c>
      <c r="L185">
        <v>9.9600000000000009</v>
      </c>
      <c r="M185" t="e">
        <f t="shared" si="4"/>
        <v>#N/A</v>
      </c>
      <c r="N185" t="e">
        <f t="shared" si="5"/>
        <v>#N/A</v>
      </c>
    </row>
    <row r="186" spans="11:14" x14ac:dyDescent="0.3">
      <c r="K186" t="s">
        <v>499</v>
      </c>
      <c r="L186">
        <v>11.952</v>
      </c>
      <c r="M186" t="e">
        <f t="shared" si="4"/>
        <v>#N/A</v>
      </c>
      <c r="N186" t="e">
        <f t="shared" si="5"/>
        <v>#N/A</v>
      </c>
    </row>
    <row r="187" spans="11:14" x14ac:dyDescent="0.3">
      <c r="K187" t="s">
        <v>499</v>
      </c>
      <c r="L187">
        <v>11.952</v>
      </c>
      <c r="M187" t="e">
        <f t="shared" si="4"/>
        <v>#N/A</v>
      </c>
      <c r="N187" t="e">
        <f t="shared" si="5"/>
        <v>#N/A</v>
      </c>
    </row>
    <row r="188" spans="11:14" x14ac:dyDescent="0.3">
      <c r="K188" t="s">
        <v>499</v>
      </c>
      <c r="L188">
        <v>11.952</v>
      </c>
      <c r="M188" t="e">
        <f t="shared" si="4"/>
        <v>#N/A</v>
      </c>
      <c r="N188" t="e">
        <f t="shared" si="5"/>
        <v>#N/A</v>
      </c>
    </row>
    <row r="189" spans="11:14" x14ac:dyDescent="0.3">
      <c r="K189" t="s">
        <v>500</v>
      </c>
      <c r="L189">
        <v>13.944000000000001</v>
      </c>
      <c r="M189" t="e">
        <f t="shared" si="4"/>
        <v>#N/A</v>
      </c>
      <c r="N189" t="e">
        <f t="shared" si="5"/>
        <v>#N/A</v>
      </c>
    </row>
    <row r="190" spans="11:14" x14ac:dyDescent="0.3">
      <c r="K190" t="s">
        <v>500</v>
      </c>
      <c r="L190">
        <v>13.944000000000001</v>
      </c>
      <c r="M190" t="e">
        <f t="shared" si="4"/>
        <v>#N/A</v>
      </c>
      <c r="N190" t="e">
        <f t="shared" si="5"/>
        <v>#N/A</v>
      </c>
    </row>
    <row r="191" spans="11:14" x14ac:dyDescent="0.3">
      <c r="K191" t="s">
        <v>501</v>
      </c>
      <c r="L191">
        <v>10.956</v>
      </c>
      <c r="M191" t="e">
        <f t="shared" si="4"/>
        <v>#N/A</v>
      </c>
      <c r="N191" t="e">
        <f t="shared" si="5"/>
        <v>#N/A</v>
      </c>
    </row>
    <row r="192" spans="11:14" x14ac:dyDescent="0.3">
      <c r="K192" t="s">
        <v>501</v>
      </c>
      <c r="L192">
        <v>10.956</v>
      </c>
      <c r="M192" t="e">
        <f t="shared" si="4"/>
        <v>#N/A</v>
      </c>
      <c r="N192" t="e">
        <f t="shared" si="5"/>
        <v>#N/A</v>
      </c>
    </row>
    <row r="193" spans="11:14" x14ac:dyDescent="0.3">
      <c r="K193" t="s">
        <v>502</v>
      </c>
      <c r="L193">
        <v>12.948</v>
      </c>
      <c r="M193" t="e">
        <f t="shared" si="4"/>
        <v>#N/A</v>
      </c>
      <c r="N193" t="e">
        <f t="shared" si="5"/>
        <v>#N/A</v>
      </c>
    </row>
    <row r="194" spans="11:14" x14ac:dyDescent="0.3">
      <c r="K194" t="s">
        <v>502</v>
      </c>
      <c r="L194">
        <v>12.948</v>
      </c>
      <c r="M194" t="e">
        <f t="shared" si="4"/>
        <v>#N/A</v>
      </c>
      <c r="N194" t="e">
        <f t="shared" si="5"/>
        <v>#N/A</v>
      </c>
    </row>
    <row r="195" spans="11:14" x14ac:dyDescent="0.3">
      <c r="K195" t="s">
        <v>502</v>
      </c>
      <c r="L195">
        <v>12.948</v>
      </c>
      <c r="M195" t="e">
        <f t="shared" ref="M195:M258" si="6">_xlfn.XLOOKUP(K195,A:A,B:B)</f>
        <v>#N/A</v>
      </c>
      <c r="N195" t="e">
        <f t="shared" ref="N195:N258" si="7">L195-M195</f>
        <v>#N/A</v>
      </c>
    </row>
    <row r="196" spans="11:14" x14ac:dyDescent="0.3">
      <c r="K196" t="s">
        <v>503</v>
      </c>
      <c r="L196">
        <v>15.936</v>
      </c>
      <c r="M196" t="e">
        <f t="shared" si="6"/>
        <v>#N/A</v>
      </c>
      <c r="N196" t="e">
        <f t="shared" si="7"/>
        <v>#N/A</v>
      </c>
    </row>
    <row r="197" spans="11:14" x14ac:dyDescent="0.3">
      <c r="K197" t="s">
        <v>504</v>
      </c>
      <c r="L197">
        <v>11.952</v>
      </c>
      <c r="M197" t="e">
        <f t="shared" si="6"/>
        <v>#N/A</v>
      </c>
      <c r="N197" t="e">
        <f t="shared" si="7"/>
        <v>#N/A</v>
      </c>
    </row>
    <row r="198" spans="11:14" x14ac:dyDescent="0.3">
      <c r="K198" t="s">
        <v>505</v>
      </c>
      <c r="L198">
        <v>12.948</v>
      </c>
      <c r="M198" t="e">
        <f t="shared" si="6"/>
        <v>#N/A</v>
      </c>
      <c r="N198" t="e">
        <f t="shared" si="7"/>
        <v>#N/A</v>
      </c>
    </row>
    <row r="199" spans="11:14" x14ac:dyDescent="0.3">
      <c r="K199" t="s">
        <v>505</v>
      </c>
      <c r="L199">
        <v>12.948</v>
      </c>
      <c r="M199" t="e">
        <f t="shared" si="6"/>
        <v>#N/A</v>
      </c>
      <c r="N199" t="e">
        <f t="shared" si="7"/>
        <v>#N/A</v>
      </c>
    </row>
    <row r="200" spans="11:14" x14ac:dyDescent="0.3">
      <c r="K200" t="s">
        <v>506</v>
      </c>
      <c r="L200">
        <v>14.94</v>
      </c>
      <c r="M200" t="e">
        <f t="shared" si="6"/>
        <v>#N/A</v>
      </c>
      <c r="N200" t="e">
        <f t="shared" si="7"/>
        <v>#N/A</v>
      </c>
    </row>
    <row r="201" spans="11:14" x14ac:dyDescent="0.3">
      <c r="K201" t="s">
        <v>506</v>
      </c>
      <c r="L201">
        <v>14.94</v>
      </c>
      <c r="M201" t="e">
        <f t="shared" si="6"/>
        <v>#N/A</v>
      </c>
      <c r="N201" t="e">
        <f t="shared" si="7"/>
        <v>#N/A</v>
      </c>
    </row>
    <row r="202" spans="11:14" x14ac:dyDescent="0.3">
      <c r="K202" t="s">
        <v>507</v>
      </c>
      <c r="L202">
        <v>13.944000000000001</v>
      </c>
      <c r="M202" t="e">
        <f t="shared" si="6"/>
        <v>#N/A</v>
      </c>
      <c r="N202" t="e">
        <f t="shared" si="7"/>
        <v>#N/A</v>
      </c>
    </row>
    <row r="203" spans="11:14" x14ac:dyDescent="0.3">
      <c r="K203" t="s">
        <v>508</v>
      </c>
      <c r="L203">
        <v>16.931999999999999</v>
      </c>
      <c r="M203" t="e">
        <f t="shared" si="6"/>
        <v>#N/A</v>
      </c>
      <c r="N203" t="e">
        <f t="shared" si="7"/>
        <v>#N/A</v>
      </c>
    </row>
    <row r="204" spans="11:14" x14ac:dyDescent="0.3">
      <c r="K204" t="s">
        <v>508</v>
      </c>
      <c r="L204">
        <v>16.931999999999999</v>
      </c>
      <c r="M204" t="e">
        <f t="shared" si="6"/>
        <v>#N/A</v>
      </c>
      <c r="N204" t="e">
        <f t="shared" si="7"/>
        <v>#N/A</v>
      </c>
    </row>
    <row r="205" spans="11:14" x14ac:dyDescent="0.3">
      <c r="K205" t="s">
        <v>509</v>
      </c>
      <c r="L205">
        <v>16.931999999999999</v>
      </c>
      <c r="M205" t="e">
        <f t="shared" si="6"/>
        <v>#N/A</v>
      </c>
      <c r="N205" t="e">
        <f t="shared" si="7"/>
        <v>#N/A</v>
      </c>
    </row>
    <row r="206" spans="11:14" x14ac:dyDescent="0.3">
      <c r="K206" t="s">
        <v>510</v>
      </c>
      <c r="L206">
        <v>18.923999999999999</v>
      </c>
      <c r="M206" t="e">
        <f t="shared" si="6"/>
        <v>#N/A</v>
      </c>
      <c r="N206" t="e">
        <f t="shared" si="7"/>
        <v>#N/A</v>
      </c>
    </row>
    <row r="207" spans="11:14" x14ac:dyDescent="0.3">
      <c r="K207" t="s">
        <v>511</v>
      </c>
      <c r="L207">
        <v>17.928000000000001</v>
      </c>
      <c r="M207" t="e">
        <f t="shared" si="6"/>
        <v>#N/A</v>
      </c>
      <c r="N207" t="e">
        <f t="shared" si="7"/>
        <v>#N/A</v>
      </c>
    </row>
    <row r="208" spans="11:14" x14ac:dyDescent="0.3">
      <c r="K208" t="s">
        <v>511</v>
      </c>
      <c r="L208">
        <v>17.928000000000001</v>
      </c>
      <c r="M208" t="e">
        <f t="shared" si="6"/>
        <v>#N/A</v>
      </c>
      <c r="N208" t="e">
        <f t="shared" si="7"/>
        <v>#N/A</v>
      </c>
    </row>
    <row r="209" spans="11:14" x14ac:dyDescent="0.3">
      <c r="K209" t="s">
        <v>512</v>
      </c>
      <c r="L209">
        <v>18.923999999999999</v>
      </c>
      <c r="M209" t="e">
        <f t="shared" si="6"/>
        <v>#N/A</v>
      </c>
      <c r="N209" t="e">
        <f t="shared" si="7"/>
        <v>#N/A</v>
      </c>
    </row>
    <row r="210" spans="11:14" x14ac:dyDescent="0.3">
      <c r="K210" t="s">
        <v>513</v>
      </c>
      <c r="L210">
        <v>20.916</v>
      </c>
      <c r="M210" t="e">
        <f t="shared" si="6"/>
        <v>#N/A</v>
      </c>
      <c r="N210" t="e">
        <f t="shared" si="7"/>
        <v>#N/A</v>
      </c>
    </row>
    <row r="211" spans="11:14" x14ac:dyDescent="0.3">
      <c r="K211" t="s">
        <v>514</v>
      </c>
      <c r="L211">
        <v>6.0843999999999996</v>
      </c>
      <c r="M211" t="e">
        <f t="shared" si="6"/>
        <v>#N/A</v>
      </c>
      <c r="N211" t="e">
        <f t="shared" si="7"/>
        <v>#N/A</v>
      </c>
    </row>
    <row r="212" spans="11:14" x14ac:dyDescent="0.3">
      <c r="K212" t="s">
        <v>515</v>
      </c>
      <c r="L212">
        <v>6.5274000000000001</v>
      </c>
      <c r="M212" t="e">
        <f t="shared" si="6"/>
        <v>#N/A</v>
      </c>
      <c r="N212" t="e">
        <f t="shared" si="7"/>
        <v>#N/A</v>
      </c>
    </row>
    <row r="213" spans="11:14" x14ac:dyDescent="0.3">
      <c r="K213" t="s">
        <v>515</v>
      </c>
      <c r="L213">
        <v>6.5274000000000001</v>
      </c>
      <c r="M213" t="e">
        <f t="shared" si="6"/>
        <v>#N/A</v>
      </c>
      <c r="N213" t="e">
        <f t="shared" si="7"/>
        <v>#N/A</v>
      </c>
    </row>
    <row r="214" spans="11:14" x14ac:dyDescent="0.3">
      <c r="K214" t="s">
        <v>515</v>
      </c>
      <c r="L214">
        <v>6.5274000000000001</v>
      </c>
      <c r="M214" t="e">
        <f t="shared" si="6"/>
        <v>#N/A</v>
      </c>
      <c r="N214" t="e">
        <f t="shared" si="7"/>
        <v>#N/A</v>
      </c>
    </row>
    <row r="215" spans="11:14" x14ac:dyDescent="0.3">
      <c r="K215" t="s">
        <v>515</v>
      </c>
      <c r="L215">
        <v>6.5274000000000001</v>
      </c>
      <c r="M215" t="e">
        <f t="shared" si="6"/>
        <v>#N/A</v>
      </c>
      <c r="N215" t="e">
        <f t="shared" si="7"/>
        <v>#N/A</v>
      </c>
    </row>
    <row r="216" spans="11:14" x14ac:dyDescent="0.3">
      <c r="K216" t="s">
        <v>516</v>
      </c>
      <c r="L216">
        <v>6.9703999999999997</v>
      </c>
      <c r="M216" t="e">
        <f t="shared" si="6"/>
        <v>#N/A</v>
      </c>
      <c r="N216" t="e">
        <f t="shared" si="7"/>
        <v>#N/A</v>
      </c>
    </row>
    <row r="217" spans="11:14" x14ac:dyDescent="0.3">
      <c r="K217" t="s">
        <v>516</v>
      </c>
      <c r="L217">
        <v>6.9703999999999997</v>
      </c>
      <c r="M217" t="e">
        <f t="shared" si="6"/>
        <v>#N/A</v>
      </c>
      <c r="N217" t="e">
        <f t="shared" si="7"/>
        <v>#N/A</v>
      </c>
    </row>
    <row r="218" spans="11:14" x14ac:dyDescent="0.3">
      <c r="K218" t="s">
        <v>516</v>
      </c>
      <c r="L218">
        <v>6.9703999999999997</v>
      </c>
      <c r="M218" t="e">
        <f t="shared" si="6"/>
        <v>#N/A</v>
      </c>
      <c r="N218" t="e">
        <f t="shared" si="7"/>
        <v>#N/A</v>
      </c>
    </row>
    <row r="219" spans="11:14" x14ac:dyDescent="0.3">
      <c r="K219" t="s">
        <v>516</v>
      </c>
      <c r="L219">
        <v>6.9703999999999997</v>
      </c>
      <c r="M219" t="e">
        <f t="shared" si="6"/>
        <v>#N/A</v>
      </c>
      <c r="N219" t="e">
        <f t="shared" si="7"/>
        <v>#N/A</v>
      </c>
    </row>
    <row r="220" spans="11:14" x14ac:dyDescent="0.3">
      <c r="K220" t="s">
        <v>517</v>
      </c>
      <c r="L220">
        <v>7.4134000000000002</v>
      </c>
      <c r="M220" t="e">
        <f t="shared" si="6"/>
        <v>#N/A</v>
      </c>
      <c r="N220" t="e">
        <f t="shared" si="7"/>
        <v>#N/A</v>
      </c>
    </row>
    <row r="221" spans="11:14" x14ac:dyDescent="0.3">
      <c r="K221" t="s">
        <v>517</v>
      </c>
      <c r="L221">
        <v>7.4134000000000002</v>
      </c>
      <c r="M221" t="e">
        <f t="shared" si="6"/>
        <v>#N/A</v>
      </c>
      <c r="N221" t="e">
        <f t="shared" si="7"/>
        <v>#N/A</v>
      </c>
    </row>
    <row r="222" spans="11:14" x14ac:dyDescent="0.3">
      <c r="K222" t="s">
        <v>518</v>
      </c>
      <c r="L222">
        <v>8.2994000000000003</v>
      </c>
      <c r="M222" t="e">
        <f t="shared" si="6"/>
        <v>#N/A</v>
      </c>
      <c r="N222" t="e">
        <f t="shared" si="7"/>
        <v>#N/A</v>
      </c>
    </row>
    <row r="223" spans="11:14" x14ac:dyDescent="0.3">
      <c r="K223" t="s">
        <v>518</v>
      </c>
      <c r="L223">
        <v>8.2994000000000003</v>
      </c>
      <c r="M223" t="e">
        <f t="shared" si="6"/>
        <v>#N/A</v>
      </c>
      <c r="N223" t="e">
        <f t="shared" si="7"/>
        <v>#N/A</v>
      </c>
    </row>
    <row r="224" spans="11:14" x14ac:dyDescent="0.3">
      <c r="K224" t="s">
        <v>518</v>
      </c>
      <c r="L224">
        <v>8.2994000000000003</v>
      </c>
      <c r="M224" t="e">
        <f t="shared" si="6"/>
        <v>#N/A</v>
      </c>
      <c r="N224" t="e">
        <f t="shared" si="7"/>
        <v>#N/A</v>
      </c>
    </row>
    <row r="225" spans="11:14" x14ac:dyDescent="0.3">
      <c r="K225" t="s">
        <v>519</v>
      </c>
      <c r="L225">
        <v>8.7423999999999999</v>
      </c>
      <c r="M225" t="e">
        <f t="shared" si="6"/>
        <v>#N/A</v>
      </c>
      <c r="N225" t="e">
        <f t="shared" si="7"/>
        <v>#N/A</v>
      </c>
    </row>
    <row r="226" spans="11:14" x14ac:dyDescent="0.3">
      <c r="K226" t="s">
        <v>519</v>
      </c>
      <c r="L226">
        <v>8.7423999999999999</v>
      </c>
      <c r="M226" t="e">
        <f t="shared" si="6"/>
        <v>#N/A</v>
      </c>
      <c r="N226" t="e">
        <f t="shared" si="7"/>
        <v>#N/A</v>
      </c>
    </row>
    <row r="227" spans="11:14" x14ac:dyDescent="0.3">
      <c r="K227" t="s">
        <v>520</v>
      </c>
      <c r="L227">
        <v>9.6283999999999992</v>
      </c>
      <c r="M227" t="e">
        <f t="shared" si="6"/>
        <v>#N/A</v>
      </c>
      <c r="N227" t="e">
        <f t="shared" si="7"/>
        <v>#N/A</v>
      </c>
    </row>
    <row r="228" spans="11:14" x14ac:dyDescent="0.3">
      <c r="K228" t="s">
        <v>521</v>
      </c>
      <c r="L228">
        <v>9.1853999999999996</v>
      </c>
      <c r="M228" t="e">
        <f t="shared" si="6"/>
        <v>#N/A</v>
      </c>
      <c r="N228" t="e">
        <f t="shared" si="7"/>
        <v>#N/A</v>
      </c>
    </row>
    <row r="229" spans="11:14" x14ac:dyDescent="0.3">
      <c r="K229" t="s">
        <v>522</v>
      </c>
      <c r="L229">
        <v>9.6283999999999992</v>
      </c>
      <c r="M229" t="e">
        <f t="shared" si="6"/>
        <v>#N/A</v>
      </c>
      <c r="N229" t="e">
        <f t="shared" si="7"/>
        <v>#N/A</v>
      </c>
    </row>
    <row r="230" spans="11:14" x14ac:dyDescent="0.3">
      <c r="K230" t="s">
        <v>522</v>
      </c>
      <c r="L230">
        <v>9.6283999999999992</v>
      </c>
      <c r="M230" t="e">
        <f t="shared" si="6"/>
        <v>#N/A</v>
      </c>
      <c r="N230" t="e">
        <f t="shared" si="7"/>
        <v>#N/A</v>
      </c>
    </row>
    <row r="231" spans="11:14" x14ac:dyDescent="0.3">
      <c r="K231" t="s">
        <v>522</v>
      </c>
      <c r="L231">
        <v>9.6283999999999992</v>
      </c>
      <c r="M231" t="e">
        <f t="shared" si="6"/>
        <v>#N/A</v>
      </c>
      <c r="N231" t="e">
        <f t="shared" si="7"/>
        <v>#N/A</v>
      </c>
    </row>
    <row r="232" spans="11:14" x14ac:dyDescent="0.3">
      <c r="K232" t="s">
        <v>523</v>
      </c>
      <c r="L232">
        <v>12.147399999999999</v>
      </c>
      <c r="M232" t="e">
        <f t="shared" si="6"/>
        <v>#N/A</v>
      </c>
      <c r="N232" t="e">
        <f t="shared" si="7"/>
        <v>#N/A</v>
      </c>
    </row>
    <row r="233" spans="11:14" x14ac:dyDescent="0.3">
      <c r="K233" t="s">
        <v>524</v>
      </c>
      <c r="L233">
        <v>13.1434</v>
      </c>
      <c r="M233" t="e">
        <f t="shared" si="6"/>
        <v>#N/A</v>
      </c>
      <c r="N233" t="e">
        <f t="shared" si="7"/>
        <v>#N/A</v>
      </c>
    </row>
    <row r="234" spans="11:14" x14ac:dyDescent="0.3">
      <c r="K234" t="s">
        <v>524</v>
      </c>
      <c r="L234">
        <v>13.1434</v>
      </c>
      <c r="M234" t="e">
        <f t="shared" si="6"/>
        <v>#N/A</v>
      </c>
      <c r="N234" t="e">
        <f t="shared" si="7"/>
        <v>#N/A</v>
      </c>
    </row>
    <row r="235" spans="11:14" x14ac:dyDescent="0.3">
      <c r="K235" t="s">
        <v>525</v>
      </c>
      <c r="L235">
        <v>19.119399999999999</v>
      </c>
      <c r="M235" t="e">
        <f t="shared" si="6"/>
        <v>#N/A</v>
      </c>
      <c r="N235" t="e">
        <f t="shared" si="7"/>
        <v>#N/A</v>
      </c>
    </row>
    <row r="236" spans="11:14" x14ac:dyDescent="0.3">
      <c r="K236" t="s">
        <v>526</v>
      </c>
      <c r="L236">
        <v>18.1234</v>
      </c>
      <c r="M236" t="e">
        <f t="shared" si="6"/>
        <v>#N/A</v>
      </c>
      <c r="N236" t="e">
        <f t="shared" si="7"/>
        <v>#N/A</v>
      </c>
    </row>
    <row r="237" spans="11:14" x14ac:dyDescent="0.3">
      <c r="K237" t="s">
        <v>526</v>
      </c>
      <c r="L237">
        <v>18.1234</v>
      </c>
      <c r="M237" t="e">
        <f t="shared" si="6"/>
        <v>#N/A</v>
      </c>
      <c r="N237" t="e">
        <f t="shared" si="7"/>
        <v>#N/A</v>
      </c>
    </row>
    <row r="238" spans="11:14" x14ac:dyDescent="0.3">
      <c r="K238" t="s">
        <v>527</v>
      </c>
      <c r="L238">
        <v>19.119399999999999</v>
      </c>
      <c r="M238" t="e">
        <f t="shared" si="6"/>
        <v>#N/A</v>
      </c>
      <c r="N238" t="e">
        <f t="shared" si="7"/>
        <v>#N/A</v>
      </c>
    </row>
    <row r="239" spans="11:14" x14ac:dyDescent="0.3">
      <c r="K239" t="s">
        <v>527</v>
      </c>
      <c r="L239">
        <v>19.119399999999999</v>
      </c>
      <c r="M239" t="e">
        <f t="shared" si="6"/>
        <v>#N/A</v>
      </c>
      <c r="N239" t="e">
        <f t="shared" si="7"/>
        <v>#N/A</v>
      </c>
    </row>
    <row r="240" spans="11:14" x14ac:dyDescent="0.3">
      <c r="K240" t="s">
        <v>528</v>
      </c>
      <c r="L240">
        <v>21.1114</v>
      </c>
      <c r="M240" t="e">
        <f t="shared" si="6"/>
        <v>#N/A</v>
      </c>
      <c r="N240" t="e">
        <f t="shared" si="7"/>
        <v>#N/A</v>
      </c>
    </row>
    <row r="241" spans="11:14" x14ac:dyDescent="0.3">
      <c r="K241" t="s">
        <v>529</v>
      </c>
      <c r="L241">
        <v>20.115400000000001</v>
      </c>
      <c r="M241" t="e">
        <f t="shared" si="6"/>
        <v>#N/A</v>
      </c>
      <c r="N241" t="e">
        <f t="shared" si="7"/>
        <v>#N/A</v>
      </c>
    </row>
    <row r="242" spans="11:14" x14ac:dyDescent="0.3">
      <c r="K242" t="s">
        <v>530</v>
      </c>
      <c r="L242">
        <v>22.107399999999998</v>
      </c>
      <c r="M242" t="e">
        <f t="shared" si="6"/>
        <v>#N/A</v>
      </c>
      <c r="N242" t="e">
        <f t="shared" si="7"/>
        <v>#N/A</v>
      </c>
    </row>
    <row r="243" spans="11:14" x14ac:dyDescent="0.3">
      <c r="K243" t="s">
        <v>530</v>
      </c>
      <c r="L243">
        <v>22.107399999999998</v>
      </c>
      <c r="M243" t="e">
        <f t="shared" si="6"/>
        <v>#N/A</v>
      </c>
      <c r="N243" t="e">
        <f t="shared" si="7"/>
        <v>#N/A</v>
      </c>
    </row>
    <row r="244" spans="11:14" x14ac:dyDescent="0.3">
      <c r="K244" t="s">
        <v>531</v>
      </c>
      <c r="L244">
        <v>25.095400000000001</v>
      </c>
      <c r="M244" t="e">
        <f t="shared" si="6"/>
        <v>#N/A</v>
      </c>
      <c r="N244" t="e">
        <f t="shared" si="7"/>
        <v>#N/A</v>
      </c>
    </row>
    <row r="245" spans="11:14" x14ac:dyDescent="0.3">
      <c r="K245" t="s">
        <v>532</v>
      </c>
      <c r="L245">
        <v>24.099399999999999</v>
      </c>
      <c r="M245" t="e">
        <f t="shared" si="6"/>
        <v>#N/A</v>
      </c>
      <c r="N245" t="e">
        <f t="shared" si="7"/>
        <v>#N/A</v>
      </c>
    </row>
    <row r="246" spans="11:14" x14ac:dyDescent="0.3">
      <c r="K246" t="s">
        <v>532</v>
      </c>
      <c r="L246">
        <v>24.099399999999999</v>
      </c>
      <c r="M246" t="e">
        <f t="shared" si="6"/>
        <v>#N/A</v>
      </c>
      <c r="N246" t="e">
        <f t="shared" si="7"/>
        <v>#N/A</v>
      </c>
    </row>
    <row r="247" spans="11:14" x14ac:dyDescent="0.3">
      <c r="K247" t="s">
        <v>533</v>
      </c>
      <c r="L247">
        <v>2.4365000000000001</v>
      </c>
      <c r="M247" t="e">
        <f t="shared" si="6"/>
        <v>#N/A</v>
      </c>
      <c r="N247" t="e">
        <f t="shared" si="7"/>
        <v>#N/A</v>
      </c>
    </row>
    <row r="248" spans="11:14" x14ac:dyDescent="0.3">
      <c r="K248" t="s">
        <v>534</v>
      </c>
      <c r="L248">
        <v>2.8795000000000002</v>
      </c>
      <c r="M248" t="e">
        <f t="shared" si="6"/>
        <v>#N/A</v>
      </c>
      <c r="N248" t="e">
        <f t="shared" si="7"/>
        <v>#N/A</v>
      </c>
    </row>
    <row r="249" spans="11:14" x14ac:dyDescent="0.3">
      <c r="K249" t="s">
        <v>534</v>
      </c>
      <c r="L249">
        <v>2.8795000000000002</v>
      </c>
      <c r="M249" t="e">
        <f t="shared" si="6"/>
        <v>#N/A</v>
      </c>
      <c r="N249" t="e">
        <f t="shared" si="7"/>
        <v>#N/A</v>
      </c>
    </row>
    <row r="250" spans="11:14" x14ac:dyDescent="0.3">
      <c r="K250" t="s">
        <v>535</v>
      </c>
      <c r="L250">
        <v>3.7654999999999998</v>
      </c>
      <c r="M250" t="e">
        <f t="shared" si="6"/>
        <v>#N/A</v>
      </c>
      <c r="N250" t="e">
        <f t="shared" si="7"/>
        <v>#N/A</v>
      </c>
    </row>
    <row r="251" spans="11:14" x14ac:dyDescent="0.3">
      <c r="K251" t="s">
        <v>535</v>
      </c>
      <c r="L251">
        <v>3.7654999999999998</v>
      </c>
      <c r="M251" t="e">
        <f t="shared" si="6"/>
        <v>#N/A</v>
      </c>
      <c r="N251" t="e">
        <f t="shared" si="7"/>
        <v>#N/A</v>
      </c>
    </row>
    <row r="252" spans="11:14" x14ac:dyDescent="0.3">
      <c r="K252" t="s">
        <v>536</v>
      </c>
      <c r="L252">
        <v>3.3224999999999998</v>
      </c>
      <c r="M252" t="e">
        <f t="shared" si="6"/>
        <v>#N/A</v>
      </c>
      <c r="N252" t="e">
        <f t="shared" si="7"/>
        <v>#N/A</v>
      </c>
    </row>
    <row r="253" spans="11:14" x14ac:dyDescent="0.3">
      <c r="K253" t="s">
        <v>536</v>
      </c>
      <c r="L253">
        <v>3.3224999999999998</v>
      </c>
      <c r="M253" t="e">
        <f t="shared" si="6"/>
        <v>#N/A</v>
      </c>
      <c r="N253" t="e">
        <f t="shared" si="7"/>
        <v>#N/A</v>
      </c>
    </row>
    <row r="254" spans="11:14" x14ac:dyDescent="0.3">
      <c r="K254" t="s">
        <v>536</v>
      </c>
      <c r="L254">
        <v>3.3224999999999998</v>
      </c>
      <c r="M254" t="e">
        <f t="shared" si="6"/>
        <v>#N/A</v>
      </c>
      <c r="N254" t="e">
        <f t="shared" si="7"/>
        <v>#N/A</v>
      </c>
    </row>
    <row r="255" spans="11:14" x14ac:dyDescent="0.3">
      <c r="K255" t="s">
        <v>536</v>
      </c>
      <c r="L255">
        <v>3.3224999999999998</v>
      </c>
      <c r="M255" t="e">
        <f t="shared" si="6"/>
        <v>#N/A</v>
      </c>
      <c r="N255" t="e">
        <f t="shared" si="7"/>
        <v>#N/A</v>
      </c>
    </row>
    <row r="256" spans="11:14" x14ac:dyDescent="0.3">
      <c r="K256" t="s">
        <v>536</v>
      </c>
      <c r="L256">
        <v>3.3224999999999998</v>
      </c>
      <c r="M256" t="e">
        <f t="shared" si="6"/>
        <v>#N/A</v>
      </c>
      <c r="N256" t="e">
        <f t="shared" si="7"/>
        <v>#N/A</v>
      </c>
    </row>
    <row r="257" spans="11:14" x14ac:dyDescent="0.3">
      <c r="K257" t="s">
        <v>537</v>
      </c>
      <c r="L257">
        <v>4.2084999999999999</v>
      </c>
      <c r="M257" t="e">
        <f t="shared" si="6"/>
        <v>#N/A</v>
      </c>
      <c r="N257" t="e">
        <f t="shared" si="7"/>
        <v>#N/A</v>
      </c>
    </row>
    <row r="258" spans="11:14" x14ac:dyDescent="0.3">
      <c r="K258" t="s">
        <v>537</v>
      </c>
      <c r="L258">
        <v>4.2084999999999999</v>
      </c>
      <c r="M258" t="e">
        <f t="shared" si="6"/>
        <v>#N/A</v>
      </c>
      <c r="N258" t="e">
        <f t="shared" si="7"/>
        <v>#N/A</v>
      </c>
    </row>
    <row r="259" spans="11:14" x14ac:dyDescent="0.3">
      <c r="K259" t="s">
        <v>538</v>
      </c>
      <c r="L259">
        <v>3.7654999999999998</v>
      </c>
      <c r="M259" t="e">
        <f t="shared" ref="M259:M322" si="8">_xlfn.XLOOKUP(K259,A:A,B:B)</f>
        <v>#N/A</v>
      </c>
      <c r="N259" t="e">
        <f t="shared" ref="N259:N322" si="9">L259-M259</f>
        <v>#N/A</v>
      </c>
    </row>
    <row r="260" spans="11:14" x14ac:dyDescent="0.3">
      <c r="K260" t="s">
        <v>539</v>
      </c>
      <c r="L260">
        <v>4.2084999999999999</v>
      </c>
      <c r="M260" t="e">
        <f t="shared" si="8"/>
        <v>#N/A</v>
      </c>
      <c r="N260" t="e">
        <f t="shared" si="9"/>
        <v>#N/A</v>
      </c>
    </row>
    <row r="261" spans="11:14" x14ac:dyDescent="0.3">
      <c r="K261" t="s">
        <v>539</v>
      </c>
      <c r="L261">
        <v>4.2084999999999999</v>
      </c>
      <c r="M261" t="e">
        <f t="shared" si="8"/>
        <v>#N/A</v>
      </c>
      <c r="N261" t="e">
        <f t="shared" si="9"/>
        <v>#N/A</v>
      </c>
    </row>
    <row r="262" spans="11:14" x14ac:dyDescent="0.3">
      <c r="K262" t="s">
        <v>539</v>
      </c>
      <c r="L262">
        <v>4.2084999999999999</v>
      </c>
      <c r="M262" t="e">
        <f t="shared" si="8"/>
        <v>#N/A</v>
      </c>
      <c r="N262" t="e">
        <f t="shared" si="9"/>
        <v>#N/A</v>
      </c>
    </row>
    <row r="263" spans="11:14" x14ac:dyDescent="0.3">
      <c r="K263" t="s">
        <v>540</v>
      </c>
      <c r="L263">
        <v>5.0945</v>
      </c>
      <c r="M263" t="e">
        <f t="shared" si="8"/>
        <v>#N/A</v>
      </c>
      <c r="N263" t="e">
        <f t="shared" si="9"/>
        <v>#N/A</v>
      </c>
    </row>
    <row r="264" spans="11:14" x14ac:dyDescent="0.3">
      <c r="K264" t="s">
        <v>541</v>
      </c>
      <c r="L264">
        <v>4.6515000000000004</v>
      </c>
      <c r="M264" t="e">
        <f t="shared" si="8"/>
        <v>#N/A</v>
      </c>
      <c r="N264" t="e">
        <f t="shared" si="9"/>
        <v>#N/A</v>
      </c>
    </row>
    <row r="265" spans="11:14" x14ac:dyDescent="0.3">
      <c r="K265" t="s">
        <v>541</v>
      </c>
      <c r="L265">
        <v>4.6515000000000004</v>
      </c>
      <c r="M265" t="e">
        <f t="shared" si="8"/>
        <v>#N/A</v>
      </c>
      <c r="N265" t="e">
        <f t="shared" si="9"/>
        <v>#N/A</v>
      </c>
    </row>
    <row r="266" spans="11:14" x14ac:dyDescent="0.3">
      <c r="K266" t="s">
        <v>542</v>
      </c>
      <c r="L266">
        <v>5.5374999999999996</v>
      </c>
      <c r="M266" t="e">
        <f t="shared" si="8"/>
        <v>#N/A</v>
      </c>
      <c r="N266" t="e">
        <f t="shared" si="9"/>
        <v>#N/A</v>
      </c>
    </row>
    <row r="267" spans="11:14" x14ac:dyDescent="0.3">
      <c r="K267" t="s">
        <v>543</v>
      </c>
      <c r="L267">
        <v>6.4234999999999998</v>
      </c>
      <c r="M267" t="e">
        <f t="shared" si="8"/>
        <v>#N/A</v>
      </c>
      <c r="N267" t="e">
        <f t="shared" si="9"/>
        <v>#N/A</v>
      </c>
    </row>
    <row r="268" spans="11:14" x14ac:dyDescent="0.3">
      <c r="K268" t="s">
        <v>544</v>
      </c>
      <c r="L268">
        <v>4.7309999999999999</v>
      </c>
      <c r="M268" t="e">
        <f t="shared" si="8"/>
        <v>#N/A</v>
      </c>
      <c r="N268" t="e">
        <f t="shared" si="9"/>
        <v>#N/A</v>
      </c>
    </row>
    <row r="269" spans="11:14" x14ac:dyDescent="0.3">
      <c r="K269" t="s">
        <v>545</v>
      </c>
      <c r="L269">
        <v>6.7229999999999999</v>
      </c>
      <c r="M269" t="e">
        <f t="shared" si="8"/>
        <v>#N/A</v>
      </c>
      <c r="N269" t="e">
        <f t="shared" si="9"/>
        <v>#N/A</v>
      </c>
    </row>
    <row r="270" spans="11:14" x14ac:dyDescent="0.3">
      <c r="K270" t="s">
        <v>546</v>
      </c>
      <c r="L270">
        <v>8.7149999999999999</v>
      </c>
      <c r="M270" t="e">
        <f t="shared" si="8"/>
        <v>#N/A</v>
      </c>
      <c r="N270" t="e">
        <f t="shared" si="9"/>
        <v>#N/A</v>
      </c>
    </row>
    <row r="271" spans="11:14" x14ac:dyDescent="0.3">
      <c r="K271" t="s">
        <v>547</v>
      </c>
      <c r="L271">
        <v>10.707000000000001</v>
      </c>
      <c r="M271" t="e">
        <f t="shared" si="8"/>
        <v>#N/A</v>
      </c>
      <c r="N271" t="e">
        <f t="shared" si="9"/>
        <v>#N/A</v>
      </c>
    </row>
    <row r="272" spans="11:14" x14ac:dyDescent="0.3">
      <c r="K272" t="s">
        <v>548</v>
      </c>
      <c r="L272">
        <v>7.7190000000000003</v>
      </c>
      <c r="M272" t="e">
        <f t="shared" si="8"/>
        <v>#N/A</v>
      </c>
      <c r="N272" t="e">
        <f t="shared" si="9"/>
        <v>#N/A</v>
      </c>
    </row>
    <row r="273" spans="11:14" x14ac:dyDescent="0.3">
      <c r="K273" t="s">
        <v>548</v>
      </c>
      <c r="L273">
        <v>7.7190000000000003</v>
      </c>
      <c r="M273" t="e">
        <f t="shared" si="8"/>
        <v>#N/A</v>
      </c>
      <c r="N273" t="e">
        <f t="shared" si="9"/>
        <v>#N/A</v>
      </c>
    </row>
    <row r="274" spans="11:14" x14ac:dyDescent="0.3">
      <c r="K274" t="s">
        <v>549</v>
      </c>
      <c r="L274">
        <v>9.7110000000000003</v>
      </c>
      <c r="M274" t="e">
        <f t="shared" si="8"/>
        <v>#N/A</v>
      </c>
      <c r="N274" t="e">
        <f t="shared" si="9"/>
        <v>#N/A</v>
      </c>
    </row>
    <row r="275" spans="11:14" x14ac:dyDescent="0.3">
      <c r="K275" t="s">
        <v>550</v>
      </c>
      <c r="L275">
        <v>10.707000000000001</v>
      </c>
      <c r="M275" t="e">
        <f t="shared" si="8"/>
        <v>#N/A</v>
      </c>
      <c r="N275" t="e">
        <f t="shared" si="9"/>
        <v>#N/A</v>
      </c>
    </row>
    <row r="276" spans="11:14" x14ac:dyDescent="0.3">
      <c r="K276" t="s">
        <v>551</v>
      </c>
      <c r="L276">
        <v>11.702999999999999</v>
      </c>
      <c r="M276" t="e">
        <f t="shared" si="8"/>
        <v>#N/A</v>
      </c>
      <c r="N276" t="e">
        <f t="shared" si="9"/>
        <v>#N/A</v>
      </c>
    </row>
    <row r="277" spans="11:14" x14ac:dyDescent="0.3">
      <c r="K277" t="s">
        <v>552</v>
      </c>
      <c r="L277">
        <v>12.699</v>
      </c>
      <c r="M277" t="e">
        <f t="shared" si="8"/>
        <v>#N/A</v>
      </c>
      <c r="N277" t="e">
        <f t="shared" si="9"/>
        <v>#N/A</v>
      </c>
    </row>
    <row r="278" spans="11:14" x14ac:dyDescent="0.3">
      <c r="K278" t="s">
        <v>552</v>
      </c>
      <c r="L278">
        <v>12.699</v>
      </c>
      <c r="M278" t="e">
        <f t="shared" si="8"/>
        <v>#N/A</v>
      </c>
      <c r="N278" t="e">
        <f t="shared" si="9"/>
        <v>#N/A</v>
      </c>
    </row>
    <row r="279" spans="11:14" x14ac:dyDescent="0.3">
      <c r="K279" t="s">
        <v>553</v>
      </c>
      <c r="L279">
        <v>8.7149999999999999</v>
      </c>
      <c r="M279" t="e">
        <f t="shared" si="8"/>
        <v>#N/A</v>
      </c>
      <c r="N279" t="e">
        <f t="shared" si="9"/>
        <v>#N/A</v>
      </c>
    </row>
    <row r="280" spans="11:14" x14ac:dyDescent="0.3">
      <c r="K280" t="s">
        <v>553</v>
      </c>
      <c r="L280">
        <v>8.7149999999999999</v>
      </c>
      <c r="M280" t="e">
        <f t="shared" si="8"/>
        <v>#N/A</v>
      </c>
      <c r="N280" t="e">
        <f t="shared" si="9"/>
        <v>#N/A</v>
      </c>
    </row>
    <row r="281" spans="11:14" x14ac:dyDescent="0.3">
      <c r="K281" t="s">
        <v>553</v>
      </c>
      <c r="L281">
        <v>8.7149999999999999</v>
      </c>
      <c r="M281" t="e">
        <f t="shared" si="8"/>
        <v>#N/A</v>
      </c>
      <c r="N281" t="e">
        <f t="shared" si="9"/>
        <v>#N/A</v>
      </c>
    </row>
    <row r="282" spans="11:14" x14ac:dyDescent="0.3">
      <c r="K282" t="s">
        <v>554</v>
      </c>
      <c r="L282">
        <v>10.707000000000001</v>
      </c>
      <c r="M282" t="e">
        <f t="shared" si="8"/>
        <v>#N/A</v>
      </c>
      <c r="N282" t="e">
        <f t="shared" si="9"/>
        <v>#N/A</v>
      </c>
    </row>
    <row r="283" spans="11:14" x14ac:dyDescent="0.3">
      <c r="K283" t="s">
        <v>554</v>
      </c>
      <c r="L283">
        <v>10.707000000000001</v>
      </c>
      <c r="M283" t="e">
        <f t="shared" si="8"/>
        <v>#N/A</v>
      </c>
      <c r="N283" t="e">
        <f t="shared" si="9"/>
        <v>#N/A</v>
      </c>
    </row>
    <row r="284" spans="11:14" x14ac:dyDescent="0.3">
      <c r="K284" t="s">
        <v>554</v>
      </c>
      <c r="L284">
        <v>10.707000000000001</v>
      </c>
      <c r="M284" t="e">
        <f t="shared" si="8"/>
        <v>#N/A</v>
      </c>
      <c r="N284" t="e">
        <f t="shared" si="9"/>
        <v>#N/A</v>
      </c>
    </row>
    <row r="285" spans="11:14" x14ac:dyDescent="0.3">
      <c r="K285" t="s">
        <v>554</v>
      </c>
      <c r="L285">
        <v>10.707000000000001</v>
      </c>
      <c r="M285" t="e">
        <f t="shared" si="8"/>
        <v>#N/A</v>
      </c>
      <c r="N285" t="e">
        <f t="shared" si="9"/>
        <v>#N/A</v>
      </c>
    </row>
    <row r="286" spans="11:14" x14ac:dyDescent="0.3">
      <c r="K286" t="s">
        <v>555</v>
      </c>
      <c r="L286">
        <v>12.699</v>
      </c>
      <c r="M286" t="e">
        <f t="shared" si="8"/>
        <v>#N/A</v>
      </c>
      <c r="N286" t="e">
        <f t="shared" si="9"/>
        <v>#N/A</v>
      </c>
    </row>
    <row r="287" spans="11:14" x14ac:dyDescent="0.3">
      <c r="K287" t="s">
        <v>556</v>
      </c>
      <c r="L287">
        <v>9.7110000000000003</v>
      </c>
      <c r="M287" t="e">
        <f t="shared" si="8"/>
        <v>#N/A</v>
      </c>
      <c r="N287" t="e">
        <f t="shared" si="9"/>
        <v>#N/A</v>
      </c>
    </row>
    <row r="288" spans="11:14" x14ac:dyDescent="0.3">
      <c r="K288" t="s">
        <v>556</v>
      </c>
      <c r="L288">
        <v>9.7110000000000003</v>
      </c>
      <c r="M288" t="e">
        <f t="shared" si="8"/>
        <v>#N/A</v>
      </c>
      <c r="N288" t="e">
        <f t="shared" si="9"/>
        <v>#N/A</v>
      </c>
    </row>
    <row r="289" spans="11:14" x14ac:dyDescent="0.3">
      <c r="K289" t="s">
        <v>556</v>
      </c>
      <c r="L289">
        <v>9.7110000000000003</v>
      </c>
      <c r="M289" t="e">
        <f t="shared" si="8"/>
        <v>#N/A</v>
      </c>
      <c r="N289" t="e">
        <f t="shared" si="9"/>
        <v>#N/A</v>
      </c>
    </row>
    <row r="290" spans="11:14" x14ac:dyDescent="0.3">
      <c r="K290" t="s">
        <v>556</v>
      </c>
      <c r="L290">
        <v>9.7110000000000003</v>
      </c>
      <c r="M290" t="e">
        <f t="shared" si="8"/>
        <v>#N/A</v>
      </c>
      <c r="N290" t="e">
        <f t="shared" si="9"/>
        <v>#N/A</v>
      </c>
    </row>
    <row r="291" spans="11:14" x14ac:dyDescent="0.3">
      <c r="K291" t="s">
        <v>557</v>
      </c>
      <c r="L291">
        <v>11.702999999999999</v>
      </c>
      <c r="M291" t="e">
        <f t="shared" si="8"/>
        <v>#N/A</v>
      </c>
      <c r="N291" t="e">
        <f t="shared" si="9"/>
        <v>#N/A</v>
      </c>
    </row>
    <row r="292" spans="11:14" x14ac:dyDescent="0.3">
      <c r="K292" t="s">
        <v>557</v>
      </c>
      <c r="L292">
        <v>11.702999999999999</v>
      </c>
      <c r="M292" t="e">
        <f t="shared" si="8"/>
        <v>#N/A</v>
      </c>
      <c r="N292" t="e">
        <f t="shared" si="9"/>
        <v>#N/A</v>
      </c>
    </row>
    <row r="293" spans="11:14" x14ac:dyDescent="0.3">
      <c r="K293" t="s">
        <v>557</v>
      </c>
      <c r="L293">
        <v>11.702999999999999</v>
      </c>
      <c r="M293" t="e">
        <f t="shared" si="8"/>
        <v>#N/A</v>
      </c>
      <c r="N293" t="e">
        <f t="shared" si="9"/>
        <v>#N/A</v>
      </c>
    </row>
    <row r="294" spans="11:14" x14ac:dyDescent="0.3">
      <c r="K294" t="s">
        <v>558</v>
      </c>
      <c r="L294">
        <v>13.695</v>
      </c>
      <c r="M294" t="e">
        <f t="shared" si="8"/>
        <v>#N/A</v>
      </c>
      <c r="N294" t="e">
        <f t="shared" si="9"/>
        <v>#N/A</v>
      </c>
    </row>
    <row r="295" spans="11:14" x14ac:dyDescent="0.3">
      <c r="K295" t="s">
        <v>559</v>
      </c>
      <c r="L295">
        <v>10.707000000000001</v>
      </c>
      <c r="M295" t="e">
        <f t="shared" si="8"/>
        <v>#N/A</v>
      </c>
      <c r="N295" t="e">
        <f t="shared" si="9"/>
        <v>#N/A</v>
      </c>
    </row>
    <row r="296" spans="11:14" x14ac:dyDescent="0.3">
      <c r="K296" t="s">
        <v>559</v>
      </c>
      <c r="L296">
        <v>10.707000000000001</v>
      </c>
      <c r="M296" t="e">
        <f t="shared" si="8"/>
        <v>#N/A</v>
      </c>
      <c r="N296" t="e">
        <f t="shared" si="9"/>
        <v>#N/A</v>
      </c>
    </row>
    <row r="297" spans="11:14" x14ac:dyDescent="0.3">
      <c r="K297" t="s">
        <v>559</v>
      </c>
      <c r="L297">
        <v>10.707000000000001</v>
      </c>
      <c r="M297" t="e">
        <f t="shared" si="8"/>
        <v>#N/A</v>
      </c>
      <c r="N297" t="e">
        <f t="shared" si="9"/>
        <v>#N/A</v>
      </c>
    </row>
    <row r="298" spans="11:14" x14ac:dyDescent="0.3">
      <c r="K298" t="s">
        <v>560</v>
      </c>
      <c r="L298">
        <v>11.702999999999999</v>
      </c>
      <c r="M298" t="e">
        <f t="shared" si="8"/>
        <v>#N/A</v>
      </c>
      <c r="N298" t="e">
        <f t="shared" si="9"/>
        <v>#N/A</v>
      </c>
    </row>
    <row r="299" spans="11:14" x14ac:dyDescent="0.3">
      <c r="K299" t="s">
        <v>560</v>
      </c>
      <c r="L299">
        <v>11.702999999999999</v>
      </c>
      <c r="M299" t="e">
        <f t="shared" si="8"/>
        <v>#N/A</v>
      </c>
      <c r="N299" t="e">
        <f t="shared" si="9"/>
        <v>#N/A</v>
      </c>
    </row>
    <row r="300" spans="11:14" x14ac:dyDescent="0.3">
      <c r="K300" t="s">
        <v>560</v>
      </c>
      <c r="L300">
        <v>11.702999999999999</v>
      </c>
      <c r="M300" t="e">
        <f t="shared" si="8"/>
        <v>#N/A</v>
      </c>
      <c r="N300" t="e">
        <f t="shared" si="9"/>
        <v>#N/A</v>
      </c>
    </row>
    <row r="301" spans="11:14" x14ac:dyDescent="0.3">
      <c r="K301" t="s">
        <v>560</v>
      </c>
      <c r="L301">
        <v>11.702999999999999</v>
      </c>
      <c r="M301" t="e">
        <f t="shared" si="8"/>
        <v>#N/A</v>
      </c>
      <c r="N301" t="e">
        <f t="shared" si="9"/>
        <v>#N/A</v>
      </c>
    </row>
    <row r="302" spans="11:14" x14ac:dyDescent="0.3">
      <c r="K302" t="s">
        <v>561</v>
      </c>
      <c r="L302">
        <v>15.686999999999999</v>
      </c>
      <c r="M302" t="e">
        <f t="shared" si="8"/>
        <v>#N/A</v>
      </c>
      <c r="N302" t="e">
        <f t="shared" si="9"/>
        <v>#N/A</v>
      </c>
    </row>
    <row r="303" spans="11:14" x14ac:dyDescent="0.3">
      <c r="K303" t="s">
        <v>562</v>
      </c>
      <c r="L303">
        <v>12.699</v>
      </c>
      <c r="M303" t="e">
        <f t="shared" si="8"/>
        <v>#N/A</v>
      </c>
      <c r="N303" t="e">
        <f t="shared" si="9"/>
        <v>#N/A</v>
      </c>
    </row>
    <row r="304" spans="11:14" x14ac:dyDescent="0.3">
      <c r="K304" t="s">
        <v>562</v>
      </c>
      <c r="L304">
        <v>12.699</v>
      </c>
      <c r="M304" t="e">
        <f t="shared" si="8"/>
        <v>#N/A</v>
      </c>
      <c r="N304" t="e">
        <f t="shared" si="9"/>
        <v>#N/A</v>
      </c>
    </row>
    <row r="305" spans="11:14" x14ac:dyDescent="0.3">
      <c r="K305" t="s">
        <v>563</v>
      </c>
      <c r="L305">
        <v>13.695</v>
      </c>
      <c r="M305" t="e">
        <f t="shared" si="8"/>
        <v>#N/A</v>
      </c>
      <c r="N305" t="e">
        <f t="shared" si="9"/>
        <v>#N/A</v>
      </c>
    </row>
    <row r="306" spans="11:14" x14ac:dyDescent="0.3">
      <c r="K306" t="s">
        <v>563</v>
      </c>
      <c r="L306">
        <v>13.695</v>
      </c>
      <c r="M306" t="e">
        <f t="shared" si="8"/>
        <v>#N/A</v>
      </c>
      <c r="N306" t="e">
        <f t="shared" si="9"/>
        <v>#N/A</v>
      </c>
    </row>
    <row r="307" spans="11:14" x14ac:dyDescent="0.3">
      <c r="K307" t="s">
        <v>564</v>
      </c>
      <c r="L307">
        <v>15.686999999999999</v>
      </c>
      <c r="M307" t="e">
        <f t="shared" si="8"/>
        <v>#N/A</v>
      </c>
      <c r="N307" t="e">
        <f t="shared" si="9"/>
        <v>#N/A</v>
      </c>
    </row>
    <row r="308" spans="11:14" x14ac:dyDescent="0.3">
      <c r="K308" t="s">
        <v>565</v>
      </c>
      <c r="L308">
        <v>17.678999999999998</v>
      </c>
      <c r="M308" t="e">
        <f t="shared" si="8"/>
        <v>#N/A</v>
      </c>
      <c r="N308" t="e">
        <f t="shared" si="9"/>
        <v>#N/A</v>
      </c>
    </row>
    <row r="309" spans="11:14" x14ac:dyDescent="0.3">
      <c r="K309" t="s">
        <v>566</v>
      </c>
      <c r="L309">
        <v>20.667000000000002</v>
      </c>
      <c r="M309" t="e">
        <f t="shared" si="8"/>
        <v>#N/A</v>
      </c>
      <c r="N309" t="e">
        <f t="shared" si="9"/>
        <v>#N/A</v>
      </c>
    </row>
    <row r="310" spans="11:14" x14ac:dyDescent="0.3">
      <c r="K310" t="s">
        <v>567</v>
      </c>
      <c r="L310">
        <v>18.675000000000001</v>
      </c>
      <c r="M310" t="e">
        <f t="shared" si="8"/>
        <v>#N/A</v>
      </c>
      <c r="N310" t="e">
        <f t="shared" si="9"/>
        <v>#N/A</v>
      </c>
    </row>
    <row r="311" spans="11:14" x14ac:dyDescent="0.3">
      <c r="K311" t="s">
        <v>568</v>
      </c>
      <c r="L311">
        <v>22.658999999999999</v>
      </c>
      <c r="M311" t="e">
        <f t="shared" si="8"/>
        <v>#N/A</v>
      </c>
      <c r="N311" t="e">
        <f t="shared" si="9"/>
        <v>#N/A</v>
      </c>
    </row>
    <row r="312" spans="11:14" x14ac:dyDescent="0.3">
      <c r="K312" t="s">
        <v>569</v>
      </c>
      <c r="L312">
        <v>23.655000000000001</v>
      </c>
      <c r="M312" t="e">
        <f t="shared" si="8"/>
        <v>#N/A</v>
      </c>
      <c r="N312" t="e">
        <f t="shared" si="9"/>
        <v>#N/A</v>
      </c>
    </row>
    <row r="313" spans="11:14" x14ac:dyDescent="0.3">
      <c r="K313" t="s">
        <v>570</v>
      </c>
      <c r="L313">
        <v>26.643000000000001</v>
      </c>
      <c r="M313" t="e">
        <f t="shared" si="8"/>
        <v>#N/A</v>
      </c>
      <c r="N313" t="e">
        <f t="shared" si="9"/>
        <v>#N/A</v>
      </c>
    </row>
    <row r="314" spans="11:14" x14ac:dyDescent="0.3">
      <c r="K314" t="s">
        <v>571</v>
      </c>
      <c r="L314">
        <v>24.651</v>
      </c>
      <c r="M314" t="e">
        <f t="shared" si="8"/>
        <v>#N/A</v>
      </c>
      <c r="N314" t="e">
        <f t="shared" si="9"/>
        <v>#N/A</v>
      </c>
    </row>
    <row r="315" spans="11:14" x14ac:dyDescent="0.3">
      <c r="K315" t="s">
        <v>572</v>
      </c>
      <c r="L315">
        <v>27.638999999999999</v>
      </c>
      <c r="M315" t="e">
        <f t="shared" si="8"/>
        <v>#N/A</v>
      </c>
      <c r="N315" t="e">
        <f t="shared" si="9"/>
        <v>#N/A</v>
      </c>
    </row>
    <row r="316" spans="11:14" x14ac:dyDescent="0.3">
      <c r="K316" t="s">
        <v>573</v>
      </c>
      <c r="L316">
        <v>29.631</v>
      </c>
      <c r="M316" t="e">
        <f t="shared" si="8"/>
        <v>#N/A</v>
      </c>
      <c r="N316" t="e">
        <f t="shared" si="9"/>
        <v>#N/A</v>
      </c>
    </row>
    <row r="317" spans="11:14" x14ac:dyDescent="0.3">
      <c r="K317" t="s">
        <v>574</v>
      </c>
      <c r="L317">
        <v>28.635000000000002</v>
      </c>
      <c r="M317" t="e">
        <f t="shared" si="8"/>
        <v>#N/A</v>
      </c>
      <c r="N317" t="e">
        <f t="shared" si="9"/>
        <v>#N/A</v>
      </c>
    </row>
    <row r="318" spans="11:14" x14ac:dyDescent="0.3">
      <c r="K318" t="s">
        <v>575</v>
      </c>
      <c r="L318">
        <v>3.9205999999999999</v>
      </c>
      <c r="M318" t="e">
        <f t="shared" si="8"/>
        <v>#N/A</v>
      </c>
      <c r="N318" t="e">
        <f t="shared" si="9"/>
        <v>#N/A</v>
      </c>
    </row>
    <row r="319" spans="11:14" x14ac:dyDescent="0.3">
      <c r="K319" t="s">
        <v>576</v>
      </c>
      <c r="L319">
        <v>1.2625999999999999</v>
      </c>
      <c r="M319" t="e">
        <f t="shared" si="8"/>
        <v>#N/A</v>
      </c>
      <c r="N319" t="e">
        <f t="shared" si="9"/>
        <v>#N/A</v>
      </c>
    </row>
    <row r="320" spans="11:14" x14ac:dyDescent="0.3">
      <c r="K320" t="s">
        <v>577</v>
      </c>
      <c r="L320">
        <v>1.7056</v>
      </c>
      <c r="M320" t="e">
        <f t="shared" si="8"/>
        <v>#N/A</v>
      </c>
      <c r="N320" t="e">
        <f t="shared" si="9"/>
        <v>#N/A</v>
      </c>
    </row>
    <row r="321" spans="11:14" x14ac:dyDescent="0.3">
      <c r="K321" t="s">
        <v>578</v>
      </c>
      <c r="L321">
        <v>2.5914999999999999</v>
      </c>
      <c r="M321" t="e">
        <f t="shared" si="8"/>
        <v>#N/A</v>
      </c>
      <c r="N321" t="e">
        <f t="shared" si="9"/>
        <v>#N/A</v>
      </c>
    </row>
    <row r="322" spans="11:14" x14ac:dyDescent="0.3">
      <c r="K322" t="s">
        <v>578</v>
      </c>
      <c r="L322">
        <v>2.5914999999999999</v>
      </c>
      <c r="M322" t="e">
        <f t="shared" si="8"/>
        <v>#N/A</v>
      </c>
      <c r="N322" t="e">
        <f t="shared" si="9"/>
        <v>#N/A</v>
      </c>
    </row>
    <row r="323" spans="11:14" x14ac:dyDescent="0.3">
      <c r="K323" t="s">
        <v>579</v>
      </c>
      <c r="L323">
        <v>3.0346000000000002</v>
      </c>
      <c r="M323" t="e">
        <f t="shared" ref="M323:M386" si="10">_xlfn.XLOOKUP(K323,A:A,B:B)</f>
        <v>#N/A</v>
      </c>
      <c r="N323" t="e">
        <f t="shared" ref="N323:N386" si="11">L323-M323</f>
        <v>#N/A</v>
      </c>
    </row>
    <row r="324" spans="11:14" x14ac:dyDescent="0.3">
      <c r="K324" t="s">
        <v>580</v>
      </c>
      <c r="L324">
        <v>3.4775999999999998</v>
      </c>
      <c r="M324" t="e">
        <f t="shared" si="10"/>
        <v>#N/A</v>
      </c>
      <c r="N324" t="e">
        <f t="shared" si="11"/>
        <v>#N/A</v>
      </c>
    </row>
    <row r="325" spans="11:14" x14ac:dyDescent="0.3">
      <c r="K325" t="s">
        <v>581</v>
      </c>
      <c r="L325">
        <v>3.9205999999999999</v>
      </c>
      <c r="M325" t="e">
        <f t="shared" si="10"/>
        <v>#N/A</v>
      </c>
      <c r="N325" t="e">
        <f t="shared" si="11"/>
        <v>#N/A</v>
      </c>
    </row>
    <row r="326" spans="11:14" x14ac:dyDescent="0.3">
      <c r="K326" t="s">
        <v>582</v>
      </c>
      <c r="L326">
        <v>4.8066000000000004</v>
      </c>
      <c r="M326" t="e">
        <f t="shared" si="10"/>
        <v>#N/A</v>
      </c>
      <c r="N326" t="e">
        <f t="shared" si="11"/>
        <v>#N/A</v>
      </c>
    </row>
    <row r="327" spans="11:14" x14ac:dyDescent="0.3">
      <c r="K327" t="s">
        <v>583</v>
      </c>
      <c r="L327">
        <v>2.5914999999999999</v>
      </c>
      <c r="M327" t="e">
        <f t="shared" si="10"/>
        <v>#N/A</v>
      </c>
      <c r="N327" t="e">
        <f t="shared" si="11"/>
        <v>#N/A</v>
      </c>
    </row>
    <row r="328" spans="11:14" x14ac:dyDescent="0.3">
      <c r="K328" t="s">
        <v>584</v>
      </c>
      <c r="L328">
        <v>3.4775999999999998</v>
      </c>
      <c r="M328" t="e">
        <f t="shared" si="10"/>
        <v>#N/A</v>
      </c>
      <c r="N328" t="e">
        <f t="shared" si="11"/>
        <v>#N/A</v>
      </c>
    </row>
    <row r="329" spans="11:14" x14ac:dyDescent="0.3">
      <c r="K329" t="s">
        <v>585</v>
      </c>
      <c r="L329">
        <v>3.4775999999999998</v>
      </c>
      <c r="M329" t="e">
        <f t="shared" si="10"/>
        <v>#N/A</v>
      </c>
      <c r="N329" t="e">
        <f t="shared" si="11"/>
        <v>#N/A</v>
      </c>
    </row>
    <row r="330" spans="11:14" x14ac:dyDescent="0.3">
      <c r="K330" t="s">
        <v>586</v>
      </c>
      <c r="L330">
        <v>3.0346000000000002</v>
      </c>
      <c r="M330" t="e">
        <f t="shared" si="10"/>
        <v>#N/A</v>
      </c>
      <c r="N330" t="e">
        <f t="shared" si="11"/>
        <v>#N/A</v>
      </c>
    </row>
    <row r="331" spans="11:14" x14ac:dyDescent="0.3">
      <c r="K331" t="s">
        <v>587</v>
      </c>
      <c r="L331">
        <v>3.0346000000000002</v>
      </c>
      <c r="M331" t="e">
        <f t="shared" si="10"/>
        <v>#N/A</v>
      </c>
      <c r="N331" t="e">
        <f t="shared" si="11"/>
        <v>#N/A</v>
      </c>
    </row>
    <row r="332" spans="11:14" x14ac:dyDescent="0.3">
      <c r="K332" t="s">
        <v>588</v>
      </c>
      <c r="L332">
        <v>10.8066</v>
      </c>
      <c r="M332" t="e">
        <f t="shared" si="10"/>
        <v>#N/A</v>
      </c>
      <c r="N332" t="e">
        <f t="shared" si="11"/>
        <v>#N/A</v>
      </c>
    </row>
    <row r="333" spans="11:14" x14ac:dyDescent="0.3">
      <c r="K333" t="s">
        <v>589</v>
      </c>
      <c r="L333">
        <v>11.8026</v>
      </c>
      <c r="M333" t="e">
        <f t="shared" si="10"/>
        <v>#N/A</v>
      </c>
      <c r="N333" t="e">
        <f t="shared" si="11"/>
        <v>#N/A</v>
      </c>
    </row>
    <row r="334" spans="11:14" x14ac:dyDescent="0.3">
      <c r="K334" t="s">
        <v>590</v>
      </c>
      <c r="L334">
        <v>6.8226000000000004</v>
      </c>
      <c r="M334" t="e">
        <f t="shared" si="10"/>
        <v>#N/A</v>
      </c>
      <c r="N334" t="e">
        <f t="shared" si="11"/>
        <v>#N/A</v>
      </c>
    </row>
    <row r="335" spans="11:14" x14ac:dyDescent="0.3">
      <c r="K335" t="s">
        <v>591</v>
      </c>
      <c r="L335">
        <v>7.8186</v>
      </c>
      <c r="M335" t="e">
        <f t="shared" si="10"/>
        <v>#N/A</v>
      </c>
      <c r="N335" t="e">
        <f t="shared" si="11"/>
        <v>#N/A</v>
      </c>
    </row>
    <row r="336" spans="11:14" x14ac:dyDescent="0.3">
      <c r="K336" t="s">
        <v>591</v>
      </c>
      <c r="L336">
        <v>7.8186</v>
      </c>
      <c r="M336" t="e">
        <f t="shared" si="10"/>
        <v>#N/A</v>
      </c>
      <c r="N336" t="e">
        <f t="shared" si="11"/>
        <v>#N/A</v>
      </c>
    </row>
    <row r="337" spans="11:14" x14ac:dyDescent="0.3">
      <c r="K337" t="s">
        <v>592</v>
      </c>
      <c r="L337">
        <v>9.8106000000000009</v>
      </c>
      <c r="M337" t="e">
        <f t="shared" si="10"/>
        <v>#N/A</v>
      </c>
      <c r="N337" t="e">
        <f t="shared" si="11"/>
        <v>#N/A</v>
      </c>
    </row>
    <row r="338" spans="11:14" x14ac:dyDescent="0.3">
      <c r="K338" t="s">
        <v>593</v>
      </c>
      <c r="L338">
        <v>11.8026</v>
      </c>
      <c r="M338" t="e">
        <f t="shared" si="10"/>
        <v>#N/A</v>
      </c>
      <c r="N338" t="e">
        <f t="shared" si="11"/>
        <v>#N/A</v>
      </c>
    </row>
    <row r="339" spans="11:14" x14ac:dyDescent="0.3">
      <c r="K339" t="s">
        <v>594</v>
      </c>
      <c r="L339">
        <v>11.8026</v>
      </c>
      <c r="M339" t="e">
        <f t="shared" si="10"/>
        <v>#N/A</v>
      </c>
      <c r="N339" t="e">
        <f t="shared" si="11"/>
        <v>#N/A</v>
      </c>
    </row>
    <row r="340" spans="11:14" x14ac:dyDescent="0.3">
      <c r="K340" t="s">
        <v>595</v>
      </c>
      <c r="L340">
        <v>13.794600000000001</v>
      </c>
      <c r="M340" t="e">
        <f t="shared" si="10"/>
        <v>#N/A</v>
      </c>
      <c r="N340" t="e">
        <f t="shared" si="11"/>
        <v>#N/A</v>
      </c>
    </row>
    <row r="341" spans="11:14" x14ac:dyDescent="0.3">
      <c r="K341" t="s">
        <v>596</v>
      </c>
      <c r="L341">
        <v>8.8146000000000004</v>
      </c>
      <c r="M341" t="e">
        <f t="shared" si="10"/>
        <v>#N/A</v>
      </c>
      <c r="N341" t="e">
        <f t="shared" si="11"/>
        <v>#N/A</v>
      </c>
    </row>
    <row r="342" spans="11:14" x14ac:dyDescent="0.3">
      <c r="K342" t="s">
        <v>597</v>
      </c>
      <c r="L342">
        <v>9.8106000000000009</v>
      </c>
      <c r="M342" t="e">
        <f t="shared" si="10"/>
        <v>#N/A</v>
      </c>
      <c r="N342" t="e">
        <f t="shared" si="11"/>
        <v>#N/A</v>
      </c>
    </row>
    <row r="343" spans="11:14" x14ac:dyDescent="0.3">
      <c r="K343" t="s">
        <v>598</v>
      </c>
      <c r="L343">
        <v>10.8066</v>
      </c>
      <c r="M343" t="e">
        <f t="shared" si="10"/>
        <v>#N/A</v>
      </c>
      <c r="N343" t="e">
        <f t="shared" si="11"/>
        <v>#N/A</v>
      </c>
    </row>
    <row r="344" spans="11:14" x14ac:dyDescent="0.3">
      <c r="K344" t="s">
        <v>599</v>
      </c>
      <c r="L344">
        <v>12.7986</v>
      </c>
      <c r="M344" t="e">
        <f t="shared" si="10"/>
        <v>#N/A</v>
      </c>
      <c r="N344" t="e">
        <f t="shared" si="11"/>
        <v>#N/A</v>
      </c>
    </row>
    <row r="345" spans="11:14" x14ac:dyDescent="0.3">
      <c r="K345" t="s">
        <v>600</v>
      </c>
      <c r="L345">
        <v>14.7906</v>
      </c>
      <c r="M345" t="e">
        <f t="shared" si="10"/>
        <v>#N/A</v>
      </c>
      <c r="N345" t="e">
        <f t="shared" si="11"/>
        <v>#N/A</v>
      </c>
    </row>
    <row r="346" spans="11:14" x14ac:dyDescent="0.3">
      <c r="K346" t="s">
        <v>601</v>
      </c>
      <c r="L346">
        <v>16.782599999999999</v>
      </c>
      <c r="M346" t="e">
        <f t="shared" si="10"/>
        <v>#N/A</v>
      </c>
      <c r="N346" t="e">
        <f t="shared" si="11"/>
        <v>#N/A</v>
      </c>
    </row>
    <row r="347" spans="11:14" x14ac:dyDescent="0.3">
      <c r="K347" t="s">
        <v>602</v>
      </c>
      <c r="L347">
        <v>12.7986</v>
      </c>
      <c r="M347" t="e">
        <f t="shared" si="10"/>
        <v>#N/A</v>
      </c>
      <c r="N347" t="e">
        <f t="shared" si="11"/>
        <v>#N/A</v>
      </c>
    </row>
    <row r="348" spans="11:14" x14ac:dyDescent="0.3">
      <c r="K348" t="s">
        <v>603</v>
      </c>
      <c r="L348">
        <v>15.7866</v>
      </c>
      <c r="M348" t="e">
        <f t="shared" si="10"/>
        <v>#N/A</v>
      </c>
      <c r="N348" t="e">
        <f t="shared" si="11"/>
        <v>#N/A</v>
      </c>
    </row>
    <row r="349" spans="11:14" x14ac:dyDescent="0.3">
      <c r="K349" t="s">
        <v>604</v>
      </c>
      <c r="L349">
        <v>10.956</v>
      </c>
      <c r="M349" t="e">
        <f t="shared" si="10"/>
        <v>#N/A</v>
      </c>
      <c r="N349" t="e">
        <f t="shared" si="11"/>
        <v>#N/A</v>
      </c>
    </row>
    <row r="350" spans="11:14" x14ac:dyDescent="0.3">
      <c r="K350" t="s">
        <v>605</v>
      </c>
      <c r="L350">
        <v>18.923999999999999</v>
      </c>
      <c r="M350" t="e">
        <f t="shared" si="10"/>
        <v>#N/A</v>
      </c>
      <c r="N350" t="e">
        <f t="shared" si="11"/>
        <v>#N/A</v>
      </c>
    </row>
    <row r="351" spans="11:14" x14ac:dyDescent="0.3">
      <c r="K351" t="s">
        <v>606</v>
      </c>
      <c r="L351">
        <v>14.94</v>
      </c>
      <c r="M351" t="e">
        <f t="shared" si="10"/>
        <v>#N/A</v>
      </c>
      <c r="N351" t="e">
        <f t="shared" si="11"/>
        <v>#N/A</v>
      </c>
    </row>
    <row r="352" spans="11:14" x14ac:dyDescent="0.3">
      <c r="K352" t="s">
        <v>607</v>
      </c>
      <c r="L352">
        <v>15.936</v>
      </c>
      <c r="M352" t="e">
        <f t="shared" si="10"/>
        <v>#N/A</v>
      </c>
      <c r="N352" t="e">
        <f t="shared" si="11"/>
        <v>#N/A</v>
      </c>
    </row>
    <row r="353" spans="11:14" x14ac:dyDescent="0.3">
      <c r="K353" t="s">
        <v>607</v>
      </c>
      <c r="L353">
        <v>15.936</v>
      </c>
      <c r="M353" t="e">
        <f t="shared" si="10"/>
        <v>#N/A</v>
      </c>
      <c r="N353" t="e">
        <f t="shared" si="11"/>
        <v>#N/A</v>
      </c>
    </row>
    <row r="354" spans="11:14" x14ac:dyDescent="0.3">
      <c r="K354" t="s">
        <v>608</v>
      </c>
      <c r="L354">
        <v>21.911999999999999</v>
      </c>
      <c r="M354" t="e">
        <f t="shared" si="10"/>
        <v>#N/A</v>
      </c>
      <c r="N354" t="e">
        <f t="shared" si="11"/>
        <v>#N/A</v>
      </c>
    </row>
    <row r="355" spans="11:14" x14ac:dyDescent="0.3">
      <c r="K355" t="s">
        <v>609</v>
      </c>
      <c r="L355">
        <v>16.931999999999999</v>
      </c>
      <c r="M355" t="e">
        <f t="shared" si="10"/>
        <v>#N/A</v>
      </c>
      <c r="N355" t="e">
        <f t="shared" si="11"/>
        <v>#N/A</v>
      </c>
    </row>
    <row r="356" spans="11:14" x14ac:dyDescent="0.3">
      <c r="K356" t="s">
        <v>609</v>
      </c>
      <c r="L356">
        <v>16.931999999999999</v>
      </c>
      <c r="M356" t="e">
        <f t="shared" si="10"/>
        <v>#N/A</v>
      </c>
      <c r="N356" t="e">
        <f t="shared" si="11"/>
        <v>#N/A</v>
      </c>
    </row>
    <row r="357" spans="11:14" x14ac:dyDescent="0.3">
      <c r="K357" t="s">
        <v>610</v>
      </c>
      <c r="L357">
        <v>20.916</v>
      </c>
      <c r="M357" t="e">
        <f t="shared" si="10"/>
        <v>#N/A</v>
      </c>
      <c r="N357" t="e">
        <f t="shared" si="11"/>
        <v>#N/A</v>
      </c>
    </row>
    <row r="358" spans="11:14" x14ac:dyDescent="0.3">
      <c r="K358" t="s">
        <v>611</v>
      </c>
      <c r="L358">
        <v>66.850899999999996</v>
      </c>
      <c r="M358" t="e">
        <f t="shared" si="10"/>
        <v>#N/A</v>
      </c>
      <c r="N358" t="e">
        <f t="shared" si="11"/>
        <v>#N/A</v>
      </c>
    </row>
    <row r="359" spans="11:14" x14ac:dyDescent="0.3">
      <c r="K359" t="s">
        <v>612</v>
      </c>
      <c r="L359">
        <v>12.405900000000001</v>
      </c>
      <c r="M359" t="e">
        <f t="shared" si="10"/>
        <v>#N/A</v>
      </c>
      <c r="N359" t="e">
        <f t="shared" si="11"/>
        <v>#N/A</v>
      </c>
    </row>
    <row r="360" spans="11:14" x14ac:dyDescent="0.3">
      <c r="K360" t="s">
        <v>613</v>
      </c>
      <c r="L360">
        <v>54.655299999999997</v>
      </c>
      <c r="M360" t="e">
        <f t="shared" si="10"/>
        <v>#N/A</v>
      </c>
      <c r="N360" t="e">
        <f t="shared" si="11"/>
        <v>#N/A</v>
      </c>
    </row>
    <row r="361" spans="11:14" x14ac:dyDescent="0.3">
      <c r="K361" t="s">
        <v>614</v>
      </c>
      <c r="L361">
        <v>60.875300000000003</v>
      </c>
      <c r="M361" t="e">
        <f t="shared" si="10"/>
        <v>#N/A</v>
      </c>
      <c r="N361" t="e">
        <f t="shared" si="11"/>
        <v>#N/A</v>
      </c>
    </row>
    <row r="362" spans="11:14" x14ac:dyDescent="0.3">
      <c r="K362" t="s">
        <v>615</v>
      </c>
      <c r="L362">
        <v>60.875300000000003</v>
      </c>
      <c r="M362" t="e">
        <f t="shared" si="10"/>
        <v>#N/A</v>
      </c>
      <c r="N362" t="e">
        <f t="shared" si="11"/>
        <v>#N/A</v>
      </c>
    </row>
    <row r="363" spans="11:14" x14ac:dyDescent="0.3">
      <c r="K363" t="s">
        <v>616</v>
      </c>
      <c r="L363">
        <v>28.188400000000001</v>
      </c>
      <c r="M363" t="e">
        <f t="shared" si="10"/>
        <v>#N/A</v>
      </c>
      <c r="N363" t="e">
        <f t="shared" si="11"/>
        <v>#N/A</v>
      </c>
    </row>
    <row r="364" spans="11:14" x14ac:dyDescent="0.3">
      <c r="K364" t="s">
        <v>617</v>
      </c>
      <c r="L364">
        <v>5.5749000000000004</v>
      </c>
      <c r="M364" t="e">
        <f t="shared" si="10"/>
        <v>#N/A</v>
      </c>
      <c r="N364" t="e">
        <f t="shared" si="11"/>
        <v>#N/A</v>
      </c>
    </row>
    <row r="365" spans="11:14" x14ac:dyDescent="0.3">
      <c r="K365" t="s">
        <v>618</v>
      </c>
      <c r="L365">
        <v>6.9039000000000001</v>
      </c>
      <c r="M365" t="e">
        <f t="shared" si="10"/>
        <v>#N/A</v>
      </c>
      <c r="N365" t="e">
        <f t="shared" si="11"/>
        <v>#N/A</v>
      </c>
    </row>
    <row r="366" spans="11:14" x14ac:dyDescent="0.3">
      <c r="K366" t="s">
        <v>619</v>
      </c>
      <c r="L366">
        <v>6.9039000000000001</v>
      </c>
      <c r="M366" t="e">
        <f t="shared" si="10"/>
        <v>#N/A</v>
      </c>
      <c r="N366" t="e">
        <f t="shared" si="11"/>
        <v>#N/A</v>
      </c>
    </row>
    <row r="367" spans="11:14" x14ac:dyDescent="0.3">
      <c r="K367" t="s">
        <v>620</v>
      </c>
      <c r="L367">
        <v>7.7899000000000003</v>
      </c>
      <c r="M367" t="e">
        <f t="shared" si="10"/>
        <v>#N/A</v>
      </c>
      <c r="N367" t="e">
        <f t="shared" si="11"/>
        <v>#N/A</v>
      </c>
    </row>
    <row r="368" spans="11:14" x14ac:dyDescent="0.3">
      <c r="K368" t="s">
        <v>620</v>
      </c>
      <c r="L368">
        <v>7.7899000000000003</v>
      </c>
      <c r="M368" t="e">
        <f t="shared" si="10"/>
        <v>#N/A</v>
      </c>
      <c r="N368" t="e">
        <f t="shared" si="11"/>
        <v>#N/A</v>
      </c>
    </row>
    <row r="369" spans="11:14" x14ac:dyDescent="0.3">
      <c r="K369" t="s">
        <v>621</v>
      </c>
      <c r="L369">
        <v>11.997999999999999</v>
      </c>
      <c r="M369" t="e">
        <f t="shared" si="10"/>
        <v>#N/A</v>
      </c>
      <c r="N369" t="e">
        <f t="shared" si="11"/>
        <v>#N/A</v>
      </c>
    </row>
    <row r="370" spans="11:14" x14ac:dyDescent="0.3">
      <c r="K370" t="s">
        <v>622</v>
      </c>
      <c r="L370">
        <v>15.981999999999999</v>
      </c>
      <c r="M370" t="e">
        <f t="shared" si="10"/>
        <v>#N/A</v>
      </c>
      <c r="N370" t="e">
        <f t="shared" si="11"/>
        <v>#N/A</v>
      </c>
    </row>
    <row r="371" spans="11:14" x14ac:dyDescent="0.3">
      <c r="K371" t="s">
        <v>623</v>
      </c>
      <c r="L371">
        <v>21.957999999999998</v>
      </c>
      <c r="M371" t="e">
        <f t="shared" si="10"/>
        <v>#N/A</v>
      </c>
      <c r="N371" t="e">
        <f t="shared" si="11"/>
        <v>#N/A</v>
      </c>
    </row>
    <row r="372" spans="11:14" x14ac:dyDescent="0.3">
      <c r="K372" t="s">
        <v>624</v>
      </c>
      <c r="L372">
        <v>62.633699999999997</v>
      </c>
      <c r="M372" t="e">
        <f t="shared" si="10"/>
        <v>#N/A</v>
      </c>
      <c r="N372" t="e">
        <f t="shared" si="11"/>
        <v>#N/A</v>
      </c>
    </row>
    <row r="373" spans="11:14" x14ac:dyDescent="0.3">
      <c r="K373" t="s">
        <v>625</v>
      </c>
      <c r="L373">
        <v>39.6768</v>
      </c>
      <c r="M373" t="e">
        <f t="shared" si="10"/>
        <v>#N/A</v>
      </c>
      <c r="N373" t="e">
        <f t="shared" si="11"/>
        <v>#N/A</v>
      </c>
    </row>
    <row r="374" spans="11:14" x14ac:dyDescent="0.3">
      <c r="K374" t="s">
        <v>626</v>
      </c>
      <c r="L374">
        <v>22.579000000000001</v>
      </c>
      <c r="M374" t="e">
        <f t="shared" si="10"/>
        <v>#N/A</v>
      </c>
      <c r="N374" t="e">
        <f t="shared" si="11"/>
        <v>#N/A</v>
      </c>
    </row>
    <row r="375" spans="11:14" x14ac:dyDescent="0.3">
      <c r="K375" t="s">
        <v>627</v>
      </c>
      <c r="L375">
        <v>25.594000000000001</v>
      </c>
      <c r="M375" t="e">
        <f t="shared" si="10"/>
        <v>#N/A</v>
      </c>
      <c r="N375" t="e">
        <f t="shared" si="11"/>
        <v>#N/A</v>
      </c>
    </row>
    <row r="376" spans="11:14" x14ac:dyDescent="0.3">
      <c r="K376" t="s">
        <v>628</v>
      </c>
      <c r="L376">
        <v>33.24</v>
      </c>
      <c r="M376" t="e">
        <f t="shared" si="10"/>
        <v>#N/A</v>
      </c>
      <c r="N376" t="e">
        <f t="shared" si="11"/>
        <v>#N/A</v>
      </c>
    </row>
    <row r="377" spans="11:14" x14ac:dyDescent="0.3">
      <c r="K377" t="s">
        <v>629</v>
      </c>
      <c r="L377">
        <v>47.64</v>
      </c>
      <c r="M377" t="e">
        <f t="shared" si="10"/>
        <v>#N/A</v>
      </c>
      <c r="N377" t="e">
        <f t="shared" si="11"/>
        <v>#N/A</v>
      </c>
    </row>
    <row r="378" spans="11:14" x14ac:dyDescent="0.3">
      <c r="K378" t="s">
        <v>630</v>
      </c>
      <c r="L378">
        <v>54.84</v>
      </c>
      <c r="M378" t="e">
        <f t="shared" si="10"/>
        <v>#N/A</v>
      </c>
      <c r="N378" t="e">
        <f t="shared" si="11"/>
        <v>#N/A</v>
      </c>
    </row>
    <row r="379" spans="11:14" x14ac:dyDescent="0.3">
      <c r="K379" t="s">
        <v>631</v>
      </c>
      <c r="L379">
        <v>34.44</v>
      </c>
      <c r="M379" t="e">
        <f t="shared" si="10"/>
        <v>#N/A</v>
      </c>
      <c r="N379" t="e">
        <f t="shared" si="11"/>
        <v>#N/A</v>
      </c>
    </row>
    <row r="380" spans="11:14" x14ac:dyDescent="0.3">
      <c r="K380" t="s">
        <v>632</v>
      </c>
      <c r="L380">
        <v>1.7056</v>
      </c>
      <c r="M380" t="e">
        <f t="shared" si="10"/>
        <v>#N/A</v>
      </c>
      <c r="N380" t="e">
        <f t="shared" si="11"/>
        <v>#N/A</v>
      </c>
    </row>
    <row r="381" spans="11:14" x14ac:dyDescent="0.3">
      <c r="K381" t="s">
        <v>632</v>
      </c>
      <c r="L381">
        <v>1.7056</v>
      </c>
      <c r="M381" t="e">
        <f t="shared" si="10"/>
        <v>#N/A</v>
      </c>
      <c r="N381" t="e">
        <f t="shared" si="11"/>
        <v>#N/A</v>
      </c>
    </row>
    <row r="382" spans="11:14" x14ac:dyDescent="0.3">
      <c r="K382" t="s">
        <v>633</v>
      </c>
      <c r="L382">
        <v>2.1486000000000001</v>
      </c>
      <c r="M382" t="e">
        <f t="shared" si="10"/>
        <v>#N/A</v>
      </c>
      <c r="N382" t="e">
        <f t="shared" si="11"/>
        <v>#N/A</v>
      </c>
    </row>
    <row r="383" spans="11:14" x14ac:dyDescent="0.3">
      <c r="K383" t="s">
        <v>633</v>
      </c>
      <c r="L383">
        <v>2.1486000000000001</v>
      </c>
      <c r="M383" t="e">
        <f t="shared" si="10"/>
        <v>#N/A</v>
      </c>
      <c r="N383" t="e">
        <f t="shared" si="11"/>
        <v>#N/A</v>
      </c>
    </row>
    <row r="384" spans="11:14" x14ac:dyDescent="0.3">
      <c r="K384" t="s">
        <v>633</v>
      </c>
      <c r="L384">
        <v>2.1486000000000001</v>
      </c>
      <c r="M384" t="e">
        <f t="shared" si="10"/>
        <v>#N/A</v>
      </c>
      <c r="N384" t="e">
        <f t="shared" si="11"/>
        <v>#N/A</v>
      </c>
    </row>
    <row r="385" spans="11:14" x14ac:dyDescent="0.3">
      <c r="K385" t="s">
        <v>633</v>
      </c>
      <c r="L385">
        <v>2.1486000000000001</v>
      </c>
      <c r="M385" t="e">
        <f t="shared" si="10"/>
        <v>#N/A</v>
      </c>
      <c r="N385" t="e">
        <f t="shared" si="11"/>
        <v>#N/A</v>
      </c>
    </row>
    <row r="386" spans="11:14" x14ac:dyDescent="0.3">
      <c r="K386" t="s">
        <v>634</v>
      </c>
      <c r="L386">
        <v>2.5914999999999999</v>
      </c>
      <c r="M386" t="e">
        <f t="shared" si="10"/>
        <v>#N/A</v>
      </c>
      <c r="N386" t="e">
        <f t="shared" si="11"/>
        <v>#N/A</v>
      </c>
    </row>
    <row r="387" spans="11:14" x14ac:dyDescent="0.3">
      <c r="K387" t="s">
        <v>635</v>
      </c>
      <c r="L387">
        <v>3.4775999999999998</v>
      </c>
      <c r="M387" t="e">
        <f t="shared" ref="M387:M450" si="12">_xlfn.XLOOKUP(K387,A:A,B:B)</f>
        <v>#N/A</v>
      </c>
      <c r="N387" t="e">
        <f t="shared" ref="N387:N450" si="13">L387-M387</f>
        <v>#N/A</v>
      </c>
    </row>
    <row r="388" spans="11:14" x14ac:dyDescent="0.3">
      <c r="K388" t="s">
        <v>636</v>
      </c>
      <c r="L388">
        <v>3.0346000000000002</v>
      </c>
      <c r="M388" t="e">
        <f t="shared" si="12"/>
        <v>#N/A</v>
      </c>
      <c r="N388" t="e">
        <f t="shared" si="13"/>
        <v>#N/A</v>
      </c>
    </row>
    <row r="389" spans="11:14" x14ac:dyDescent="0.3">
      <c r="K389" t="s">
        <v>637</v>
      </c>
      <c r="L389">
        <v>4.8305999999999996</v>
      </c>
      <c r="M389" t="e">
        <f t="shared" si="12"/>
        <v>#N/A</v>
      </c>
      <c r="N389" t="e">
        <f t="shared" si="13"/>
        <v>#N/A</v>
      </c>
    </row>
    <row r="390" spans="11:14" x14ac:dyDescent="0.3">
      <c r="K390" t="s">
        <v>638</v>
      </c>
      <c r="L390">
        <v>6.8226000000000004</v>
      </c>
      <c r="M390" t="e">
        <f t="shared" si="12"/>
        <v>#N/A</v>
      </c>
      <c r="N390" t="e">
        <f t="shared" si="13"/>
        <v>#N/A</v>
      </c>
    </row>
    <row r="391" spans="11:14" x14ac:dyDescent="0.3">
      <c r="K391" t="s">
        <v>639</v>
      </c>
      <c r="L391">
        <v>9.8106000000000009</v>
      </c>
      <c r="M391" t="e">
        <f t="shared" si="12"/>
        <v>#N/A</v>
      </c>
      <c r="N391" t="e">
        <f t="shared" si="13"/>
        <v>#N/A</v>
      </c>
    </row>
    <row r="392" spans="11:14" x14ac:dyDescent="0.3">
      <c r="K392" t="s">
        <v>640</v>
      </c>
      <c r="L392">
        <v>4.8305999999999996</v>
      </c>
      <c r="M392" t="e">
        <f t="shared" si="12"/>
        <v>#N/A</v>
      </c>
      <c r="N392" t="e">
        <f t="shared" si="13"/>
        <v>#N/A</v>
      </c>
    </row>
    <row r="393" spans="11:14" x14ac:dyDescent="0.3">
      <c r="K393" t="s">
        <v>641</v>
      </c>
      <c r="L393">
        <v>5.8266</v>
      </c>
      <c r="M393" t="e">
        <f t="shared" si="12"/>
        <v>#N/A</v>
      </c>
      <c r="N393" t="e">
        <f t="shared" si="13"/>
        <v>#N/A</v>
      </c>
    </row>
    <row r="394" spans="11:14" x14ac:dyDescent="0.3">
      <c r="K394" t="s">
        <v>641</v>
      </c>
      <c r="L394">
        <v>5.8266</v>
      </c>
      <c r="M394" t="e">
        <f t="shared" si="12"/>
        <v>#N/A</v>
      </c>
      <c r="N394" t="e">
        <f t="shared" si="13"/>
        <v>#N/A</v>
      </c>
    </row>
    <row r="395" spans="11:14" x14ac:dyDescent="0.3">
      <c r="K395" t="s">
        <v>642</v>
      </c>
      <c r="L395">
        <v>7.8186</v>
      </c>
      <c r="M395" t="e">
        <f t="shared" si="12"/>
        <v>#N/A</v>
      </c>
      <c r="N395" t="e">
        <f t="shared" si="13"/>
        <v>#N/A</v>
      </c>
    </row>
    <row r="396" spans="11:14" x14ac:dyDescent="0.3">
      <c r="K396" t="s">
        <v>642</v>
      </c>
      <c r="L396">
        <v>7.8186</v>
      </c>
      <c r="M396" t="e">
        <f t="shared" si="12"/>
        <v>#N/A</v>
      </c>
      <c r="N396" t="e">
        <f t="shared" si="13"/>
        <v>#N/A</v>
      </c>
    </row>
    <row r="397" spans="11:14" x14ac:dyDescent="0.3">
      <c r="K397" t="s">
        <v>643</v>
      </c>
      <c r="L397">
        <v>12.7986</v>
      </c>
      <c r="M397" t="e">
        <f t="shared" si="12"/>
        <v>#N/A</v>
      </c>
      <c r="N397" t="e">
        <f t="shared" si="13"/>
        <v>#N/A</v>
      </c>
    </row>
    <row r="398" spans="11:14" x14ac:dyDescent="0.3">
      <c r="K398" t="s">
        <v>643</v>
      </c>
      <c r="L398">
        <v>12.7986</v>
      </c>
      <c r="M398" t="e">
        <f t="shared" si="12"/>
        <v>#N/A</v>
      </c>
      <c r="N398" t="e">
        <f t="shared" si="13"/>
        <v>#N/A</v>
      </c>
    </row>
    <row r="399" spans="11:14" x14ac:dyDescent="0.3">
      <c r="K399" t="s">
        <v>644</v>
      </c>
      <c r="L399">
        <v>13.794600000000001</v>
      </c>
      <c r="M399" t="e">
        <f t="shared" si="12"/>
        <v>#N/A</v>
      </c>
      <c r="N399" t="e">
        <f t="shared" si="13"/>
        <v>#N/A</v>
      </c>
    </row>
    <row r="400" spans="11:14" x14ac:dyDescent="0.3">
      <c r="K400" t="s">
        <v>645</v>
      </c>
      <c r="L400">
        <v>5.8266</v>
      </c>
      <c r="M400" t="e">
        <f t="shared" si="12"/>
        <v>#N/A</v>
      </c>
      <c r="N400" t="e">
        <f t="shared" si="13"/>
        <v>#N/A</v>
      </c>
    </row>
    <row r="401" spans="11:14" x14ac:dyDescent="0.3">
      <c r="K401" t="s">
        <v>646</v>
      </c>
      <c r="L401">
        <v>6.8226000000000004</v>
      </c>
      <c r="M401" t="e">
        <f t="shared" si="12"/>
        <v>#N/A</v>
      </c>
      <c r="N401" t="e">
        <f t="shared" si="13"/>
        <v>#N/A</v>
      </c>
    </row>
    <row r="402" spans="11:14" x14ac:dyDescent="0.3">
      <c r="K402" t="s">
        <v>647</v>
      </c>
      <c r="L402">
        <v>8.8146000000000004</v>
      </c>
      <c r="M402" t="e">
        <f t="shared" si="12"/>
        <v>#N/A</v>
      </c>
      <c r="N402" t="e">
        <f t="shared" si="13"/>
        <v>#N/A</v>
      </c>
    </row>
    <row r="403" spans="11:14" x14ac:dyDescent="0.3">
      <c r="K403" t="s">
        <v>648</v>
      </c>
      <c r="L403">
        <v>8.8146000000000004</v>
      </c>
      <c r="M403" t="e">
        <f t="shared" si="12"/>
        <v>#N/A</v>
      </c>
      <c r="N403" t="e">
        <f t="shared" si="13"/>
        <v>#N/A</v>
      </c>
    </row>
    <row r="404" spans="11:14" x14ac:dyDescent="0.3">
      <c r="K404" t="s">
        <v>649</v>
      </c>
      <c r="L404">
        <v>12.7986</v>
      </c>
      <c r="M404" t="e">
        <f t="shared" si="12"/>
        <v>#N/A</v>
      </c>
      <c r="N404" t="e">
        <f t="shared" si="13"/>
        <v>#N/A</v>
      </c>
    </row>
    <row r="405" spans="11:14" x14ac:dyDescent="0.3">
      <c r="K405" t="s">
        <v>650</v>
      </c>
      <c r="L405">
        <v>8.8146000000000004</v>
      </c>
      <c r="M405" t="e">
        <f t="shared" si="12"/>
        <v>#N/A</v>
      </c>
      <c r="N405" t="e">
        <f t="shared" si="13"/>
        <v>#N/A</v>
      </c>
    </row>
    <row r="406" spans="11:14" x14ac:dyDescent="0.3">
      <c r="K406" t="s">
        <v>651</v>
      </c>
      <c r="L406">
        <v>9.8106000000000009</v>
      </c>
      <c r="M406" t="e">
        <f t="shared" si="12"/>
        <v>#N/A</v>
      </c>
      <c r="N406" t="e">
        <f t="shared" si="13"/>
        <v>#N/A</v>
      </c>
    </row>
    <row r="407" spans="11:14" x14ac:dyDescent="0.3">
      <c r="K407" t="s">
        <v>652</v>
      </c>
      <c r="L407">
        <v>9.8106000000000009</v>
      </c>
      <c r="M407" t="e">
        <f t="shared" si="12"/>
        <v>#N/A</v>
      </c>
      <c r="N407" t="e">
        <f t="shared" si="13"/>
        <v>#N/A</v>
      </c>
    </row>
    <row r="408" spans="11:14" x14ac:dyDescent="0.3">
      <c r="K408" t="s">
        <v>652</v>
      </c>
      <c r="L408">
        <v>9.8106000000000009</v>
      </c>
      <c r="M408" t="e">
        <f t="shared" si="12"/>
        <v>#N/A</v>
      </c>
      <c r="N408" t="e">
        <f t="shared" si="13"/>
        <v>#N/A</v>
      </c>
    </row>
    <row r="409" spans="11:14" x14ac:dyDescent="0.3">
      <c r="K409" t="s">
        <v>653</v>
      </c>
      <c r="L409">
        <v>10.8066</v>
      </c>
      <c r="M409" t="e">
        <f t="shared" si="12"/>
        <v>#N/A</v>
      </c>
      <c r="N409" t="e">
        <f t="shared" si="13"/>
        <v>#N/A</v>
      </c>
    </row>
    <row r="410" spans="11:14" x14ac:dyDescent="0.3">
      <c r="K410" t="s">
        <v>654</v>
      </c>
      <c r="L410">
        <v>11.553599999999999</v>
      </c>
      <c r="M410" t="e">
        <f t="shared" si="12"/>
        <v>#N/A</v>
      </c>
      <c r="N410" t="e">
        <f t="shared" si="13"/>
        <v>#N/A</v>
      </c>
    </row>
    <row r="411" spans="11:14" x14ac:dyDescent="0.3">
      <c r="K411" t="s">
        <v>655</v>
      </c>
      <c r="L411">
        <v>12.5496</v>
      </c>
      <c r="M411" t="e">
        <f t="shared" si="12"/>
        <v>#N/A</v>
      </c>
      <c r="N411" t="e">
        <f t="shared" si="13"/>
        <v>#N/A</v>
      </c>
    </row>
    <row r="412" spans="11:14" x14ac:dyDescent="0.3">
      <c r="K412" t="s">
        <v>656</v>
      </c>
      <c r="L412">
        <v>13.794600000000001</v>
      </c>
      <c r="M412" t="e">
        <f t="shared" si="12"/>
        <v>#N/A</v>
      </c>
      <c r="N412" t="e">
        <f t="shared" si="13"/>
        <v>#N/A</v>
      </c>
    </row>
    <row r="413" spans="11:14" x14ac:dyDescent="0.3">
      <c r="K413" t="s">
        <v>657</v>
      </c>
      <c r="L413">
        <v>16.782599999999999</v>
      </c>
      <c r="M413" t="e">
        <f t="shared" si="12"/>
        <v>#N/A</v>
      </c>
      <c r="N413" t="e">
        <f t="shared" si="13"/>
        <v>#N/A</v>
      </c>
    </row>
    <row r="414" spans="11:14" x14ac:dyDescent="0.3">
      <c r="K414" t="s">
        <v>658</v>
      </c>
      <c r="L414">
        <v>11.8026</v>
      </c>
      <c r="M414" t="e">
        <f t="shared" si="12"/>
        <v>#N/A</v>
      </c>
      <c r="N414" t="e">
        <f t="shared" si="13"/>
        <v>#N/A</v>
      </c>
    </row>
    <row r="415" spans="11:14" x14ac:dyDescent="0.3">
      <c r="K415" t="s">
        <v>658</v>
      </c>
      <c r="L415">
        <v>11.8026</v>
      </c>
      <c r="M415" t="e">
        <f t="shared" si="12"/>
        <v>#N/A</v>
      </c>
      <c r="N415" t="e">
        <f t="shared" si="13"/>
        <v>#N/A</v>
      </c>
    </row>
    <row r="416" spans="11:14" x14ac:dyDescent="0.3">
      <c r="K416" t="s">
        <v>659</v>
      </c>
      <c r="L416">
        <v>13.794600000000001</v>
      </c>
      <c r="M416" t="e">
        <f t="shared" si="12"/>
        <v>#N/A</v>
      </c>
      <c r="N416" t="e">
        <f t="shared" si="13"/>
        <v>#N/A</v>
      </c>
    </row>
    <row r="417" spans="11:14" x14ac:dyDescent="0.3">
      <c r="K417" t="s">
        <v>660</v>
      </c>
      <c r="L417">
        <v>16.782599999999999</v>
      </c>
      <c r="M417" t="e">
        <f t="shared" si="12"/>
        <v>#N/A</v>
      </c>
      <c r="N417" t="e">
        <f t="shared" si="13"/>
        <v>#N/A</v>
      </c>
    </row>
    <row r="418" spans="11:14" x14ac:dyDescent="0.3">
      <c r="K418" t="s">
        <v>661</v>
      </c>
      <c r="L418">
        <v>21.762599999999999</v>
      </c>
      <c r="M418" t="e">
        <f t="shared" si="12"/>
        <v>#N/A</v>
      </c>
      <c r="N418" t="e">
        <f t="shared" si="13"/>
        <v>#N/A</v>
      </c>
    </row>
    <row r="419" spans="11:14" x14ac:dyDescent="0.3">
      <c r="K419" t="s">
        <v>662</v>
      </c>
      <c r="L419">
        <v>23.7546</v>
      </c>
      <c r="M419" t="e">
        <f t="shared" si="12"/>
        <v>#N/A</v>
      </c>
      <c r="N419" t="e">
        <f t="shared" si="13"/>
        <v>#N/A</v>
      </c>
    </row>
    <row r="420" spans="11:14" x14ac:dyDescent="0.3">
      <c r="K420" t="s">
        <v>663</v>
      </c>
      <c r="L420">
        <v>27.738600000000002</v>
      </c>
      <c r="M420" t="e">
        <f t="shared" si="12"/>
        <v>#N/A</v>
      </c>
      <c r="N420" t="e">
        <f t="shared" si="13"/>
        <v>#N/A</v>
      </c>
    </row>
    <row r="421" spans="11:14" x14ac:dyDescent="0.3">
      <c r="K421" t="s">
        <v>664</v>
      </c>
      <c r="L421">
        <v>32.718600000000002</v>
      </c>
      <c r="M421" t="e">
        <f t="shared" si="12"/>
        <v>#N/A</v>
      </c>
      <c r="N421" t="e">
        <f t="shared" si="13"/>
        <v>#N/A</v>
      </c>
    </row>
    <row r="422" spans="11:14" x14ac:dyDescent="0.3">
      <c r="K422" t="s">
        <v>665</v>
      </c>
      <c r="L422">
        <v>43.2</v>
      </c>
      <c r="M422" t="e">
        <f t="shared" si="12"/>
        <v>#N/A</v>
      </c>
      <c r="N422" t="e">
        <f t="shared" si="13"/>
        <v>#N/A</v>
      </c>
    </row>
    <row r="423" spans="11:14" x14ac:dyDescent="0.3">
      <c r="K423" t="s">
        <v>666</v>
      </c>
      <c r="L423">
        <v>36</v>
      </c>
      <c r="M423" t="e">
        <f t="shared" si="12"/>
        <v>#N/A</v>
      </c>
      <c r="N423" t="e">
        <f t="shared" si="13"/>
        <v>#N/A</v>
      </c>
    </row>
    <row r="424" spans="11:14" x14ac:dyDescent="0.3">
      <c r="K424" t="s">
        <v>667</v>
      </c>
      <c r="L424">
        <v>55.2</v>
      </c>
      <c r="M424" t="e">
        <f t="shared" si="12"/>
        <v>#N/A</v>
      </c>
      <c r="N424" t="e">
        <f t="shared" si="13"/>
        <v>#N/A</v>
      </c>
    </row>
    <row r="425" spans="11:14" x14ac:dyDescent="0.3">
      <c r="K425" t="s">
        <v>668</v>
      </c>
      <c r="L425">
        <v>50.4</v>
      </c>
      <c r="M425" t="e">
        <f t="shared" si="12"/>
        <v>#N/A</v>
      </c>
      <c r="N425" t="e">
        <f t="shared" si="13"/>
        <v>#N/A</v>
      </c>
    </row>
    <row r="426" spans="11:14" x14ac:dyDescent="0.3">
      <c r="K426" t="s">
        <v>669</v>
      </c>
      <c r="L426">
        <v>6.202</v>
      </c>
      <c r="M426" t="e">
        <f t="shared" si="12"/>
        <v>#N/A</v>
      </c>
      <c r="N426" t="e">
        <f t="shared" si="13"/>
        <v>#N/A</v>
      </c>
    </row>
    <row r="427" spans="11:14" x14ac:dyDescent="0.3">
      <c r="K427" t="s">
        <v>670</v>
      </c>
      <c r="L427">
        <v>13.944000000000001</v>
      </c>
      <c r="M427" t="e">
        <f t="shared" si="12"/>
        <v>#N/A</v>
      </c>
      <c r="N427" t="e">
        <f t="shared" si="13"/>
        <v>#N/A</v>
      </c>
    </row>
    <row r="428" spans="11:14" x14ac:dyDescent="0.3">
      <c r="K428" t="s">
        <v>671</v>
      </c>
      <c r="L428">
        <v>10.956</v>
      </c>
      <c r="M428" t="e">
        <f t="shared" si="12"/>
        <v>#N/A</v>
      </c>
      <c r="N428" t="e">
        <f t="shared" si="13"/>
        <v>#N/A</v>
      </c>
    </row>
    <row r="429" spans="11:14" x14ac:dyDescent="0.3">
      <c r="K429" t="s">
        <v>672</v>
      </c>
      <c r="L429">
        <v>26.891999999999999</v>
      </c>
      <c r="M429" t="e">
        <f t="shared" si="12"/>
        <v>#N/A</v>
      </c>
      <c r="N429" t="e">
        <f t="shared" si="13"/>
        <v>#N/A</v>
      </c>
    </row>
    <row r="430" spans="11:14" x14ac:dyDescent="0.3">
      <c r="K430" t="s">
        <v>673</v>
      </c>
      <c r="L430">
        <v>13.944000000000001</v>
      </c>
      <c r="M430" t="e">
        <f t="shared" si="12"/>
        <v>#N/A</v>
      </c>
      <c r="N430" t="e">
        <f t="shared" si="13"/>
        <v>#N/A</v>
      </c>
    </row>
    <row r="431" spans="11:14" x14ac:dyDescent="0.3">
      <c r="K431" t="s">
        <v>674</v>
      </c>
      <c r="L431">
        <v>15.936</v>
      </c>
      <c r="M431" t="e">
        <f t="shared" si="12"/>
        <v>#N/A</v>
      </c>
      <c r="N431" t="e">
        <f t="shared" si="13"/>
        <v>#N/A</v>
      </c>
    </row>
    <row r="432" spans="11:14" x14ac:dyDescent="0.3">
      <c r="K432" t="s">
        <v>675</v>
      </c>
      <c r="L432">
        <v>16.931999999999999</v>
      </c>
      <c r="M432" t="e">
        <f t="shared" si="12"/>
        <v>#N/A</v>
      </c>
      <c r="N432" t="e">
        <f t="shared" si="13"/>
        <v>#N/A</v>
      </c>
    </row>
    <row r="433" spans="11:14" x14ac:dyDescent="0.3">
      <c r="K433" t="s">
        <v>676</v>
      </c>
      <c r="L433">
        <v>25.46</v>
      </c>
      <c r="M433" t="e">
        <f t="shared" si="12"/>
        <v>#N/A</v>
      </c>
      <c r="N433" t="e">
        <f t="shared" si="13"/>
        <v>#N/A</v>
      </c>
    </row>
    <row r="434" spans="11:14" x14ac:dyDescent="0.3">
      <c r="K434" t="s">
        <v>677</v>
      </c>
      <c r="L434">
        <v>34.840000000000003</v>
      </c>
      <c r="M434" t="e">
        <f t="shared" si="12"/>
        <v>#N/A</v>
      </c>
      <c r="N434" t="e">
        <f t="shared" si="13"/>
        <v>#N/A</v>
      </c>
    </row>
    <row r="435" spans="11:14" x14ac:dyDescent="0.3">
      <c r="K435" t="s">
        <v>678</v>
      </c>
      <c r="L435">
        <v>40.200000000000003</v>
      </c>
      <c r="M435" t="e">
        <f t="shared" si="12"/>
        <v>#N/A</v>
      </c>
      <c r="N435" t="e">
        <f t="shared" si="13"/>
        <v>#N/A</v>
      </c>
    </row>
    <row r="436" spans="11:14" x14ac:dyDescent="0.3">
      <c r="K436" t="s">
        <v>679</v>
      </c>
      <c r="L436">
        <v>22.78</v>
      </c>
      <c r="M436" t="e">
        <f t="shared" si="12"/>
        <v>#N/A</v>
      </c>
      <c r="N436" t="e">
        <f t="shared" si="13"/>
        <v>#N/A</v>
      </c>
    </row>
    <row r="437" spans="11:14" x14ac:dyDescent="0.3">
      <c r="K437" t="s">
        <v>680</v>
      </c>
      <c r="L437">
        <v>28.14</v>
      </c>
      <c r="M437" t="e">
        <f t="shared" si="12"/>
        <v>#N/A</v>
      </c>
      <c r="N437" t="e">
        <f t="shared" si="13"/>
        <v>#N/A</v>
      </c>
    </row>
    <row r="438" spans="11:14" x14ac:dyDescent="0.3">
      <c r="K438" t="s">
        <v>681</v>
      </c>
      <c r="L438">
        <v>52.26</v>
      </c>
      <c r="M438" t="e">
        <f t="shared" si="12"/>
        <v>#N/A</v>
      </c>
      <c r="N438" t="e">
        <f t="shared" si="13"/>
        <v>#N/A</v>
      </c>
    </row>
    <row r="439" spans="11:14" x14ac:dyDescent="0.3">
      <c r="K439" t="s">
        <v>682</v>
      </c>
      <c r="L439">
        <v>54.94</v>
      </c>
      <c r="M439" t="e">
        <f t="shared" si="12"/>
        <v>#N/A</v>
      </c>
      <c r="N439" t="e">
        <f t="shared" si="13"/>
        <v>#N/A</v>
      </c>
    </row>
    <row r="440" spans="11:14" x14ac:dyDescent="0.3">
      <c r="K440" t="s">
        <v>683</v>
      </c>
      <c r="L440">
        <v>32.159999999999997</v>
      </c>
      <c r="M440" t="e">
        <f t="shared" si="12"/>
        <v>#N/A</v>
      </c>
      <c r="N440" t="e">
        <f t="shared" si="13"/>
        <v>#N/A</v>
      </c>
    </row>
    <row r="441" spans="11:14" x14ac:dyDescent="0.3">
      <c r="K441" t="s">
        <v>684</v>
      </c>
      <c r="L441">
        <v>37.520000000000003</v>
      </c>
      <c r="M441" t="e">
        <f t="shared" si="12"/>
        <v>#N/A</v>
      </c>
      <c r="N441" t="e">
        <f t="shared" si="13"/>
        <v>#N/A</v>
      </c>
    </row>
    <row r="442" spans="11:14" x14ac:dyDescent="0.3">
      <c r="K442" t="s">
        <v>685</v>
      </c>
      <c r="L442">
        <v>96</v>
      </c>
      <c r="M442" t="e">
        <f t="shared" si="12"/>
        <v>#N/A</v>
      </c>
      <c r="N442" t="e">
        <f t="shared" si="13"/>
        <v>#N/A</v>
      </c>
    </row>
    <row r="443" spans="11:14" x14ac:dyDescent="0.3">
      <c r="K443" t="s">
        <v>686</v>
      </c>
      <c r="L443">
        <v>40.799999999999997</v>
      </c>
      <c r="M443" t="e">
        <f t="shared" si="12"/>
        <v>#N/A</v>
      </c>
      <c r="N443" t="e">
        <f t="shared" si="13"/>
        <v>#N/A</v>
      </c>
    </row>
    <row r="444" spans="11:14" x14ac:dyDescent="0.3">
      <c r="K444" t="s">
        <v>687</v>
      </c>
      <c r="L444">
        <v>93.6</v>
      </c>
      <c r="M444" t="e">
        <f t="shared" si="12"/>
        <v>#N/A</v>
      </c>
      <c r="N444" t="e">
        <f t="shared" si="13"/>
        <v>#N/A</v>
      </c>
    </row>
    <row r="445" spans="11:14" x14ac:dyDescent="0.3">
      <c r="K445" t="s">
        <v>688</v>
      </c>
      <c r="L445">
        <v>6.202</v>
      </c>
      <c r="M445" t="e">
        <f t="shared" si="12"/>
        <v>#N/A</v>
      </c>
      <c r="N445" t="e">
        <f t="shared" si="13"/>
        <v>#N/A</v>
      </c>
    </row>
    <row r="446" spans="11:14" x14ac:dyDescent="0.3">
      <c r="K446" t="s">
        <v>689</v>
      </c>
      <c r="L446">
        <v>7.5309999999999997</v>
      </c>
      <c r="M446" t="e">
        <f t="shared" si="12"/>
        <v>#N/A</v>
      </c>
      <c r="N446" t="e">
        <f t="shared" si="13"/>
        <v>#N/A</v>
      </c>
    </row>
    <row r="447" spans="11:14" x14ac:dyDescent="0.3">
      <c r="K447" t="s">
        <v>690</v>
      </c>
      <c r="L447">
        <v>7.0880000000000001</v>
      </c>
      <c r="M447" t="e">
        <f t="shared" si="12"/>
        <v>#N/A</v>
      </c>
      <c r="N447" t="e">
        <f t="shared" si="13"/>
        <v>#N/A</v>
      </c>
    </row>
    <row r="448" spans="11:14" x14ac:dyDescent="0.3">
      <c r="K448" t="s">
        <v>691</v>
      </c>
      <c r="L448">
        <v>6.202</v>
      </c>
      <c r="M448" t="e">
        <f t="shared" si="12"/>
        <v>#N/A</v>
      </c>
      <c r="N448" t="e">
        <f t="shared" si="13"/>
        <v>#N/A</v>
      </c>
    </row>
    <row r="449" spans="11:14" x14ac:dyDescent="0.3">
      <c r="K449" t="s">
        <v>692</v>
      </c>
      <c r="L449">
        <v>13.944000000000001</v>
      </c>
      <c r="M449" t="e">
        <f t="shared" si="12"/>
        <v>#N/A</v>
      </c>
      <c r="N449" t="e">
        <f t="shared" si="13"/>
        <v>#N/A</v>
      </c>
    </row>
    <row r="450" spans="11:14" x14ac:dyDescent="0.3">
      <c r="K450" t="s">
        <v>693</v>
      </c>
      <c r="L450">
        <v>14.94</v>
      </c>
      <c r="M450" t="e">
        <f t="shared" si="12"/>
        <v>#N/A</v>
      </c>
      <c r="N450" t="e">
        <f t="shared" si="13"/>
        <v>#N/A</v>
      </c>
    </row>
    <row r="451" spans="11:14" x14ac:dyDescent="0.3">
      <c r="K451" t="s">
        <v>693</v>
      </c>
      <c r="L451">
        <v>14.94</v>
      </c>
      <c r="M451" t="e">
        <f t="shared" ref="M451:M514" si="14">_xlfn.XLOOKUP(K451,A:A,B:B)</f>
        <v>#N/A</v>
      </c>
      <c r="N451" t="e">
        <f t="shared" ref="N451:N514" si="15">L451-M451</f>
        <v>#N/A</v>
      </c>
    </row>
    <row r="452" spans="11:14" x14ac:dyDescent="0.3">
      <c r="K452" t="s">
        <v>694</v>
      </c>
      <c r="L452">
        <v>16.931999999999999</v>
      </c>
      <c r="M452" t="e">
        <f t="shared" si="14"/>
        <v>#N/A</v>
      </c>
      <c r="N452" t="e">
        <f t="shared" si="15"/>
        <v>#N/A</v>
      </c>
    </row>
    <row r="453" spans="11:14" x14ac:dyDescent="0.3">
      <c r="K453" t="s">
        <v>695</v>
      </c>
      <c r="L453">
        <v>18.923999999999999</v>
      </c>
      <c r="M453" t="e">
        <f t="shared" si="14"/>
        <v>#N/A</v>
      </c>
      <c r="N453" t="e">
        <f t="shared" si="15"/>
        <v>#N/A</v>
      </c>
    </row>
    <row r="454" spans="11:14" x14ac:dyDescent="0.3">
      <c r="K454" t="s">
        <v>696</v>
      </c>
      <c r="L454">
        <v>26.891999999999999</v>
      </c>
      <c r="M454" t="e">
        <f t="shared" si="14"/>
        <v>#N/A</v>
      </c>
      <c r="N454" t="e">
        <f t="shared" si="15"/>
        <v>#N/A</v>
      </c>
    </row>
    <row r="455" spans="11:14" x14ac:dyDescent="0.3">
      <c r="K455" t="s">
        <v>697</v>
      </c>
      <c r="L455">
        <v>17.928000000000001</v>
      </c>
      <c r="M455" t="e">
        <f t="shared" si="14"/>
        <v>#N/A</v>
      </c>
      <c r="N455" t="e">
        <f t="shared" si="15"/>
        <v>#N/A</v>
      </c>
    </row>
    <row r="456" spans="11:14" x14ac:dyDescent="0.3">
      <c r="K456" t="s">
        <v>698</v>
      </c>
      <c r="L456">
        <v>16.931999999999999</v>
      </c>
      <c r="M456" t="e">
        <f t="shared" si="14"/>
        <v>#N/A</v>
      </c>
      <c r="N456" t="e">
        <f t="shared" si="15"/>
        <v>#N/A</v>
      </c>
    </row>
    <row r="457" spans="11:14" x14ac:dyDescent="0.3">
      <c r="K457" t="s">
        <v>699</v>
      </c>
      <c r="L457">
        <v>22.908000000000001</v>
      </c>
      <c r="M457" t="e">
        <f t="shared" si="14"/>
        <v>#N/A</v>
      </c>
      <c r="N457" t="e">
        <f t="shared" si="15"/>
        <v>#N/A</v>
      </c>
    </row>
    <row r="458" spans="11:14" x14ac:dyDescent="0.3">
      <c r="K458" t="s">
        <v>699</v>
      </c>
      <c r="L458">
        <v>22.908000000000001</v>
      </c>
      <c r="M458" t="e">
        <f t="shared" si="14"/>
        <v>#N/A</v>
      </c>
      <c r="N458" t="e">
        <f t="shared" si="15"/>
        <v>#N/A</v>
      </c>
    </row>
    <row r="459" spans="11:14" x14ac:dyDescent="0.3">
      <c r="K459" t="s">
        <v>699</v>
      </c>
      <c r="L459">
        <v>22.908000000000001</v>
      </c>
      <c r="M459" t="e">
        <f t="shared" si="14"/>
        <v>#N/A</v>
      </c>
      <c r="N459" t="e">
        <f t="shared" si="15"/>
        <v>#N/A</v>
      </c>
    </row>
    <row r="460" spans="11:14" x14ac:dyDescent="0.3">
      <c r="K460" t="s">
        <v>700</v>
      </c>
      <c r="L460">
        <v>19.920000000000002</v>
      </c>
      <c r="M460" t="e">
        <f t="shared" si="14"/>
        <v>#N/A</v>
      </c>
      <c r="N460" t="e">
        <f t="shared" si="15"/>
        <v>#N/A</v>
      </c>
    </row>
    <row r="461" spans="11:14" x14ac:dyDescent="0.3">
      <c r="K461" t="s">
        <v>701</v>
      </c>
      <c r="L461">
        <v>16.931999999999999</v>
      </c>
      <c r="M461" t="e">
        <f t="shared" si="14"/>
        <v>#N/A</v>
      </c>
      <c r="N461" t="e">
        <f t="shared" si="15"/>
        <v>#N/A</v>
      </c>
    </row>
    <row r="462" spans="11:14" x14ac:dyDescent="0.3">
      <c r="K462" t="s">
        <v>702</v>
      </c>
      <c r="L462">
        <v>18.923999999999999</v>
      </c>
      <c r="M462" t="e">
        <f t="shared" si="14"/>
        <v>#N/A</v>
      </c>
      <c r="N462" t="e">
        <f t="shared" si="15"/>
        <v>#N/A</v>
      </c>
    </row>
    <row r="463" spans="11:14" x14ac:dyDescent="0.3">
      <c r="K463" t="s">
        <v>703</v>
      </c>
      <c r="L463">
        <v>44.82</v>
      </c>
      <c r="M463" t="e">
        <f t="shared" si="14"/>
        <v>#N/A</v>
      </c>
      <c r="N463" t="e">
        <f t="shared" si="15"/>
        <v>#N/A</v>
      </c>
    </row>
    <row r="464" spans="11:14" x14ac:dyDescent="0.3">
      <c r="K464" t="s">
        <v>704</v>
      </c>
      <c r="L464">
        <v>19.920000000000002</v>
      </c>
      <c r="M464" t="e">
        <f t="shared" si="14"/>
        <v>#N/A</v>
      </c>
      <c r="N464" t="e">
        <f t="shared" si="15"/>
        <v>#N/A</v>
      </c>
    </row>
    <row r="465" spans="11:14" x14ac:dyDescent="0.3">
      <c r="K465" t="s">
        <v>705</v>
      </c>
      <c r="L465">
        <v>46.811999999999998</v>
      </c>
      <c r="M465" t="e">
        <f t="shared" si="14"/>
        <v>#N/A</v>
      </c>
      <c r="N465" t="e">
        <f t="shared" si="15"/>
        <v>#N/A</v>
      </c>
    </row>
    <row r="466" spans="11:14" x14ac:dyDescent="0.3">
      <c r="K466" t="s">
        <v>706</v>
      </c>
      <c r="L466">
        <v>23.904</v>
      </c>
      <c r="M466" t="e">
        <f t="shared" si="14"/>
        <v>#N/A</v>
      </c>
      <c r="N466" t="e">
        <f t="shared" si="15"/>
        <v>#N/A</v>
      </c>
    </row>
    <row r="467" spans="11:14" x14ac:dyDescent="0.3">
      <c r="K467" t="s">
        <v>707</v>
      </c>
      <c r="L467">
        <v>25.896000000000001</v>
      </c>
      <c r="M467" t="e">
        <f t="shared" si="14"/>
        <v>#N/A</v>
      </c>
      <c r="N467" t="e">
        <f t="shared" si="15"/>
        <v>#N/A</v>
      </c>
    </row>
    <row r="468" spans="11:14" x14ac:dyDescent="0.3">
      <c r="K468" t="s">
        <v>708</v>
      </c>
      <c r="L468">
        <v>14.74</v>
      </c>
      <c r="M468" t="e">
        <f t="shared" si="14"/>
        <v>#N/A</v>
      </c>
      <c r="N468" t="e">
        <f t="shared" si="15"/>
        <v>#N/A</v>
      </c>
    </row>
    <row r="469" spans="11:14" x14ac:dyDescent="0.3">
      <c r="K469" t="s">
        <v>709</v>
      </c>
      <c r="L469">
        <v>33.6</v>
      </c>
      <c r="M469" t="e">
        <f t="shared" si="14"/>
        <v>#N/A</v>
      </c>
      <c r="N469" t="e">
        <f t="shared" si="15"/>
        <v>#N/A</v>
      </c>
    </row>
    <row r="470" spans="11:14" x14ac:dyDescent="0.3">
      <c r="K470" t="s">
        <v>710</v>
      </c>
      <c r="L470">
        <v>36</v>
      </c>
      <c r="M470" t="e">
        <f t="shared" si="14"/>
        <v>#N/A</v>
      </c>
      <c r="N470" t="e">
        <f t="shared" si="15"/>
        <v>#N/A</v>
      </c>
    </row>
    <row r="471" spans="11:14" x14ac:dyDescent="0.3">
      <c r="K471" t="s">
        <v>711</v>
      </c>
      <c r="L471">
        <v>38.4</v>
      </c>
      <c r="M471" t="e">
        <f t="shared" si="14"/>
        <v>#N/A</v>
      </c>
      <c r="N471" t="e">
        <f t="shared" si="15"/>
        <v>#N/A</v>
      </c>
    </row>
    <row r="472" spans="11:14" x14ac:dyDescent="0.3">
      <c r="K472" t="s">
        <v>712</v>
      </c>
      <c r="L472">
        <v>3.7440000000000002</v>
      </c>
      <c r="M472" t="e">
        <f t="shared" si="14"/>
        <v>#N/A</v>
      </c>
      <c r="N472" t="e">
        <f t="shared" si="15"/>
        <v>#N/A</v>
      </c>
    </row>
    <row r="473" spans="11:14" x14ac:dyDescent="0.3">
      <c r="K473" t="s">
        <v>712</v>
      </c>
      <c r="L473">
        <v>3.7440000000000002</v>
      </c>
      <c r="M473" t="e">
        <f t="shared" si="14"/>
        <v>#N/A</v>
      </c>
      <c r="N473" t="e">
        <f t="shared" si="15"/>
        <v>#N/A</v>
      </c>
    </row>
    <row r="474" spans="11:14" x14ac:dyDescent="0.3">
      <c r="K474" t="s">
        <v>713</v>
      </c>
      <c r="L474">
        <v>4.68</v>
      </c>
      <c r="M474" t="e">
        <f t="shared" si="14"/>
        <v>#N/A</v>
      </c>
      <c r="N474" t="e">
        <f t="shared" si="15"/>
        <v>#N/A</v>
      </c>
    </row>
    <row r="475" spans="11:14" x14ac:dyDescent="0.3">
      <c r="K475" t="s">
        <v>713</v>
      </c>
      <c r="L475">
        <v>4.68</v>
      </c>
      <c r="M475" t="e">
        <f t="shared" si="14"/>
        <v>#N/A</v>
      </c>
      <c r="N475" t="e">
        <f t="shared" si="15"/>
        <v>#N/A</v>
      </c>
    </row>
    <row r="476" spans="11:14" x14ac:dyDescent="0.3">
      <c r="K476" t="s">
        <v>713</v>
      </c>
      <c r="L476">
        <v>4.68</v>
      </c>
      <c r="M476" t="e">
        <f t="shared" si="14"/>
        <v>#N/A</v>
      </c>
      <c r="N476" t="e">
        <f t="shared" si="15"/>
        <v>#N/A</v>
      </c>
    </row>
    <row r="477" spans="11:14" x14ac:dyDescent="0.3">
      <c r="K477" t="s">
        <v>713</v>
      </c>
      <c r="L477">
        <v>4.68</v>
      </c>
      <c r="M477" t="e">
        <f t="shared" si="14"/>
        <v>#N/A</v>
      </c>
      <c r="N477" t="e">
        <f t="shared" si="15"/>
        <v>#N/A</v>
      </c>
    </row>
    <row r="478" spans="11:14" x14ac:dyDescent="0.3">
      <c r="K478" t="s">
        <v>713</v>
      </c>
      <c r="L478">
        <v>4.68</v>
      </c>
      <c r="M478" t="e">
        <f t="shared" si="14"/>
        <v>#N/A</v>
      </c>
      <c r="N478" t="e">
        <f t="shared" si="15"/>
        <v>#N/A</v>
      </c>
    </row>
    <row r="479" spans="11:14" x14ac:dyDescent="0.3">
      <c r="K479" t="s">
        <v>713</v>
      </c>
      <c r="L479">
        <v>4.68</v>
      </c>
      <c r="M479" t="e">
        <f t="shared" si="14"/>
        <v>#N/A</v>
      </c>
      <c r="N479" t="e">
        <f t="shared" si="15"/>
        <v>#N/A</v>
      </c>
    </row>
    <row r="480" spans="11:14" x14ac:dyDescent="0.3">
      <c r="K480" t="s">
        <v>713</v>
      </c>
      <c r="L480">
        <v>4.68</v>
      </c>
      <c r="M480" t="e">
        <f t="shared" si="14"/>
        <v>#N/A</v>
      </c>
      <c r="N480" t="e">
        <f t="shared" si="15"/>
        <v>#N/A</v>
      </c>
    </row>
    <row r="481" spans="11:14" x14ac:dyDescent="0.3">
      <c r="K481" t="s">
        <v>714</v>
      </c>
      <c r="L481">
        <v>5.6159999999999997</v>
      </c>
      <c r="M481" t="e">
        <f t="shared" si="14"/>
        <v>#N/A</v>
      </c>
      <c r="N481" t="e">
        <f t="shared" si="15"/>
        <v>#N/A</v>
      </c>
    </row>
    <row r="482" spans="11:14" x14ac:dyDescent="0.3">
      <c r="K482" t="s">
        <v>714</v>
      </c>
      <c r="L482">
        <v>5.6159999999999997</v>
      </c>
      <c r="M482" t="e">
        <f t="shared" si="14"/>
        <v>#N/A</v>
      </c>
      <c r="N482" t="e">
        <f t="shared" si="15"/>
        <v>#N/A</v>
      </c>
    </row>
    <row r="483" spans="11:14" x14ac:dyDescent="0.3">
      <c r="K483" t="s">
        <v>715</v>
      </c>
      <c r="L483">
        <v>6.5519999999999996</v>
      </c>
      <c r="M483" t="e">
        <f t="shared" si="14"/>
        <v>#N/A</v>
      </c>
      <c r="N483" t="e">
        <f t="shared" si="15"/>
        <v>#N/A</v>
      </c>
    </row>
    <row r="484" spans="11:14" x14ac:dyDescent="0.3">
      <c r="K484" t="s">
        <v>715</v>
      </c>
      <c r="L484">
        <v>6.5519999999999996</v>
      </c>
      <c r="M484" t="e">
        <f t="shared" si="14"/>
        <v>#N/A</v>
      </c>
      <c r="N484" t="e">
        <f t="shared" si="15"/>
        <v>#N/A</v>
      </c>
    </row>
    <row r="485" spans="11:14" x14ac:dyDescent="0.3">
      <c r="K485" t="s">
        <v>716</v>
      </c>
      <c r="L485">
        <v>7.4880000000000004</v>
      </c>
      <c r="M485" t="e">
        <f t="shared" si="14"/>
        <v>#N/A</v>
      </c>
      <c r="N485" t="e">
        <f t="shared" si="15"/>
        <v>#N/A</v>
      </c>
    </row>
    <row r="486" spans="11:14" x14ac:dyDescent="0.3">
      <c r="K486" t="s">
        <v>717</v>
      </c>
      <c r="L486">
        <v>8.4239999999999995</v>
      </c>
      <c r="M486" t="e">
        <f t="shared" si="14"/>
        <v>#N/A</v>
      </c>
      <c r="N486" t="e">
        <f t="shared" si="15"/>
        <v>#N/A</v>
      </c>
    </row>
    <row r="487" spans="11:14" x14ac:dyDescent="0.3">
      <c r="K487" t="s">
        <v>717</v>
      </c>
      <c r="L487">
        <v>8.4239999999999995</v>
      </c>
      <c r="M487" t="e">
        <f t="shared" si="14"/>
        <v>#N/A</v>
      </c>
      <c r="N487" t="e">
        <f t="shared" si="15"/>
        <v>#N/A</v>
      </c>
    </row>
    <row r="488" spans="11:14" x14ac:dyDescent="0.3">
      <c r="K488" t="s">
        <v>717</v>
      </c>
      <c r="L488">
        <v>8.4239999999999995</v>
      </c>
      <c r="M488" t="e">
        <f t="shared" si="14"/>
        <v>#N/A</v>
      </c>
      <c r="N488" t="e">
        <f t="shared" si="15"/>
        <v>#N/A</v>
      </c>
    </row>
    <row r="489" spans="11:14" x14ac:dyDescent="0.3">
      <c r="K489" t="s">
        <v>717</v>
      </c>
      <c r="L489">
        <v>8.4239999999999995</v>
      </c>
      <c r="M489" t="e">
        <f t="shared" si="14"/>
        <v>#N/A</v>
      </c>
      <c r="N489" t="e">
        <f t="shared" si="15"/>
        <v>#N/A</v>
      </c>
    </row>
    <row r="490" spans="11:14" x14ac:dyDescent="0.3">
      <c r="K490" t="s">
        <v>718</v>
      </c>
      <c r="L490">
        <v>9.36</v>
      </c>
      <c r="M490" t="e">
        <f t="shared" si="14"/>
        <v>#N/A</v>
      </c>
      <c r="N490" t="e">
        <f t="shared" si="15"/>
        <v>#N/A</v>
      </c>
    </row>
    <row r="491" spans="11:14" x14ac:dyDescent="0.3">
      <c r="K491" t="s">
        <v>719</v>
      </c>
      <c r="L491">
        <v>10.295999999999999</v>
      </c>
      <c r="M491" t="e">
        <f t="shared" si="14"/>
        <v>#N/A</v>
      </c>
      <c r="N491" t="e">
        <f t="shared" si="15"/>
        <v>#N/A</v>
      </c>
    </row>
    <row r="492" spans="11:14" x14ac:dyDescent="0.3">
      <c r="K492" t="s">
        <v>719</v>
      </c>
      <c r="L492">
        <v>10.295999999999999</v>
      </c>
      <c r="M492" t="e">
        <f t="shared" si="14"/>
        <v>#N/A</v>
      </c>
      <c r="N492" t="e">
        <f t="shared" si="15"/>
        <v>#N/A</v>
      </c>
    </row>
    <row r="493" spans="11:14" x14ac:dyDescent="0.3">
      <c r="K493" t="s">
        <v>719</v>
      </c>
      <c r="L493">
        <v>10.295999999999999</v>
      </c>
      <c r="M493" t="e">
        <f t="shared" si="14"/>
        <v>#N/A</v>
      </c>
      <c r="N493" t="e">
        <f t="shared" si="15"/>
        <v>#N/A</v>
      </c>
    </row>
    <row r="494" spans="11:14" x14ac:dyDescent="0.3">
      <c r="K494" t="s">
        <v>720</v>
      </c>
      <c r="L494">
        <v>11.231999999999999</v>
      </c>
      <c r="M494" t="e">
        <f t="shared" si="14"/>
        <v>#N/A</v>
      </c>
      <c r="N494" t="e">
        <f t="shared" si="15"/>
        <v>#N/A</v>
      </c>
    </row>
    <row r="495" spans="11:14" x14ac:dyDescent="0.3">
      <c r="K495" t="s">
        <v>720</v>
      </c>
      <c r="L495">
        <v>11.231999999999999</v>
      </c>
      <c r="M495" t="e">
        <f t="shared" si="14"/>
        <v>#N/A</v>
      </c>
      <c r="N495" t="e">
        <f t="shared" si="15"/>
        <v>#N/A</v>
      </c>
    </row>
    <row r="496" spans="11:14" x14ac:dyDescent="0.3">
      <c r="K496" t="s">
        <v>721</v>
      </c>
      <c r="L496">
        <v>12.167999999999999</v>
      </c>
      <c r="M496" t="e">
        <f t="shared" si="14"/>
        <v>#N/A</v>
      </c>
      <c r="N496" t="e">
        <f t="shared" si="15"/>
        <v>#N/A</v>
      </c>
    </row>
    <row r="497" spans="11:14" x14ac:dyDescent="0.3">
      <c r="K497" t="s">
        <v>722</v>
      </c>
      <c r="L497">
        <v>2.68</v>
      </c>
      <c r="M497" t="e">
        <f t="shared" si="14"/>
        <v>#N/A</v>
      </c>
      <c r="N497" t="e">
        <f t="shared" si="15"/>
        <v>#N/A</v>
      </c>
    </row>
    <row r="498" spans="11:14" x14ac:dyDescent="0.3">
      <c r="K498" t="s">
        <v>723</v>
      </c>
      <c r="L498">
        <v>6.7</v>
      </c>
      <c r="M498" t="e">
        <f t="shared" si="14"/>
        <v>#N/A</v>
      </c>
      <c r="N498" t="e">
        <f t="shared" si="15"/>
        <v>#N/A</v>
      </c>
    </row>
    <row r="499" spans="11:14" x14ac:dyDescent="0.3">
      <c r="K499" t="s">
        <v>723</v>
      </c>
      <c r="L499">
        <v>6.7</v>
      </c>
      <c r="M499" t="e">
        <f t="shared" si="14"/>
        <v>#N/A</v>
      </c>
      <c r="N499" t="e">
        <f t="shared" si="15"/>
        <v>#N/A</v>
      </c>
    </row>
    <row r="500" spans="11:14" x14ac:dyDescent="0.3">
      <c r="K500" t="s">
        <v>723</v>
      </c>
      <c r="L500">
        <v>6.7</v>
      </c>
      <c r="M500" t="e">
        <f t="shared" si="14"/>
        <v>#N/A</v>
      </c>
      <c r="N500" t="e">
        <f t="shared" si="15"/>
        <v>#N/A</v>
      </c>
    </row>
    <row r="501" spans="11:14" x14ac:dyDescent="0.3">
      <c r="K501" t="s">
        <v>724</v>
      </c>
      <c r="L501">
        <v>8.0399999999999991</v>
      </c>
      <c r="M501" t="e">
        <f t="shared" si="14"/>
        <v>#N/A</v>
      </c>
      <c r="N501" t="e">
        <f t="shared" si="15"/>
        <v>#N/A</v>
      </c>
    </row>
    <row r="502" spans="11:14" x14ac:dyDescent="0.3">
      <c r="K502" t="s">
        <v>724</v>
      </c>
      <c r="L502">
        <v>8.0399999999999991</v>
      </c>
      <c r="M502" t="e">
        <f t="shared" si="14"/>
        <v>#N/A</v>
      </c>
      <c r="N502" t="e">
        <f t="shared" si="15"/>
        <v>#N/A</v>
      </c>
    </row>
    <row r="503" spans="11:14" x14ac:dyDescent="0.3">
      <c r="K503" t="s">
        <v>724</v>
      </c>
      <c r="L503">
        <v>8.0399999999999991</v>
      </c>
      <c r="M503" t="e">
        <f t="shared" si="14"/>
        <v>#N/A</v>
      </c>
      <c r="N503" t="e">
        <f t="shared" si="15"/>
        <v>#N/A</v>
      </c>
    </row>
    <row r="504" spans="11:14" x14ac:dyDescent="0.3">
      <c r="K504" t="s">
        <v>725</v>
      </c>
      <c r="L504">
        <v>9.3800000000000008</v>
      </c>
      <c r="M504" t="e">
        <f t="shared" si="14"/>
        <v>#N/A</v>
      </c>
      <c r="N504" t="e">
        <f t="shared" si="15"/>
        <v>#N/A</v>
      </c>
    </row>
    <row r="505" spans="11:14" x14ac:dyDescent="0.3">
      <c r="K505" t="s">
        <v>726</v>
      </c>
      <c r="L505">
        <v>10.72</v>
      </c>
      <c r="M505" t="e">
        <f t="shared" si="14"/>
        <v>#N/A</v>
      </c>
      <c r="N505" t="e">
        <f t="shared" si="15"/>
        <v>#N/A</v>
      </c>
    </row>
    <row r="506" spans="11:14" x14ac:dyDescent="0.3">
      <c r="K506" t="s">
        <v>727</v>
      </c>
      <c r="L506">
        <v>12.06</v>
      </c>
      <c r="M506" t="e">
        <f t="shared" si="14"/>
        <v>#N/A</v>
      </c>
      <c r="N506" t="e">
        <f t="shared" si="15"/>
        <v>#N/A</v>
      </c>
    </row>
    <row r="507" spans="11:14" x14ac:dyDescent="0.3">
      <c r="K507" t="s">
        <v>727</v>
      </c>
      <c r="L507">
        <v>12.06</v>
      </c>
      <c r="M507" t="e">
        <f t="shared" si="14"/>
        <v>#N/A</v>
      </c>
      <c r="N507" t="e">
        <f t="shared" si="15"/>
        <v>#N/A</v>
      </c>
    </row>
    <row r="508" spans="11:14" x14ac:dyDescent="0.3">
      <c r="K508" t="s">
        <v>728</v>
      </c>
      <c r="L508">
        <v>7.2</v>
      </c>
      <c r="M508" t="e">
        <f t="shared" si="14"/>
        <v>#N/A</v>
      </c>
      <c r="N508" t="e">
        <f t="shared" si="15"/>
        <v>#N/A</v>
      </c>
    </row>
    <row r="509" spans="11:14" x14ac:dyDescent="0.3">
      <c r="K509" t="s">
        <v>729</v>
      </c>
      <c r="L509">
        <v>9.6</v>
      </c>
      <c r="M509" t="e">
        <f t="shared" si="14"/>
        <v>#N/A</v>
      </c>
      <c r="N509" t="e">
        <f t="shared" si="15"/>
        <v>#N/A</v>
      </c>
    </row>
    <row r="510" spans="11:14" x14ac:dyDescent="0.3">
      <c r="K510" t="s">
        <v>729</v>
      </c>
      <c r="L510">
        <v>9.6</v>
      </c>
      <c r="M510" t="e">
        <f t="shared" si="14"/>
        <v>#N/A</v>
      </c>
      <c r="N510" t="e">
        <f t="shared" si="15"/>
        <v>#N/A</v>
      </c>
    </row>
    <row r="511" spans="11:14" x14ac:dyDescent="0.3">
      <c r="K511" t="s">
        <v>730</v>
      </c>
      <c r="L511">
        <v>12</v>
      </c>
      <c r="M511" t="e">
        <f t="shared" si="14"/>
        <v>#N/A</v>
      </c>
      <c r="N511" t="e">
        <f t="shared" si="15"/>
        <v>#N/A</v>
      </c>
    </row>
    <row r="512" spans="11:14" x14ac:dyDescent="0.3">
      <c r="K512" t="s">
        <v>731</v>
      </c>
      <c r="L512">
        <v>14.4</v>
      </c>
      <c r="M512" t="e">
        <f t="shared" si="14"/>
        <v>#N/A</v>
      </c>
      <c r="N512" t="e">
        <f t="shared" si="15"/>
        <v>#N/A</v>
      </c>
    </row>
    <row r="513" spans="11:14" x14ac:dyDescent="0.3">
      <c r="K513" t="s">
        <v>731</v>
      </c>
      <c r="L513">
        <v>14.4</v>
      </c>
      <c r="M513" t="e">
        <f t="shared" si="14"/>
        <v>#N/A</v>
      </c>
      <c r="N513" t="e">
        <f t="shared" si="15"/>
        <v>#N/A</v>
      </c>
    </row>
    <row r="514" spans="11:14" x14ac:dyDescent="0.3">
      <c r="K514" t="s">
        <v>732</v>
      </c>
      <c r="L514">
        <v>16.8</v>
      </c>
      <c r="M514" t="e">
        <f t="shared" si="14"/>
        <v>#N/A</v>
      </c>
      <c r="N514" t="e">
        <f t="shared" si="15"/>
        <v>#N/A</v>
      </c>
    </row>
    <row r="515" spans="11:14" x14ac:dyDescent="0.3">
      <c r="K515" t="s">
        <v>732</v>
      </c>
      <c r="L515">
        <v>16.8</v>
      </c>
      <c r="M515" t="e">
        <f t="shared" ref="M515:M578" si="16">_xlfn.XLOOKUP(K515,A:A,B:B)</f>
        <v>#N/A</v>
      </c>
      <c r="N515" t="e">
        <f t="shared" ref="N515:N578" si="17">L515-M515</f>
        <v>#N/A</v>
      </c>
    </row>
    <row r="516" spans="11:14" x14ac:dyDescent="0.3">
      <c r="K516" t="s">
        <v>732</v>
      </c>
      <c r="L516">
        <v>16.8</v>
      </c>
      <c r="M516" t="e">
        <f t="shared" si="16"/>
        <v>#N/A</v>
      </c>
      <c r="N516" t="e">
        <f t="shared" si="17"/>
        <v>#N/A</v>
      </c>
    </row>
    <row r="517" spans="11:14" x14ac:dyDescent="0.3">
      <c r="K517" t="s">
        <v>733</v>
      </c>
      <c r="L517">
        <v>19.2</v>
      </c>
      <c r="M517" t="e">
        <f t="shared" si="16"/>
        <v>#N/A</v>
      </c>
      <c r="N517" t="e">
        <f t="shared" si="17"/>
        <v>#N/A</v>
      </c>
    </row>
    <row r="518" spans="11:14" x14ac:dyDescent="0.3">
      <c r="K518" t="s">
        <v>734</v>
      </c>
      <c r="L518">
        <v>24</v>
      </c>
      <c r="M518" t="e">
        <f t="shared" si="16"/>
        <v>#N/A</v>
      </c>
      <c r="N518" t="e">
        <f t="shared" si="17"/>
        <v>#N/A</v>
      </c>
    </row>
    <row r="519" spans="11:14" x14ac:dyDescent="0.3">
      <c r="K519" t="s">
        <v>734</v>
      </c>
      <c r="L519">
        <v>24</v>
      </c>
      <c r="M519" t="e">
        <f t="shared" si="16"/>
        <v>#N/A</v>
      </c>
      <c r="N519" t="e">
        <f t="shared" si="17"/>
        <v>#N/A</v>
      </c>
    </row>
    <row r="520" spans="11:14" x14ac:dyDescent="0.3">
      <c r="K520" t="s">
        <v>735</v>
      </c>
      <c r="L520">
        <v>40.799999999999997</v>
      </c>
      <c r="M520" t="e">
        <f t="shared" si="16"/>
        <v>#N/A</v>
      </c>
      <c r="N520" t="e">
        <f t="shared" si="17"/>
        <v>#N/A</v>
      </c>
    </row>
    <row r="521" spans="11:14" x14ac:dyDescent="0.3">
      <c r="K521" t="s">
        <v>736</v>
      </c>
      <c r="L521">
        <v>0.88600000000000001</v>
      </c>
      <c r="M521" t="e">
        <f t="shared" si="16"/>
        <v>#N/A</v>
      </c>
      <c r="N521" t="e">
        <f t="shared" si="17"/>
        <v>#N/A</v>
      </c>
    </row>
    <row r="522" spans="11:14" x14ac:dyDescent="0.3">
      <c r="K522" t="s">
        <v>736</v>
      </c>
      <c r="L522">
        <v>0.88600000000000001</v>
      </c>
      <c r="M522" t="e">
        <f t="shared" si="16"/>
        <v>#N/A</v>
      </c>
      <c r="N522" t="e">
        <f t="shared" si="17"/>
        <v>#N/A</v>
      </c>
    </row>
    <row r="523" spans="11:14" x14ac:dyDescent="0.3">
      <c r="K523" t="s">
        <v>737</v>
      </c>
      <c r="L523">
        <v>1.329</v>
      </c>
      <c r="M523" t="e">
        <f t="shared" si="16"/>
        <v>#N/A</v>
      </c>
      <c r="N523" t="e">
        <f t="shared" si="17"/>
        <v>#N/A</v>
      </c>
    </row>
    <row r="524" spans="11:14" x14ac:dyDescent="0.3">
      <c r="K524" t="s">
        <v>737</v>
      </c>
      <c r="L524">
        <v>1.329</v>
      </c>
      <c r="M524" t="e">
        <f t="shared" si="16"/>
        <v>#N/A</v>
      </c>
      <c r="N524" t="e">
        <f t="shared" si="17"/>
        <v>#N/A</v>
      </c>
    </row>
    <row r="525" spans="11:14" x14ac:dyDescent="0.3">
      <c r="K525" t="s">
        <v>737</v>
      </c>
      <c r="L525">
        <v>1.329</v>
      </c>
      <c r="M525" t="e">
        <f t="shared" si="16"/>
        <v>#N/A</v>
      </c>
      <c r="N525" t="e">
        <f t="shared" si="17"/>
        <v>#N/A</v>
      </c>
    </row>
    <row r="526" spans="11:14" x14ac:dyDescent="0.3">
      <c r="K526" t="s">
        <v>737</v>
      </c>
      <c r="L526">
        <v>1.329</v>
      </c>
      <c r="M526" t="e">
        <f t="shared" si="16"/>
        <v>#N/A</v>
      </c>
      <c r="N526" t="e">
        <f t="shared" si="17"/>
        <v>#N/A</v>
      </c>
    </row>
    <row r="527" spans="11:14" x14ac:dyDescent="0.3">
      <c r="K527" t="s">
        <v>738</v>
      </c>
      <c r="L527">
        <v>1.772</v>
      </c>
      <c r="M527" t="e">
        <f t="shared" si="16"/>
        <v>#N/A</v>
      </c>
      <c r="N527" t="e">
        <f t="shared" si="17"/>
        <v>#N/A</v>
      </c>
    </row>
    <row r="528" spans="11:14" x14ac:dyDescent="0.3">
      <c r="K528" t="s">
        <v>738</v>
      </c>
      <c r="L528">
        <v>1.772</v>
      </c>
      <c r="M528" t="e">
        <f t="shared" si="16"/>
        <v>#N/A</v>
      </c>
      <c r="N528" t="e">
        <f t="shared" si="17"/>
        <v>#N/A</v>
      </c>
    </row>
    <row r="529" spans="11:14" x14ac:dyDescent="0.3">
      <c r="K529" t="s">
        <v>738</v>
      </c>
      <c r="L529">
        <v>1.772</v>
      </c>
      <c r="M529" t="e">
        <f t="shared" si="16"/>
        <v>#N/A</v>
      </c>
      <c r="N529" t="e">
        <f t="shared" si="17"/>
        <v>#N/A</v>
      </c>
    </row>
    <row r="530" spans="11:14" x14ac:dyDescent="0.3">
      <c r="K530" t="s">
        <v>738</v>
      </c>
      <c r="L530">
        <v>1.772</v>
      </c>
      <c r="M530" t="e">
        <f t="shared" si="16"/>
        <v>#N/A</v>
      </c>
      <c r="N530" t="e">
        <f t="shared" si="17"/>
        <v>#N/A</v>
      </c>
    </row>
    <row r="531" spans="11:14" x14ac:dyDescent="0.3">
      <c r="K531" t="s">
        <v>738</v>
      </c>
      <c r="L531">
        <v>1.772</v>
      </c>
      <c r="M531" t="e">
        <f t="shared" si="16"/>
        <v>#N/A</v>
      </c>
      <c r="N531" t="e">
        <f t="shared" si="17"/>
        <v>#N/A</v>
      </c>
    </row>
    <row r="532" spans="11:14" x14ac:dyDescent="0.3">
      <c r="K532" t="s">
        <v>738</v>
      </c>
      <c r="L532">
        <v>1.772</v>
      </c>
      <c r="M532" t="e">
        <f t="shared" si="16"/>
        <v>#N/A</v>
      </c>
      <c r="N532" t="e">
        <f t="shared" si="17"/>
        <v>#N/A</v>
      </c>
    </row>
    <row r="533" spans="11:14" x14ac:dyDescent="0.3">
      <c r="K533" t="s">
        <v>739</v>
      </c>
      <c r="L533">
        <v>2.2149999999999999</v>
      </c>
      <c r="M533" t="e">
        <f t="shared" si="16"/>
        <v>#N/A</v>
      </c>
      <c r="N533" t="e">
        <f t="shared" si="17"/>
        <v>#N/A</v>
      </c>
    </row>
    <row r="534" spans="11:14" x14ac:dyDescent="0.3">
      <c r="K534" t="s">
        <v>739</v>
      </c>
      <c r="L534">
        <v>2.2149999999999999</v>
      </c>
      <c r="M534" t="e">
        <f t="shared" si="16"/>
        <v>#N/A</v>
      </c>
      <c r="N534" t="e">
        <f t="shared" si="17"/>
        <v>#N/A</v>
      </c>
    </row>
    <row r="535" spans="11:14" x14ac:dyDescent="0.3">
      <c r="K535" t="s">
        <v>739</v>
      </c>
      <c r="L535">
        <v>2.2149999999999999</v>
      </c>
      <c r="M535" t="e">
        <f t="shared" si="16"/>
        <v>#N/A</v>
      </c>
      <c r="N535" t="e">
        <f t="shared" si="17"/>
        <v>#N/A</v>
      </c>
    </row>
    <row r="536" spans="11:14" x14ac:dyDescent="0.3">
      <c r="K536" t="s">
        <v>739</v>
      </c>
      <c r="L536">
        <v>2.2149999999999999</v>
      </c>
      <c r="M536" t="e">
        <f t="shared" si="16"/>
        <v>#N/A</v>
      </c>
      <c r="N536" t="e">
        <f t="shared" si="17"/>
        <v>#N/A</v>
      </c>
    </row>
    <row r="537" spans="11:14" x14ac:dyDescent="0.3">
      <c r="K537" t="s">
        <v>739</v>
      </c>
      <c r="L537">
        <v>2.2149999999999999</v>
      </c>
      <c r="M537" t="e">
        <f t="shared" si="16"/>
        <v>#N/A</v>
      </c>
      <c r="N537" t="e">
        <f t="shared" si="17"/>
        <v>#N/A</v>
      </c>
    </row>
    <row r="538" spans="11:14" x14ac:dyDescent="0.3">
      <c r="K538" t="s">
        <v>739</v>
      </c>
      <c r="L538">
        <v>2.2149999999999999</v>
      </c>
      <c r="M538" t="e">
        <f t="shared" si="16"/>
        <v>#N/A</v>
      </c>
      <c r="N538" t="e">
        <f t="shared" si="17"/>
        <v>#N/A</v>
      </c>
    </row>
    <row r="539" spans="11:14" x14ac:dyDescent="0.3">
      <c r="K539" t="s">
        <v>739</v>
      </c>
      <c r="L539">
        <v>2.2149999999999999</v>
      </c>
      <c r="M539" t="e">
        <f t="shared" si="16"/>
        <v>#N/A</v>
      </c>
      <c r="N539" t="e">
        <f t="shared" si="17"/>
        <v>#N/A</v>
      </c>
    </row>
    <row r="540" spans="11:14" x14ac:dyDescent="0.3">
      <c r="K540" t="s">
        <v>739</v>
      </c>
      <c r="L540">
        <v>2.2149999999999999</v>
      </c>
      <c r="M540" t="e">
        <f t="shared" si="16"/>
        <v>#N/A</v>
      </c>
      <c r="N540" t="e">
        <f t="shared" si="17"/>
        <v>#N/A</v>
      </c>
    </row>
    <row r="541" spans="11:14" x14ac:dyDescent="0.3">
      <c r="K541" t="s">
        <v>739</v>
      </c>
      <c r="L541">
        <v>2.2149999999999999</v>
      </c>
      <c r="M541" t="e">
        <f t="shared" si="16"/>
        <v>#N/A</v>
      </c>
      <c r="N541" t="e">
        <f t="shared" si="17"/>
        <v>#N/A</v>
      </c>
    </row>
    <row r="542" spans="11:14" x14ac:dyDescent="0.3">
      <c r="K542" t="s">
        <v>739</v>
      </c>
      <c r="L542">
        <v>2.2149999999999999</v>
      </c>
      <c r="M542" t="e">
        <f t="shared" si="16"/>
        <v>#N/A</v>
      </c>
      <c r="N542" t="e">
        <f t="shared" si="17"/>
        <v>#N/A</v>
      </c>
    </row>
    <row r="543" spans="11:14" x14ac:dyDescent="0.3">
      <c r="K543" t="s">
        <v>740</v>
      </c>
      <c r="L543">
        <v>2.6579999999999999</v>
      </c>
      <c r="M543" t="e">
        <f t="shared" si="16"/>
        <v>#N/A</v>
      </c>
      <c r="N543" t="e">
        <f t="shared" si="17"/>
        <v>#N/A</v>
      </c>
    </row>
    <row r="544" spans="11:14" x14ac:dyDescent="0.3">
      <c r="K544" t="s">
        <v>740</v>
      </c>
      <c r="L544">
        <v>2.6579999999999999</v>
      </c>
      <c r="M544" t="e">
        <f t="shared" si="16"/>
        <v>#N/A</v>
      </c>
      <c r="N544" t="e">
        <f t="shared" si="17"/>
        <v>#N/A</v>
      </c>
    </row>
    <row r="545" spans="11:14" x14ac:dyDescent="0.3">
      <c r="K545" t="s">
        <v>740</v>
      </c>
      <c r="L545">
        <v>2.6579999999999999</v>
      </c>
      <c r="M545" t="e">
        <f t="shared" si="16"/>
        <v>#N/A</v>
      </c>
      <c r="N545" t="e">
        <f t="shared" si="17"/>
        <v>#N/A</v>
      </c>
    </row>
    <row r="546" spans="11:14" x14ac:dyDescent="0.3">
      <c r="K546" t="s">
        <v>740</v>
      </c>
      <c r="L546">
        <v>2.6579999999999999</v>
      </c>
      <c r="M546" t="e">
        <f t="shared" si="16"/>
        <v>#N/A</v>
      </c>
      <c r="N546" t="e">
        <f t="shared" si="17"/>
        <v>#N/A</v>
      </c>
    </row>
    <row r="547" spans="11:14" x14ac:dyDescent="0.3">
      <c r="K547" t="s">
        <v>741</v>
      </c>
      <c r="L547">
        <v>1.992</v>
      </c>
      <c r="M547" t="e">
        <f t="shared" si="16"/>
        <v>#N/A</v>
      </c>
      <c r="N547" t="e">
        <f t="shared" si="17"/>
        <v>#N/A</v>
      </c>
    </row>
    <row r="548" spans="11:14" x14ac:dyDescent="0.3">
      <c r="K548" t="s">
        <v>741</v>
      </c>
      <c r="L548">
        <v>1.992</v>
      </c>
      <c r="M548" t="e">
        <f t="shared" si="16"/>
        <v>#N/A</v>
      </c>
      <c r="N548" t="e">
        <f t="shared" si="17"/>
        <v>#N/A</v>
      </c>
    </row>
    <row r="549" spans="11:14" x14ac:dyDescent="0.3">
      <c r="K549" t="s">
        <v>742</v>
      </c>
      <c r="L549">
        <v>2.988</v>
      </c>
      <c r="M549" t="e">
        <f t="shared" si="16"/>
        <v>#N/A</v>
      </c>
      <c r="N549" t="e">
        <f t="shared" si="17"/>
        <v>#N/A</v>
      </c>
    </row>
    <row r="550" spans="11:14" x14ac:dyDescent="0.3">
      <c r="K550" t="s">
        <v>742</v>
      </c>
      <c r="L550">
        <v>2.988</v>
      </c>
      <c r="M550" t="e">
        <f t="shared" si="16"/>
        <v>#N/A</v>
      </c>
      <c r="N550" t="e">
        <f t="shared" si="17"/>
        <v>#N/A</v>
      </c>
    </row>
    <row r="551" spans="11:14" x14ac:dyDescent="0.3">
      <c r="K551" t="s">
        <v>742</v>
      </c>
      <c r="L551">
        <v>2.988</v>
      </c>
      <c r="M551" t="e">
        <f t="shared" si="16"/>
        <v>#N/A</v>
      </c>
      <c r="N551" t="e">
        <f t="shared" si="17"/>
        <v>#N/A</v>
      </c>
    </row>
    <row r="552" spans="11:14" x14ac:dyDescent="0.3">
      <c r="K552" t="s">
        <v>742</v>
      </c>
      <c r="L552">
        <v>2.988</v>
      </c>
      <c r="M552" t="e">
        <f t="shared" si="16"/>
        <v>#N/A</v>
      </c>
      <c r="N552" t="e">
        <f t="shared" si="17"/>
        <v>#N/A</v>
      </c>
    </row>
    <row r="553" spans="11:14" x14ac:dyDescent="0.3">
      <c r="K553" t="s">
        <v>742</v>
      </c>
      <c r="L553">
        <v>2.988</v>
      </c>
      <c r="M553" t="e">
        <f t="shared" si="16"/>
        <v>#N/A</v>
      </c>
      <c r="N553" t="e">
        <f t="shared" si="17"/>
        <v>#N/A</v>
      </c>
    </row>
    <row r="554" spans="11:14" x14ac:dyDescent="0.3">
      <c r="K554" t="s">
        <v>742</v>
      </c>
      <c r="L554">
        <v>2.988</v>
      </c>
      <c r="M554" t="e">
        <f t="shared" si="16"/>
        <v>#N/A</v>
      </c>
      <c r="N554" t="e">
        <f t="shared" si="17"/>
        <v>#N/A</v>
      </c>
    </row>
    <row r="555" spans="11:14" x14ac:dyDescent="0.3">
      <c r="K555" t="s">
        <v>743</v>
      </c>
      <c r="L555">
        <v>3.984</v>
      </c>
      <c r="M555" t="e">
        <f t="shared" si="16"/>
        <v>#N/A</v>
      </c>
      <c r="N555" t="e">
        <f t="shared" si="17"/>
        <v>#N/A</v>
      </c>
    </row>
    <row r="556" spans="11:14" x14ac:dyDescent="0.3">
      <c r="K556" t="s">
        <v>743</v>
      </c>
      <c r="L556">
        <v>3.984</v>
      </c>
      <c r="M556" t="e">
        <f t="shared" si="16"/>
        <v>#N/A</v>
      </c>
      <c r="N556" t="e">
        <f t="shared" si="17"/>
        <v>#N/A</v>
      </c>
    </row>
    <row r="557" spans="11:14" x14ac:dyDescent="0.3">
      <c r="K557" t="s">
        <v>743</v>
      </c>
      <c r="L557">
        <v>3.984</v>
      </c>
      <c r="M557" t="e">
        <f t="shared" si="16"/>
        <v>#N/A</v>
      </c>
      <c r="N557" t="e">
        <f t="shared" si="17"/>
        <v>#N/A</v>
      </c>
    </row>
    <row r="558" spans="11:14" x14ac:dyDescent="0.3">
      <c r="K558" t="s">
        <v>743</v>
      </c>
      <c r="L558">
        <v>3.984</v>
      </c>
      <c r="M558" t="e">
        <f t="shared" si="16"/>
        <v>#N/A</v>
      </c>
      <c r="N558" t="e">
        <f t="shared" si="17"/>
        <v>#N/A</v>
      </c>
    </row>
    <row r="559" spans="11:14" x14ac:dyDescent="0.3">
      <c r="K559" t="s">
        <v>744</v>
      </c>
      <c r="L559">
        <v>4.9800000000000004</v>
      </c>
      <c r="M559" t="e">
        <f t="shared" si="16"/>
        <v>#N/A</v>
      </c>
      <c r="N559" t="e">
        <f t="shared" si="17"/>
        <v>#N/A</v>
      </c>
    </row>
    <row r="560" spans="11:14" x14ac:dyDescent="0.3">
      <c r="K560" t="s">
        <v>744</v>
      </c>
      <c r="L560">
        <v>4.9800000000000004</v>
      </c>
      <c r="M560" t="e">
        <f t="shared" si="16"/>
        <v>#N/A</v>
      </c>
      <c r="N560" t="e">
        <f t="shared" si="17"/>
        <v>#N/A</v>
      </c>
    </row>
    <row r="561" spans="11:14" x14ac:dyDescent="0.3">
      <c r="K561" t="s">
        <v>744</v>
      </c>
      <c r="L561">
        <v>4.9800000000000004</v>
      </c>
      <c r="M561" t="e">
        <f t="shared" si="16"/>
        <v>#N/A</v>
      </c>
      <c r="N561" t="e">
        <f t="shared" si="17"/>
        <v>#N/A</v>
      </c>
    </row>
    <row r="562" spans="11:14" x14ac:dyDescent="0.3">
      <c r="K562" t="s">
        <v>744</v>
      </c>
      <c r="L562">
        <v>4.9800000000000004</v>
      </c>
      <c r="M562" t="e">
        <f t="shared" si="16"/>
        <v>#N/A</v>
      </c>
      <c r="N562" t="e">
        <f t="shared" si="17"/>
        <v>#N/A</v>
      </c>
    </row>
    <row r="563" spans="11:14" x14ac:dyDescent="0.3">
      <c r="K563" t="s">
        <v>744</v>
      </c>
      <c r="L563">
        <v>4.9800000000000004</v>
      </c>
      <c r="M563" t="e">
        <f t="shared" si="16"/>
        <v>#N/A</v>
      </c>
      <c r="N563" t="e">
        <f t="shared" si="17"/>
        <v>#N/A</v>
      </c>
    </row>
    <row r="564" spans="11:14" x14ac:dyDescent="0.3">
      <c r="K564" t="s">
        <v>744</v>
      </c>
      <c r="L564">
        <v>4.9800000000000004</v>
      </c>
      <c r="M564" t="e">
        <f t="shared" si="16"/>
        <v>#N/A</v>
      </c>
      <c r="N564" t="e">
        <f t="shared" si="17"/>
        <v>#N/A</v>
      </c>
    </row>
    <row r="565" spans="11:14" x14ac:dyDescent="0.3">
      <c r="K565" t="s">
        <v>744</v>
      </c>
      <c r="L565">
        <v>4.9800000000000004</v>
      </c>
      <c r="M565" t="e">
        <f t="shared" si="16"/>
        <v>#N/A</v>
      </c>
      <c r="N565" t="e">
        <f t="shared" si="17"/>
        <v>#N/A</v>
      </c>
    </row>
    <row r="566" spans="11:14" x14ac:dyDescent="0.3">
      <c r="K566" t="s">
        <v>744</v>
      </c>
      <c r="L566">
        <v>4.9800000000000004</v>
      </c>
      <c r="M566" t="e">
        <f t="shared" si="16"/>
        <v>#N/A</v>
      </c>
      <c r="N566" t="e">
        <f t="shared" si="17"/>
        <v>#N/A</v>
      </c>
    </row>
    <row r="567" spans="11:14" x14ac:dyDescent="0.3">
      <c r="K567" t="s">
        <v>744</v>
      </c>
      <c r="L567">
        <v>4.9800000000000004</v>
      </c>
      <c r="M567" t="e">
        <f t="shared" si="16"/>
        <v>#N/A</v>
      </c>
      <c r="N567" t="e">
        <f t="shared" si="17"/>
        <v>#N/A</v>
      </c>
    </row>
    <row r="568" spans="11:14" x14ac:dyDescent="0.3">
      <c r="K568" t="s">
        <v>744</v>
      </c>
      <c r="L568">
        <v>4.9800000000000004</v>
      </c>
      <c r="M568" t="e">
        <f t="shared" si="16"/>
        <v>#N/A</v>
      </c>
      <c r="N568" t="e">
        <f t="shared" si="17"/>
        <v>#N/A</v>
      </c>
    </row>
    <row r="569" spans="11:14" x14ac:dyDescent="0.3">
      <c r="K569" t="s">
        <v>744</v>
      </c>
      <c r="L569">
        <v>4.9800000000000004</v>
      </c>
      <c r="M569" t="e">
        <f t="shared" si="16"/>
        <v>#N/A</v>
      </c>
      <c r="N569" t="e">
        <f t="shared" si="17"/>
        <v>#N/A</v>
      </c>
    </row>
    <row r="570" spans="11:14" x14ac:dyDescent="0.3">
      <c r="K570" t="s">
        <v>744</v>
      </c>
      <c r="L570">
        <v>4.9800000000000004</v>
      </c>
      <c r="M570" t="e">
        <f t="shared" si="16"/>
        <v>#N/A</v>
      </c>
      <c r="N570" t="e">
        <f t="shared" si="17"/>
        <v>#N/A</v>
      </c>
    </row>
    <row r="571" spans="11:14" x14ac:dyDescent="0.3">
      <c r="K571" t="s">
        <v>744</v>
      </c>
      <c r="L571">
        <v>4.9800000000000004</v>
      </c>
      <c r="M571" t="e">
        <f t="shared" si="16"/>
        <v>#N/A</v>
      </c>
      <c r="N571" t="e">
        <f t="shared" si="17"/>
        <v>#N/A</v>
      </c>
    </row>
    <row r="572" spans="11:14" x14ac:dyDescent="0.3">
      <c r="K572" t="s">
        <v>745</v>
      </c>
      <c r="L572">
        <v>5.976</v>
      </c>
      <c r="M572" t="e">
        <f t="shared" si="16"/>
        <v>#N/A</v>
      </c>
      <c r="N572" t="e">
        <f t="shared" si="17"/>
        <v>#N/A</v>
      </c>
    </row>
    <row r="573" spans="11:14" x14ac:dyDescent="0.3">
      <c r="K573" t="s">
        <v>745</v>
      </c>
      <c r="L573">
        <v>5.976</v>
      </c>
      <c r="M573" t="e">
        <f t="shared" si="16"/>
        <v>#N/A</v>
      </c>
      <c r="N573" t="e">
        <f t="shared" si="17"/>
        <v>#N/A</v>
      </c>
    </row>
    <row r="574" spans="11:14" x14ac:dyDescent="0.3">
      <c r="K574" t="s">
        <v>745</v>
      </c>
      <c r="L574">
        <v>5.976</v>
      </c>
      <c r="M574" t="e">
        <f t="shared" si="16"/>
        <v>#N/A</v>
      </c>
      <c r="N574" t="e">
        <f t="shared" si="17"/>
        <v>#N/A</v>
      </c>
    </row>
    <row r="575" spans="11:14" x14ac:dyDescent="0.3">
      <c r="K575" t="s">
        <v>745</v>
      </c>
      <c r="L575">
        <v>5.976</v>
      </c>
      <c r="M575" t="e">
        <f t="shared" si="16"/>
        <v>#N/A</v>
      </c>
      <c r="N575" t="e">
        <f t="shared" si="17"/>
        <v>#N/A</v>
      </c>
    </row>
    <row r="576" spans="11:14" x14ac:dyDescent="0.3">
      <c r="K576" t="s">
        <v>745</v>
      </c>
      <c r="L576">
        <v>5.976</v>
      </c>
      <c r="M576" t="e">
        <f t="shared" si="16"/>
        <v>#N/A</v>
      </c>
      <c r="N576" t="e">
        <f t="shared" si="17"/>
        <v>#N/A</v>
      </c>
    </row>
    <row r="577" spans="11:14" x14ac:dyDescent="0.3">
      <c r="K577" t="s">
        <v>746</v>
      </c>
      <c r="L577">
        <v>6.9720000000000004</v>
      </c>
      <c r="M577" t="e">
        <f t="shared" si="16"/>
        <v>#N/A</v>
      </c>
      <c r="N577" t="e">
        <f t="shared" si="17"/>
        <v>#N/A</v>
      </c>
    </row>
    <row r="578" spans="11:14" x14ac:dyDescent="0.3">
      <c r="K578" t="s">
        <v>746</v>
      </c>
      <c r="L578">
        <v>6.9720000000000004</v>
      </c>
      <c r="M578" t="e">
        <f t="shared" si="16"/>
        <v>#N/A</v>
      </c>
      <c r="N578" t="e">
        <f t="shared" si="17"/>
        <v>#N/A</v>
      </c>
    </row>
    <row r="579" spans="11:14" x14ac:dyDescent="0.3">
      <c r="K579" t="s">
        <v>746</v>
      </c>
      <c r="L579">
        <v>6.9720000000000004</v>
      </c>
      <c r="M579" t="e">
        <f t="shared" ref="M579:M642" si="18">_xlfn.XLOOKUP(K579,A:A,B:B)</f>
        <v>#N/A</v>
      </c>
      <c r="N579" t="e">
        <f t="shared" ref="N579:N642" si="19">L579-M579</f>
        <v>#N/A</v>
      </c>
    </row>
    <row r="580" spans="11:14" x14ac:dyDescent="0.3">
      <c r="K580" t="s">
        <v>746</v>
      </c>
      <c r="L580">
        <v>6.9720000000000004</v>
      </c>
      <c r="M580" t="e">
        <f t="shared" si="18"/>
        <v>#N/A</v>
      </c>
      <c r="N580" t="e">
        <f t="shared" si="19"/>
        <v>#N/A</v>
      </c>
    </row>
    <row r="581" spans="11:14" x14ac:dyDescent="0.3">
      <c r="K581" t="s">
        <v>746</v>
      </c>
      <c r="L581">
        <v>6.9720000000000004</v>
      </c>
      <c r="M581" t="e">
        <f t="shared" si="18"/>
        <v>#N/A</v>
      </c>
      <c r="N581" t="e">
        <f t="shared" si="19"/>
        <v>#N/A</v>
      </c>
    </row>
    <row r="582" spans="11:14" x14ac:dyDescent="0.3">
      <c r="K582" t="s">
        <v>746</v>
      </c>
      <c r="L582">
        <v>6.9720000000000004</v>
      </c>
      <c r="M582" t="e">
        <f t="shared" si="18"/>
        <v>#N/A</v>
      </c>
      <c r="N582" t="e">
        <f t="shared" si="19"/>
        <v>#N/A</v>
      </c>
    </row>
    <row r="583" spans="11:14" x14ac:dyDescent="0.3">
      <c r="K583" t="s">
        <v>746</v>
      </c>
      <c r="L583">
        <v>6.9720000000000004</v>
      </c>
      <c r="M583" t="e">
        <f t="shared" si="18"/>
        <v>#N/A</v>
      </c>
      <c r="N583" t="e">
        <f t="shared" si="19"/>
        <v>#N/A</v>
      </c>
    </row>
    <row r="584" spans="11:14" x14ac:dyDescent="0.3">
      <c r="K584" t="s">
        <v>746</v>
      </c>
      <c r="L584">
        <v>6.9720000000000004</v>
      </c>
      <c r="M584" t="e">
        <f t="shared" si="18"/>
        <v>#N/A</v>
      </c>
      <c r="N584" t="e">
        <f t="shared" si="19"/>
        <v>#N/A</v>
      </c>
    </row>
    <row r="585" spans="11:14" x14ac:dyDescent="0.3">
      <c r="K585" t="s">
        <v>746</v>
      </c>
      <c r="L585">
        <v>6.9720000000000004</v>
      </c>
      <c r="M585" t="e">
        <f t="shared" si="18"/>
        <v>#N/A</v>
      </c>
      <c r="N585" t="e">
        <f t="shared" si="19"/>
        <v>#N/A</v>
      </c>
    </row>
    <row r="586" spans="11:14" x14ac:dyDescent="0.3">
      <c r="K586" t="s">
        <v>746</v>
      </c>
      <c r="L586">
        <v>6.9720000000000004</v>
      </c>
      <c r="M586" t="e">
        <f t="shared" si="18"/>
        <v>#N/A</v>
      </c>
      <c r="N586" t="e">
        <f t="shared" si="19"/>
        <v>#N/A</v>
      </c>
    </row>
    <row r="587" spans="11:14" x14ac:dyDescent="0.3">
      <c r="K587" t="s">
        <v>747</v>
      </c>
      <c r="L587">
        <v>7.968</v>
      </c>
      <c r="M587" t="e">
        <f t="shared" si="18"/>
        <v>#N/A</v>
      </c>
      <c r="N587" t="e">
        <f t="shared" si="19"/>
        <v>#N/A</v>
      </c>
    </row>
    <row r="588" spans="11:14" x14ac:dyDescent="0.3">
      <c r="K588" t="s">
        <v>747</v>
      </c>
      <c r="L588">
        <v>7.968</v>
      </c>
      <c r="M588" t="e">
        <f t="shared" si="18"/>
        <v>#N/A</v>
      </c>
      <c r="N588" t="e">
        <f t="shared" si="19"/>
        <v>#N/A</v>
      </c>
    </row>
    <row r="589" spans="11:14" x14ac:dyDescent="0.3">
      <c r="K589" t="s">
        <v>747</v>
      </c>
      <c r="L589">
        <v>7.968</v>
      </c>
      <c r="M589" t="e">
        <f t="shared" si="18"/>
        <v>#N/A</v>
      </c>
      <c r="N589" t="e">
        <f t="shared" si="19"/>
        <v>#N/A</v>
      </c>
    </row>
    <row r="590" spans="11:14" x14ac:dyDescent="0.3">
      <c r="K590" t="s">
        <v>747</v>
      </c>
      <c r="L590">
        <v>7.968</v>
      </c>
      <c r="M590" t="e">
        <f t="shared" si="18"/>
        <v>#N/A</v>
      </c>
      <c r="N590" t="e">
        <f t="shared" si="19"/>
        <v>#N/A</v>
      </c>
    </row>
    <row r="591" spans="11:14" x14ac:dyDescent="0.3">
      <c r="K591" t="s">
        <v>747</v>
      </c>
      <c r="L591">
        <v>7.968</v>
      </c>
      <c r="M591" t="e">
        <f t="shared" si="18"/>
        <v>#N/A</v>
      </c>
      <c r="N591" t="e">
        <f t="shared" si="19"/>
        <v>#N/A</v>
      </c>
    </row>
    <row r="592" spans="11:14" x14ac:dyDescent="0.3">
      <c r="K592" t="s">
        <v>747</v>
      </c>
      <c r="L592">
        <v>7.968</v>
      </c>
      <c r="M592" t="e">
        <f t="shared" si="18"/>
        <v>#N/A</v>
      </c>
      <c r="N592" t="e">
        <f t="shared" si="19"/>
        <v>#N/A</v>
      </c>
    </row>
    <row r="593" spans="11:14" x14ac:dyDescent="0.3">
      <c r="K593" t="s">
        <v>748</v>
      </c>
      <c r="L593">
        <v>10.717000000000001</v>
      </c>
      <c r="M593" t="e">
        <f t="shared" si="18"/>
        <v>#N/A</v>
      </c>
      <c r="N593" t="e">
        <f t="shared" si="19"/>
        <v>#N/A</v>
      </c>
    </row>
    <row r="594" spans="11:14" x14ac:dyDescent="0.3">
      <c r="K594" t="s">
        <v>749</v>
      </c>
      <c r="L594">
        <v>33.487099999999998</v>
      </c>
      <c r="M594" t="e">
        <f t="shared" si="18"/>
        <v>#N/A</v>
      </c>
      <c r="N594" t="e">
        <f t="shared" si="19"/>
        <v>#N/A</v>
      </c>
    </row>
    <row r="595" spans="11:14" x14ac:dyDescent="0.3">
      <c r="K595" t="s">
        <v>750</v>
      </c>
      <c r="L595">
        <v>24.203299999999999</v>
      </c>
      <c r="M595" t="e">
        <f t="shared" si="18"/>
        <v>#N/A</v>
      </c>
      <c r="N595" t="e">
        <f t="shared" si="19"/>
        <v>#N/A</v>
      </c>
    </row>
    <row r="596" spans="11:14" x14ac:dyDescent="0.3">
      <c r="K596" t="s">
        <v>751</v>
      </c>
      <c r="L596">
        <v>21.937899999999999</v>
      </c>
      <c r="M596" t="e">
        <f t="shared" si="18"/>
        <v>#N/A</v>
      </c>
      <c r="N596" t="e">
        <f t="shared" si="19"/>
        <v>#N/A</v>
      </c>
    </row>
    <row r="597" spans="11:14" x14ac:dyDescent="0.3">
      <c r="K597" t="s">
        <v>752</v>
      </c>
      <c r="L597">
        <v>26.9907</v>
      </c>
      <c r="M597" t="e">
        <f t="shared" si="18"/>
        <v>#N/A</v>
      </c>
      <c r="N597" t="e">
        <f t="shared" si="19"/>
        <v>#N/A</v>
      </c>
    </row>
    <row r="598" spans="11:14" x14ac:dyDescent="0.3">
      <c r="K598" t="s">
        <v>753</v>
      </c>
      <c r="L598">
        <v>30.599799999999998</v>
      </c>
      <c r="M598" t="e">
        <f t="shared" si="18"/>
        <v>#N/A</v>
      </c>
      <c r="N598" t="e">
        <f t="shared" si="19"/>
        <v>#N/A</v>
      </c>
    </row>
    <row r="599" spans="11:14" x14ac:dyDescent="0.3">
      <c r="K599" t="s">
        <v>754</v>
      </c>
      <c r="L599">
        <v>59.953099999999999</v>
      </c>
      <c r="M599" t="e">
        <f t="shared" si="18"/>
        <v>#N/A</v>
      </c>
      <c r="N599" t="e">
        <f t="shared" si="19"/>
        <v>#N/A</v>
      </c>
    </row>
    <row r="600" spans="11:14" x14ac:dyDescent="0.3">
      <c r="K600" t="s">
        <v>755</v>
      </c>
      <c r="L600">
        <v>68.432699999999997</v>
      </c>
      <c r="M600" t="e">
        <f t="shared" si="18"/>
        <v>#N/A</v>
      </c>
      <c r="N600" t="e">
        <f t="shared" si="19"/>
        <v>#N/A</v>
      </c>
    </row>
    <row r="601" spans="11:14" x14ac:dyDescent="0.3">
      <c r="K601" t="s">
        <v>756</v>
      </c>
      <c r="L601">
        <v>19.350100000000001</v>
      </c>
      <c r="M601" t="e">
        <f t="shared" si="18"/>
        <v>#N/A</v>
      </c>
      <c r="N601" t="e">
        <f t="shared" si="19"/>
        <v>#N/A</v>
      </c>
    </row>
    <row r="602" spans="11:14" x14ac:dyDescent="0.3">
      <c r="K602" t="s">
        <v>757</v>
      </c>
      <c r="L602">
        <v>26.490100000000002</v>
      </c>
      <c r="M602" t="e">
        <f t="shared" si="18"/>
        <v>#N/A</v>
      </c>
      <c r="N602" t="e">
        <f t="shared" si="19"/>
        <v>#N/A</v>
      </c>
    </row>
    <row r="603" spans="11:14" x14ac:dyDescent="0.3">
      <c r="K603" t="s">
        <v>758</v>
      </c>
      <c r="L603">
        <v>27.959700000000002</v>
      </c>
      <c r="M603" t="e">
        <f t="shared" si="18"/>
        <v>#N/A</v>
      </c>
      <c r="N603" t="e">
        <f t="shared" si="19"/>
        <v>#N/A</v>
      </c>
    </row>
    <row r="604" spans="11:14" x14ac:dyDescent="0.3">
      <c r="K604" t="s">
        <v>759</v>
      </c>
      <c r="L604">
        <v>28.615200000000002</v>
      </c>
      <c r="M604" t="e">
        <f t="shared" si="18"/>
        <v>#N/A</v>
      </c>
      <c r="N604" t="e">
        <f t="shared" si="19"/>
        <v>#N/A</v>
      </c>
    </row>
    <row r="605" spans="11:14" x14ac:dyDescent="0.3">
      <c r="K605" t="s">
        <v>760</v>
      </c>
      <c r="L605">
        <v>32.147399999999998</v>
      </c>
      <c r="M605" t="e">
        <f t="shared" si="18"/>
        <v>#N/A</v>
      </c>
      <c r="N605" t="e">
        <f t="shared" si="19"/>
        <v>#N/A</v>
      </c>
    </row>
    <row r="606" spans="11:14" x14ac:dyDescent="0.3">
      <c r="K606" t="s">
        <v>761</v>
      </c>
      <c r="L606">
        <v>32.511600000000001</v>
      </c>
      <c r="M606" t="e">
        <f t="shared" si="18"/>
        <v>#N/A</v>
      </c>
      <c r="N606" t="e">
        <f t="shared" si="19"/>
        <v>#N/A</v>
      </c>
    </row>
    <row r="607" spans="11:14" x14ac:dyDescent="0.3">
      <c r="K607" t="s">
        <v>762</v>
      </c>
      <c r="L607">
        <v>36.152999999999999</v>
      </c>
      <c r="M607" t="e">
        <f t="shared" si="18"/>
        <v>#N/A</v>
      </c>
      <c r="N607" t="e">
        <f t="shared" si="19"/>
        <v>#N/A</v>
      </c>
    </row>
    <row r="608" spans="11:14" x14ac:dyDescent="0.3">
      <c r="K608" t="s">
        <v>763</v>
      </c>
      <c r="L608">
        <v>40.267800000000001</v>
      </c>
      <c r="M608" t="e">
        <f t="shared" si="18"/>
        <v>#N/A</v>
      </c>
      <c r="N608" t="e">
        <f t="shared" si="19"/>
        <v>#N/A</v>
      </c>
    </row>
    <row r="609" spans="11:14" x14ac:dyDescent="0.3">
      <c r="K609" t="s">
        <v>764</v>
      </c>
      <c r="L609">
        <v>47.552799999999998</v>
      </c>
      <c r="M609" t="e">
        <f t="shared" si="18"/>
        <v>#N/A</v>
      </c>
      <c r="N609" t="e">
        <f t="shared" si="19"/>
        <v>#N/A</v>
      </c>
    </row>
    <row r="610" spans="11:14" x14ac:dyDescent="0.3">
      <c r="K610" t="s">
        <v>765</v>
      </c>
      <c r="L610">
        <v>44.993299999999998</v>
      </c>
      <c r="M610" t="e">
        <f t="shared" si="18"/>
        <v>#N/A</v>
      </c>
      <c r="N610" t="e">
        <f t="shared" si="19"/>
        <v>#N/A</v>
      </c>
    </row>
    <row r="611" spans="11:14" x14ac:dyDescent="0.3">
      <c r="K611" t="s">
        <v>766</v>
      </c>
      <c r="L611">
        <v>65.319500000000005</v>
      </c>
      <c r="M611" t="e">
        <f t="shared" si="18"/>
        <v>#N/A</v>
      </c>
      <c r="N611" t="e">
        <f t="shared" si="19"/>
        <v>#N/A</v>
      </c>
    </row>
    <row r="612" spans="11:14" x14ac:dyDescent="0.3">
      <c r="K612" t="s">
        <v>767</v>
      </c>
      <c r="L612">
        <v>30.431699999999999</v>
      </c>
      <c r="M612" t="e">
        <f t="shared" si="18"/>
        <v>#N/A</v>
      </c>
      <c r="N612" t="e">
        <f t="shared" si="19"/>
        <v>#N/A</v>
      </c>
    </row>
    <row r="613" spans="11:14" x14ac:dyDescent="0.3">
      <c r="K613" t="s">
        <v>768</v>
      </c>
      <c r="L613">
        <v>8.7504000000000008</v>
      </c>
      <c r="M613" t="e">
        <f t="shared" si="18"/>
        <v>#N/A</v>
      </c>
      <c r="N613" t="e">
        <f t="shared" si="19"/>
        <v>#N/A</v>
      </c>
    </row>
    <row r="614" spans="11:14" x14ac:dyDescent="0.3">
      <c r="K614" t="s">
        <v>769</v>
      </c>
      <c r="L614">
        <v>9.9527000000000001</v>
      </c>
      <c r="M614" t="e">
        <f t="shared" si="18"/>
        <v>#N/A</v>
      </c>
      <c r="N614" t="e">
        <f t="shared" si="19"/>
        <v>#N/A</v>
      </c>
    </row>
    <row r="615" spans="11:14" x14ac:dyDescent="0.3">
      <c r="K615" t="s">
        <v>770</v>
      </c>
      <c r="L615">
        <v>11.4389</v>
      </c>
      <c r="M615" t="e">
        <f t="shared" si="18"/>
        <v>#N/A</v>
      </c>
      <c r="N615" t="e">
        <f t="shared" si="19"/>
        <v>#N/A</v>
      </c>
    </row>
    <row r="616" spans="11:14" x14ac:dyDescent="0.3">
      <c r="K616" t="s">
        <v>771</v>
      </c>
      <c r="L616">
        <v>20.379000000000001</v>
      </c>
      <c r="M616" t="e">
        <f t="shared" si="18"/>
        <v>#N/A</v>
      </c>
      <c r="N616" t="e">
        <f t="shared" si="19"/>
        <v>#N/A</v>
      </c>
    </row>
    <row r="617" spans="11:14" x14ac:dyDescent="0.3">
      <c r="K617" t="s">
        <v>772</v>
      </c>
      <c r="L617">
        <v>0.70740000000000003</v>
      </c>
      <c r="M617" t="e">
        <f t="shared" si="18"/>
        <v>#N/A</v>
      </c>
      <c r="N617" t="e">
        <f t="shared" si="19"/>
        <v>#N/A</v>
      </c>
    </row>
    <row r="618" spans="11:14" x14ac:dyDescent="0.3">
      <c r="K618" t="s">
        <v>773</v>
      </c>
      <c r="L618">
        <v>0.70740000000000003</v>
      </c>
      <c r="M618" t="e">
        <f t="shared" si="18"/>
        <v>#N/A</v>
      </c>
      <c r="N618" t="e">
        <f t="shared" si="19"/>
        <v>#N/A</v>
      </c>
    </row>
    <row r="619" spans="11:14" x14ac:dyDescent="0.3">
      <c r="K619" t="s">
        <v>773</v>
      </c>
      <c r="L619">
        <v>0.70740000000000003</v>
      </c>
      <c r="M619" t="e">
        <f t="shared" si="18"/>
        <v>#N/A</v>
      </c>
      <c r="N619" t="e">
        <f t="shared" si="19"/>
        <v>#N/A</v>
      </c>
    </row>
    <row r="620" spans="11:14" x14ac:dyDescent="0.3">
      <c r="K620" t="s">
        <v>774</v>
      </c>
      <c r="L620">
        <v>0.70740000000000003</v>
      </c>
      <c r="M620" t="e">
        <f t="shared" si="18"/>
        <v>#N/A</v>
      </c>
      <c r="N620" t="e">
        <f t="shared" si="19"/>
        <v>#N/A</v>
      </c>
    </row>
    <row r="621" spans="11:14" x14ac:dyDescent="0.3">
      <c r="K621" t="s">
        <v>775</v>
      </c>
      <c r="L621">
        <v>2.988</v>
      </c>
      <c r="M621" t="e">
        <f t="shared" si="18"/>
        <v>#N/A</v>
      </c>
      <c r="N621" t="e">
        <f t="shared" si="19"/>
        <v>#N/A</v>
      </c>
    </row>
    <row r="622" spans="11:14" x14ac:dyDescent="0.3">
      <c r="K622" t="s">
        <v>776</v>
      </c>
      <c r="L622">
        <v>4.0199999999999996</v>
      </c>
      <c r="M622" t="e">
        <f t="shared" si="18"/>
        <v>#N/A</v>
      </c>
      <c r="N622" t="e">
        <f t="shared" si="19"/>
        <v>#N/A</v>
      </c>
    </row>
    <row r="623" spans="11:14" x14ac:dyDescent="0.3">
      <c r="K623" t="s">
        <v>776</v>
      </c>
      <c r="L623">
        <v>4.0199999999999996</v>
      </c>
      <c r="M623" t="e">
        <f t="shared" si="18"/>
        <v>#N/A</v>
      </c>
      <c r="N623" t="e">
        <f t="shared" si="19"/>
        <v>#N/A</v>
      </c>
    </row>
    <row r="624" spans="11:14" x14ac:dyDescent="0.3">
      <c r="K624" t="s">
        <v>776</v>
      </c>
      <c r="L624">
        <v>4.0199999999999996</v>
      </c>
      <c r="M624" t="e">
        <f t="shared" si="18"/>
        <v>#N/A</v>
      </c>
      <c r="N624" t="e">
        <f t="shared" si="19"/>
        <v>#N/A</v>
      </c>
    </row>
    <row r="625" spans="11:14" x14ac:dyDescent="0.3">
      <c r="K625" t="s">
        <v>776</v>
      </c>
      <c r="L625">
        <v>4.0199999999999996</v>
      </c>
      <c r="M625" t="e">
        <f t="shared" si="18"/>
        <v>#N/A</v>
      </c>
      <c r="N625" t="e">
        <f t="shared" si="19"/>
        <v>#N/A</v>
      </c>
    </row>
    <row r="626" spans="11:14" x14ac:dyDescent="0.3">
      <c r="K626" t="s">
        <v>776</v>
      </c>
      <c r="L626">
        <v>4.0199999999999996</v>
      </c>
      <c r="M626" t="e">
        <f t="shared" si="18"/>
        <v>#N/A</v>
      </c>
      <c r="N626" t="e">
        <f t="shared" si="19"/>
        <v>#N/A</v>
      </c>
    </row>
    <row r="627" spans="11:14" x14ac:dyDescent="0.3">
      <c r="K627" t="s">
        <v>776</v>
      </c>
      <c r="L627">
        <v>4.0199999999999996</v>
      </c>
      <c r="M627" t="e">
        <f t="shared" si="18"/>
        <v>#N/A</v>
      </c>
      <c r="N627" t="e">
        <f t="shared" si="19"/>
        <v>#N/A</v>
      </c>
    </row>
    <row r="628" spans="11:14" x14ac:dyDescent="0.3">
      <c r="K628" t="s">
        <v>776</v>
      </c>
      <c r="L628">
        <v>4.0199999999999996</v>
      </c>
      <c r="M628" t="e">
        <f t="shared" si="18"/>
        <v>#N/A</v>
      </c>
      <c r="N628" t="e">
        <f t="shared" si="19"/>
        <v>#N/A</v>
      </c>
    </row>
    <row r="629" spans="11:14" x14ac:dyDescent="0.3">
      <c r="K629" t="s">
        <v>776</v>
      </c>
      <c r="L629">
        <v>4.0199999999999996</v>
      </c>
      <c r="M629" t="e">
        <f t="shared" si="18"/>
        <v>#N/A</v>
      </c>
      <c r="N629" t="e">
        <f t="shared" si="19"/>
        <v>#N/A</v>
      </c>
    </row>
    <row r="630" spans="11:14" x14ac:dyDescent="0.3">
      <c r="K630" t="s">
        <v>777</v>
      </c>
      <c r="L630">
        <v>2.2574000000000001</v>
      </c>
      <c r="M630" t="e">
        <f t="shared" si="18"/>
        <v>#N/A</v>
      </c>
      <c r="N630" t="e">
        <f t="shared" si="19"/>
        <v>#N/A</v>
      </c>
    </row>
    <row r="631" spans="11:14" x14ac:dyDescent="0.3">
      <c r="K631" t="s">
        <v>777</v>
      </c>
      <c r="L631">
        <v>2.2574000000000001</v>
      </c>
      <c r="M631" t="e">
        <f t="shared" si="18"/>
        <v>#N/A</v>
      </c>
      <c r="N631" t="e">
        <f t="shared" si="19"/>
        <v>#N/A</v>
      </c>
    </row>
    <row r="632" spans="11:14" x14ac:dyDescent="0.3">
      <c r="K632" t="s">
        <v>778</v>
      </c>
      <c r="L632">
        <v>4.0199999999999996</v>
      </c>
      <c r="M632" t="e">
        <f t="shared" si="18"/>
        <v>#N/A</v>
      </c>
      <c r="N632" t="e">
        <f t="shared" si="19"/>
        <v>#N/A</v>
      </c>
    </row>
    <row r="633" spans="11:14" x14ac:dyDescent="0.3">
      <c r="K633" t="s">
        <v>779</v>
      </c>
      <c r="L633">
        <v>4.0199999999999996</v>
      </c>
      <c r="M633" t="e">
        <f t="shared" si="18"/>
        <v>#N/A</v>
      </c>
      <c r="N633" t="e">
        <f t="shared" si="19"/>
        <v>#N/A</v>
      </c>
    </row>
    <row r="634" spans="11:14" x14ac:dyDescent="0.3">
      <c r="K634" t="s">
        <v>780</v>
      </c>
      <c r="L634">
        <v>4.0199999999999996</v>
      </c>
      <c r="M634" t="e">
        <f t="shared" si="18"/>
        <v>#N/A</v>
      </c>
      <c r="N634" t="e">
        <f t="shared" si="19"/>
        <v>#N/A</v>
      </c>
    </row>
    <row r="635" spans="11:14" x14ac:dyDescent="0.3">
      <c r="K635" t="s">
        <v>780</v>
      </c>
      <c r="L635">
        <v>4.0199999999999996</v>
      </c>
      <c r="M635" t="e">
        <f t="shared" si="18"/>
        <v>#N/A</v>
      </c>
      <c r="N635" t="e">
        <f t="shared" si="19"/>
        <v>#N/A</v>
      </c>
    </row>
    <row r="636" spans="11:14" x14ac:dyDescent="0.3">
      <c r="K636" t="s">
        <v>780</v>
      </c>
      <c r="L636">
        <v>4.0199999999999996</v>
      </c>
      <c r="M636" t="e">
        <f t="shared" si="18"/>
        <v>#N/A</v>
      </c>
      <c r="N636" t="e">
        <f t="shared" si="19"/>
        <v>#N/A</v>
      </c>
    </row>
    <row r="637" spans="11:14" x14ac:dyDescent="0.3">
      <c r="K637" t="s">
        <v>781</v>
      </c>
      <c r="L637">
        <v>2.9750000000000001</v>
      </c>
      <c r="M637" t="e">
        <f t="shared" si="18"/>
        <v>#N/A</v>
      </c>
      <c r="N637" t="e">
        <f t="shared" si="19"/>
        <v>#N/A</v>
      </c>
    </row>
    <row r="638" spans="11:14" x14ac:dyDescent="0.3">
      <c r="K638" t="s">
        <v>782</v>
      </c>
      <c r="L638">
        <v>4.0199999999999996</v>
      </c>
      <c r="M638" t="e">
        <f t="shared" si="18"/>
        <v>#N/A</v>
      </c>
      <c r="N638" t="e">
        <f t="shared" si="19"/>
        <v>#N/A</v>
      </c>
    </row>
    <row r="639" spans="11:14" x14ac:dyDescent="0.3">
      <c r="K639" t="s">
        <v>783</v>
      </c>
      <c r="L639">
        <v>4.0199999999999996</v>
      </c>
      <c r="M639" t="e">
        <f t="shared" si="18"/>
        <v>#N/A</v>
      </c>
      <c r="N639" t="e">
        <f t="shared" si="19"/>
        <v>#N/A</v>
      </c>
    </row>
    <row r="640" spans="11:14" x14ac:dyDescent="0.3">
      <c r="K640" t="s">
        <v>784</v>
      </c>
      <c r="L640">
        <v>4.0199999999999996</v>
      </c>
      <c r="M640" t="e">
        <f t="shared" si="18"/>
        <v>#N/A</v>
      </c>
      <c r="N640" t="e">
        <f t="shared" si="19"/>
        <v>#N/A</v>
      </c>
    </row>
    <row r="641" spans="11:14" x14ac:dyDescent="0.3">
      <c r="K641" t="s">
        <v>785</v>
      </c>
      <c r="L641">
        <v>4.0199999999999996</v>
      </c>
      <c r="M641" t="e">
        <f t="shared" si="18"/>
        <v>#N/A</v>
      </c>
      <c r="N641" t="e">
        <f t="shared" si="19"/>
        <v>#N/A</v>
      </c>
    </row>
    <row r="642" spans="11:14" x14ac:dyDescent="0.3">
      <c r="K642" t="s">
        <v>786</v>
      </c>
      <c r="L642">
        <v>4.0199999999999996</v>
      </c>
      <c r="M642" t="e">
        <f t="shared" si="18"/>
        <v>#N/A</v>
      </c>
      <c r="N642" t="e">
        <f t="shared" si="19"/>
        <v>#N/A</v>
      </c>
    </row>
    <row r="643" spans="11:14" x14ac:dyDescent="0.3">
      <c r="K643" t="s">
        <v>787</v>
      </c>
      <c r="L643">
        <v>17.809100000000001</v>
      </c>
      <c r="M643" t="e">
        <f t="shared" ref="M643:M706" si="20">_xlfn.XLOOKUP(K643,A:A,B:B)</f>
        <v>#N/A</v>
      </c>
      <c r="N643" t="e">
        <f t="shared" ref="N643:N706" si="21">L643-M643</f>
        <v>#N/A</v>
      </c>
    </row>
    <row r="644" spans="11:14" x14ac:dyDescent="0.3">
      <c r="K644" t="s">
        <v>787</v>
      </c>
      <c r="L644">
        <v>17.809100000000001</v>
      </c>
      <c r="M644" t="e">
        <f t="shared" si="20"/>
        <v>#N/A</v>
      </c>
      <c r="N644" t="e">
        <f t="shared" si="21"/>
        <v>#N/A</v>
      </c>
    </row>
    <row r="645" spans="11:14" x14ac:dyDescent="0.3">
      <c r="K645" t="s">
        <v>788</v>
      </c>
      <c r="L645">
        <v>19.5352</v>
      </c>
      <c r="M645" t="e">
        <f t="shared" si="20"/>
        <v>#N/A</v>
      </c>
      <c r="N645" t="e">
        <f t="shared" si="21"/>
        <v>#N/A</v>
      </c>
    </row>
    <row r="646" spans="11:14" x14ac:dyDescent="0.3">
      <c r="K646" t="s">
        <v>789</v>
      </c>
      <c r="L646">
        <v>17.759799999999998</v>
      </c>
      <c r="M646" t="e">
        <f t="shared" si="20"/>
        <v>#N/A</v>
      </c>
      <c r="N646" t="e">
        <f t="shared" si="21"/>
        <v>#N/A</v>
      </c>
    </row>
    <row r="647" spans="11:14" x14ac:dyDescent="0.3">
      <c r="K647" t="s">
        <v>790</v>
      </c>
      <c r="L647">
        <v>10.9194</v>
      </c>
      <c r="M647" t="e">
        <f t="shared" si="20"/>
        <v>#N/A</v>
      </c>
      <c r="N647" t="e">
        <f t="shared" si="21"/>
        <v>#N/A</v>
      </c>
    </row>
    <row r="648" spans="11:14" x14ac:dyDescent="0.3">
      <c r="K648" t="s">
        <v>791</v>
      </c>
      <c r="L648">
        <v>18.173999999999999</v>
      </c>
      <c r="M648" t="e">
        <f t="shared" si="20"/>
        <v>#N/A</v>
      </c>
      <c r="N648" t="e">
        <f t="shared" si="21"/>
        <v>#N/A</v>
      </c>
    </row>
    <row r="649" spans="11:14" x14ac:dyDescent="0.3">
      <c r="K649" t="s">
        <v>792</v>
      </c>
      <c r="L649">
        <v>4.0199999999999996</v>
      </c>
      <c r="M649" t="e">
        <f t="shared" si="20"/>
        <v>#N/A</v>
      </c>
      <c r="N649" t="e">
        <f t="shared" si="21"/>
        <v>#N/A</v>
      </c>
    </row>
    <row r="650" spans="11:14" x14ac:dyDescent="0.3">
      <c r="K650" t="s">
        <v>792</v>
      </c>
      <c r="L650">
        <v>4.0199999999999996</v>
      </c>
      <c r="M650" t="e">
        <f t="shared" si="20"/>
        <v>#N/A</v>
      </c>
      <c r="N650" t="e">
        <f t="shared" si="21"/>
        <v>#N/A</v>
      </c>
    </row>
    <row r="651" spans="11:14" x14ac:dyDescent="0.3">
      <c r="K651" t="s">
        <v>792</v>
      </c>
      <c r="L651">
        <v>4.0199999999999996</v>
      </c>
      <c r="M651" t="e">
        <f t="shared" si="20"/>
        <v>#N/A</v>
      </c>
      <c r="N651" t="e">
        <f t="shared" si="21"/>
        <v>#N/A</v>
      </c>
    </row>
    <row r="652" spans="11:14" x14ac:dyDescent="0.3">
      <c r="K652" t="s">
        <v>792</v>
      </c>
      <c r="L652">
        <v>4.0199999999999996</v>
      </c>
      <c r="M652" t="e">
        <f t="shared" si="20"/>
        <v>#N/A</v>
      </c>
      <c r="N652" t="e">
        <f t="shared" si="21"/>
        <v>#N/A</v>
      </c>
    </row>
    <row r="653" spans="11:14" x14ac:dyDescent="0.3">
      <c r="K653" t="s">
        <v>792</v>
      </c>
      <c r="L653">
        <v>4.0199999999999996</v>
      </c>
      <c r="M653" t="e">
        <f t="shared" si="20"/>
        <v>#N/A</v>
      </c>
      <c r="N653" t="e">
        <f t="shared" si="21"/>
        <v>#N/A</v>
      </c>
    </row>
    <row r="654" spans="11:14" x14ac:dyDescent="0.3">
      <c r="K654" t="s">
        <v>792</v>
      </c>
      <c r="L654">
        <v>4.0199999999999996</v>
      </c>
      <c r="M654" t="e">
        <f t="shared" si="20"/>
        <v>#N/A</v>
      </c>
      <c r="N654" t="e">
        <f t="shared" si="21"/>
        <v>#N/A</v>
      </c>
    </row>
    <row r="655" spans="11:14" x14ac:dyDescent="0.3">
      <c r="K655" t="s">
        <v>792</v>
      </c>
      <c r="L655">
        <v>4.0199999999999996</v>
      </c>
      <c r="M655" t="e">
        <f t="shared" si="20"/>
        <v>#N/A</v>
      </c>
      <c r="N655" t="e">
        <f t="shared" si="21"/>
        <v>#N/A</v>
      </c>
    </row>
    <row r="656" spans="11:14" x14ac:dyDescent="0.3">
      <c r="K656" t="s">
        <v>792</v>
      </c>
      <c r="L656">
        <v>4.0199999999999996</v>
      </c>
      <c r="M656" t="e">
        <f t="shared" si="20"/>
        <v>#N/A</v>
      </c>
      <c r="N656" t="e">
        <f t="shared" si="21"/>
        <v>#N/A</v>
      </c>
    </row>
    <row r="657" spans="11:14" x14ac:dyDescent="0.3">
      <c r="K657" t="s">
        <v>792</v>
      </c>
      <c r="L657">
        <v>4.0199999999999996</v>
      </c>
      <c r="M657" t="e">
        <f t="shared" si="20"/>
        <v>#N/A</v>
      </c>
      <c r="N657" t="e">
        <f t="shared" si="21"/>
        <v>#N/A</v>
      </c>
    </row>
    <row r="658" spans="11:14" x14ac:dyDescent="0.3">
      <c r="K658" t="s">
        <v>792</v>
      </c>
      <c r="L658">
        <v>4.0199999999999996</v>
      </c>
      <c r="M658" t="e">
        <f t="shared" si="20"/>
        <v>#N/A</v>
      </c>
      <c r="N658" t="e">
        <f t="shared" si="21"/>
        <v>#N/A</v>
      </c>
    </row>
    <row r="659" spans="11:14" x14ac:dyDescent="0.3">
      <c r="K659" t="s">
        <v>793</v>
      </c>
      <c r="L659">
        <v>2.9750000000000001</v>
      </c>
      <c r="M659" t="e">
        <f t="shared" si="20"/>
        <v>#N/A</v>
      </c>
      <c r="N659" t="e">
        <f t="shared" si="21"/>
        <v>#N/A</v>
      </c>
    </row>
    <row r="660" spans="11:14" x14ac:dyDescent="0.3">
      <c r="K660" t="s">
        <v>794</v>
      </c>
      <c r="L660">
        <v>4.0199999999999996</v>
      </c>
      <c r="M660" t="e">
        <f t="shared" si="20"/>
        <v>#N/A</v>
      </c>
      <c r="N660" t="e">
        <f t="shared" si="21"/>
        <v>#N/A</v>
      </c>
    </row>
    <row r="661" spans="11:14" x14ac:dyDescent="0.3">
      <c r="K661" t="s">
        <v>795</v>
      </c>
      <c r="L661">
        <v>4.0199999999999996</v>
      </c>
      <c r="M661" t="e">
        <f t="shared" si="20"/>
        <v>#N/A</v>
      </c>
      <c r="N661" t="e">
        <f t="shared" si="21"/>
        <v>#N/A</v>
      </c>
    </row>
    <row r="662" spans="11:14" x14ac:dyDescent="0.3">
      <c r="K662" t="s">
        <v>796</v>
      </c>
      <c r="L662">
        <v>2.2574000000000001</v>
      </c>
      <c r="M662" t="e">
        <f t="shared" si="20"/>
        <v>#N/A</v>
      </c>
      <c r="N662" t="e">
        <f t="shared" si="21"/>
        <v>#N/A</v>
      </c>
    </row>
    <row r="663" spans="11:14" x14ac:dyDescent="0.3">
      <c r="K663" t="s">
        <v>797</v>
      </c>
      <c r="L663">
        <v>2.2574000000000001</v>
      </c>
      <c r="M663" t="e">
        <f t="shared" si="20"/>
        <v>#N/A</v>
      </c>
      <c r="N663" t="e">
        <f t="shared" si="21"/>
        <v>#N/A</v>
      </c>
    </row>
    <row r="664" spans="11:14" x14ac:dyDescent="0.3">
      <c r="K664" t="s">
        <v>797</v>
      </c>
      <c r="L664">
        <v>2.2574000000000001</v>
      </c>
      <c r="M664" t="e">
        <f t="shared" si="20"/>
        <v>#N/A</v>
      </c>
      <c r="N664" t="e">
        <f t="shared" si="21"/>
        <v>#N/A</v>
      </c>
    </row>
    <row r="665" spans="11:14" x14ac:dyDescent="0.3">
      <c r="K665" t="s">
        <v>797</v>
      </c>
      <c r="L665">
        <v>2.2574000000000001</v>
      </c>
      <c r="M665" t="e">
        <f t="shared" si="20"/>
        <v>#N/A</v>
      </c>
      <c r="N665" t="e">
        <f t="shared" si="21"/>
        <v>#N/A</v>
      </c>
    </row>
    <row r="666" spans="11:14" x14ac:dyDescent="0.3">
      <c r="K666" t="s">
        <v>797</v>
      </c>
      <c r="L666">
        <v>2.2574000000000001</v>
      </c>
      <c r="M666" t="e">
        <f t="shared" si="20"/>
        <v>#N/A</v>
      </c>
      <c r="N666" t="e">
        <f t="shared" si="21"/>
        <v>#N/A</v>
      </c>
    </row>
    <row r="667" spans="11:14" x14ac:dyDescent="0.3">
      <c r="K667" t="s">
        <v>798</v>
      </c>
      <c r="L667">
        <v>4.0199999999999996</v>
      </c>
      <c r="M667" t="e">
        <f t="shared" si="20"/>
        <v>#N/A</v>
      </c>
      <c r="N667" t="e">
        <f t="shared" si="21"/>
        <v>#N/A</v>
      </c>
    </row>
    <row r="668" spans="11:14" x14ac:dyDescent="0.3">
      <c r="K668" t="s">
        <v>798</v>
      </c>
      <c r="L668">
        <v>4.0199999999999996</v>
      </c>
      <c r="M668" t="e">
        <f t="shared" si="20"/>
        <v>#N/A</v>
      </c>
      <c r="N668" t="e">
        <f t="shared" si="21"/>
        <v>#N/A</v>
      </c>
    </row>
    <row r="669" spans="11:14" x14ac:dyDescent="0.3">
      <c r="K669" t="s">
        <v>798</v>
      </c>
      <c r="L669">
        <v>4.0199999999999996</v>
      </c>
      <c r="M669" t="e">
        <f t="shared" si="20"/>
        <v>#N/A</v>
      </c>
      <c r="N669" t="e">
        <f t="shared" si="21"/>
        <v>#N/A</v>
      </c>
    </row>
    <row r="670" spans="11:14" x14ac:dyDescent="0.3">
      <c r="K670" t="s">
        <v>798</v>
      </c>
      <c r="L670">
        <v>4.0199999999999996</v>
      </c>
      <c r="M670" t="e">
        <f t="shared" si="20"/>
        <v>#N/A</v>
      </c>
      <c r="N670" t="e">
        <f t="shared" si="21"/>
        <v>#N/A</v>
      </c>
    </row>
    <row r="671" spans="11:14" x14ac:dyDescent="0.3">
      <c r="K671" t="s">
        <v>799</v>
      </c>
      <c r="L671">
        <v>4.0199999999999996</v>
      </c>
      <c r="M671" t="e">
        <f t="shared" si="20"/>
        <v>#N/A</v>
      </c>
      <c r="N671" t="e">
        <f t="shared" si="21"/>
        <v>#N/A</v>
      </c>
    </row>
    <row r="672" spans="11:14" x14ac:dyDescent="0.3">
      <c r="K672" t="s">
        <v>800</v>
      </c>
      <c r="L672">
        <v>4.0199999999999996</v>
      </c>
      <c r="M672" t="e">
        <f t="shared" si="20"/>
        <v>#N/A</v>
      </c>
      <c r="N672" t="e">
        <f t="shared" si="21"/>
        <v>#N/A</v>
      </c>
    </row>
    <row r="673" spans="11:14" x14ac:dyDescent="0.3">
      <c r="K673" t="s">
        <v>800</v>
      </c>
      <c r="L673">
        <v>4.0199999999999996</v>
      </c>
      <c r="M673" t="e">
        <f t="shared" si="20"/>
        <v>#N/A</v>
      </c>
      <c r="N673" t="e">
        <f t="shared" si="21"/>
        <v>#N/A</v>
      </c>
    </row>
    <row r="674" spans="11:14" x14ac:dyDescent="0.3">
      <c r="K674" t="s">
        <v>800</v>
      </c>
      <c r="L674">
        <v>4.0199999999999996</v>
      </c>
      <c r="M674" t="e">
        <f t="shared" si="20"/>
        <v>#N/A</v>
      </c>
      <c r="N674" t="e">
        <f t="shared" si="21"/>
        <v>#N/A</v>
      </c>
    </row>
    <row r="675" spans="11:14" x14ac:dyDescent="0.3">
      <c r="K675" t="s">
        <v>800</v>
      </c>
      <c r="L675">
        <v>4.0199999999999996</v>
      </c>
      <c r="M675" t="e">
        <f t="shared" si="20"/>
        <v>#N/A</v>
      </c>
      <c r="N675" t="e">
        <f t="shared" si="21"/>
        <v>#N/A</v>
      </c>
    </row>
    <row r="676" spans="11:14" x14ac:dyDescent="0.3">
      <c r="K676" t="s">
        <v>800</v>
      </c>
      <c r="L676">
        <v>4.0199999999999996</v>
      </c>
      <c r="M676" t="e">
        <f t="shared" si="20"/>
        <v>#N/A</v>
      </c>
      <c r="N676" t="e">
        <f t="shared" si="21"/>
        <v>#N/A</v>
      </c>
    </row>
    <row r="677" spans="11:14" x14ac:dyDescent="0.3">
      <c r="K677" t="s">
        <v>800</v>
      </c>
      <c r="L677">
        <v>4.0199999999999996</v>
      </c>
      <c r="M677" t="e">
        <f t="shared" si="20"/>
        <v>#N/A</v>
      </c>
      <c r="N677" t="e">
        <f t="shared" si="21"/>
        <v>#N/A</v>
      </c>
    </row>
    <row r="678" spans="11:14" x14ac:dyDescent="0.3">
      <c r="K678" t="s">
        <v>800</v>
      </c>
      <c r="L678">
        <v>4.0199999999999996</v>
      </c>
      <c r="M678" t="e">
        <f t="shared" si="20"/>
        <v>#N/A</v>
      </c>
      <c r="N678" t="e">
        <f t="shared" si="21"/>
        <v>#N/A</v>
      </c>
    </row>
    <row r="679" spans="11:14" x14ac:dyDescent="0.3">
      <c r="K679" t="s">
        <v>800</v>
      </c>
      <c r="L679">
        <v>4.0199999999999996</v>
      </c>
      <c r="M679" t="e">
        <f t="shared" si="20"/>
        <v>#N/A</v>
      </c>
      <c r="N679" t="e">
        <f t="shared" si="21"/>
        <v>#N/A</v>
      </c>
    </row>
    <row r="680" spans="11:14" x14ac:dyDescent="0.3">
      <c r="K680" t="s">
        <v>800</v>
      </c>
      <c r="L680">
        <v>4.0199999999999996</v>
      </c>
      <c r="M680" t="e">
        <f t="shared" si="20"/>
        <v>#N/A</v>
      </c>
      <c r="N680" t="e">
        <f t="shared" si="21"/>
        <v>#N/A</v>
      </c>
    </row>
    <row r="681" spans="11:14" x14ac:dyDescent="0.3">
      <c r="K681" t="s">
        <v>800</v>
      </c>
      <c r="L681">
        <v>4.0199999999999996</v>
      </c>
      <c r="M681" t="e">
        <f t="shared" si="20"/>
        <v>#N/A</v>
      </c>
      <c r="N681" t="e">
        <f t="shared" si="21"/>
        <v>#N/A</v>
      </c>
    </row>
    <row r="682" spans="11:14" x14ac:dyDescent="0.3">
      <c r="K682" t="s">
        <v>800</v>
      </c>
      <c r="L682">
        <v>4.0199999999999996</v>
      </c>
      <c r="M682" t="e">
        <f t="shared" si="20"/>
        <v>#N/A</v>
      </c>
      <c r="N682" t="e">
        <f t="shared" si="21"/>
        <v>#N/A</v>
      </c>
    </row>
    <row r="683" spans="11:14" x14ac:dyDescent="0.3">
      <c r="K683" t="s">
        <v>800</v>
      </c>
      <c r="L683">
        <v>4.0199999999999996</v>
      </c>
      <c r="M683" t="e">
        <f t="shared" si="20"/>
        <v>#N/A</v>
      </c>
      <c r="N683" t="e">
        <f t="shared" si="21"/>
        <v>#N/A</v>
      </c>
    </row>
    <row r="684" spans="11:14" x14ac:dyDescent="0.3">
      <c r="K684" t="s">
        <v>801</v>
      </c>
      <c r="L684">
        <v>2.9117000000000002</v>
      </c>
      <c r="M684" t="e">
        <f t="shared" si="20"/>
        <v>#N/A</v>
      </c>
      <c r="N684" t="e">
        <f t="shared" si="21"/>
        <v>#N/A</v>
      </c>
    </row>
    <row r="685" spans="11:14" x14ac:dyDescent="0.3">
      <c r="K685" t="s">
        <v>802</v>
      </c>
      <c r="L685">
        <v>2.9117000000000002</v>
      </c>
      <c r="M685" t="e">
        <f t="shared" si="20"/>
        <v>#N/A</v>
      </c>
      <c r="N685" t="e">
        <f t="shared" si="21"/>
        <v>#N/A</v>
      </c>
    </row>
    <row r="686" spans="11:14" x14ac:dyDescent="0.3">
      <c r="K686" t="s">
        <v>802</v>
      </c>
      <c r="L686">
        <v>2.9117000000000002</v>
      </c>
      <c r="M686" t="e">
        <f t="shared" si="20"/>
        <v>#N/A</v>
      </c>
      <c r="N686" t="e">
        <f t="shared" si="21"/>
        <v>#N/A</v>
      </c>
    </row>
    <row r="687" spans="11:14" x14ac:dyDescent="0.3">
      <c r="K687" t="s">
        <v>802</v>
      </c>
      <c r="L687">
        <v>2.9117000000000002</v>
      </c>
      <c r="M687" t="e">
        <f t="shared" si="20"/>
        <v>#N/A</v>
      </c>
      <c r="N687" t="e">
        <f t="shared" si="21"/>
        <v>#N/A</v>
      </c>
    </row>
    <row r="688" spans="11:14" x14ac:dyDescent="0.3">
      <c r="K688" t="s">
        <v>803</v>
      </c>
      <c r="L688">
        <v>4.0199999999999996</v>
      </c>
      <c r="M688" t="e">
        <f t="shared" si="20"/>
        <v>#N/A</v>
      </c>
      <c r="N688" t="e">
        <f t="shared" si="21"/>
        <v>#N/A</v>
      </c>
    </row>
    <row r="689" spans="11:14" x14ac:dyDescent="0.3">
      <c r="K689" t="s">
        <v>804</v>
      </c>
      <c r="L689">
        <v>4.0199999999999996</v>
      </c>
      <c r="M689" t="e">
        <f t="shared" si="20"/>
        <v>#N/A</v>
      </c>
      <c r="N689" t="e">
        <f t="shared" si="21"/>
        <v>#N/A</v>
      </c>
    </row>
    <row r="690" spans="11:14" x14ac:dyDescent="0.3">
      <c r="K690" t="s">
        <v>805</v>
      </c>
      <c r="L690">
        <v>4.0199999999999996</v>
      </c>
      <c r="M690" t="e">
        <f t="shared" si="20"/>
        <v>#N/A</v>
      </c>
      <c r="N690" t="e">
        <f t="shared" si="21"/>
        <v>#N/A</v>
      </c>
    </row>
    <row r="691" spans="11:14" x14ac:dyDescent="0.3">
      <c r="K691" t="s">
        <v>805</v>
      </c>
      <c r="L691">
        <v>4.0199999999999996</v>
      </c>
      <c r="M691" t="e">
        <f t="shared" si="20"/>
        <v>#N/A</v>
      </c>
      <c r="N691" t="e">
        <f t="shared" si="21"/>
        <v>#N/A</v>
      </c>
    </row>
    <row r="692" spans="11:14" x14ac:dyDescent="0.3">
      <c r="K692" t="s">
        <v>805</v>
      </c>
      <c r="L692">
        <v>4.0199999999999996</v>
      </c>
      <c r="M692" t="e">
        <f t="shared" si="20"/>
        <v>#N/A</v>
      </c>
      <c r="N692" t="e">
        <f t="shared" si="21"/>
        <v>#N/A</v>
      </c>
    </row>
    <row r="693" spans="11:14" x14ac:dyDescent="0.3">
      <c r="K693" t="s">
        <v>805</v>
      </c>
      <c r="L693">
        <v>4.0199999999999996</v>
      </c>
      <c r="M693" t="e">
        <f t="shared" si="20"/>
        <v>#N/A</v>
      </c>
      <c r="N693" t="e">
        <f t="shared" si="21"/>
        <v>#N/A</v>
      </c>
    </row>
    <row r="694" spans="11:14" x14ac:dyDescent="0.3">
      <c r="K694" t="s">
        <v>805</v>
      </c>
      <c r="L694">
        <v>4.0199999999999996</v>
      </c>
      <c r="M694" t="e">
        <f t="shared" si="20"/>
        <v>#N/A</v>
      </c>
      <c r="N694" t="e">
        <f t="shared" si="21"/>
        <v>#N/A</v>
      </c>
    </row>
    <row r="695" spans="11:14" x14ac:dyDescent="0.3">
      <c r="K695" t="s">
        <v>805</v>
      </c>
      <c r="L695">
        <v>4.0199999999999996</v>
      </c>
      <c r="M695" t="e">
        <f t="shared" si="20"/>
        <v>#N/A</v>
      </c>
      <c r="N695" t="e">
        <f t="shared" si="21"/>
        <v>#N/A</v>
      </c>
    </row>
    <row r="696" spans="11:14" x14ac:dyDescent="0.3">
      <c r="K696" t="s">
        <v>805</v>
      </c>
      <c r="L696">
        <v>4.0199999999999996</v>
      </c>
      <c r="M696" t="e">
        <f t="shared" si="20"/>
        <v>#N/A</v>
      </c>
      <c r="N696" t="e">
        <f t="shared" si="21"/>
        <v>#N/A</v>
      </c>
    </row>
    <row r="697" spans="11:14" x14ac:dyDescent="0.3">
      <c r="K697" t="s">
        <v>805</v>
      </c>
      <c r="L697">
        <v>4.0199999999999996</v>
      </c>
      <c r="M697" t="e">
        <f t="shared" si="20"/>
        <v>#N/A</v>
      </c>
      <c r="N697" t="e">
        <f t="shared" si="21"/>
        <v>#N/A</v>
      </c>
    </row>
    <row r="698" spans="11:14" x14ac:dyDescent="0.3">
      <c r="K698" t="s">
        <v>805</v>
      </c>
      <c r="L698">
        <v>4.0199999999999996</v>
      </c>
      <c r="M698" t="e">
        <f t="shared" si="20"/>
        <v>#N/A</v>
      </c>
      <c r="N698" t="e">
        <f t="shared" si="21"/>
        <v>#N/A</v>
      </c>
    </row>
    <row r="699" spans="11:14" x14ac:dyDescent="0.3">
      <c r="K699" t="s">
        <v>805</v>
      </c>
      <c r="L699">
        <v>4.0199999999999996</v>
      </c>
      <c r="M699" t="e">
        <f t="shared" si="20"/>
        <v>#N/A</v>
      </c>
      <c r="N699" t="e">
        <f t="shared" si="21"/>
        <v>#N/A</v>
      </c>
    </row>
    <row r="700" spans="11:14" x14ac:dyDescent="0.3">
      <c r="K700" t="s">
        <v>806</v>
      </c>
      <c r="L700">
        <v>2.2574000000000001</v>
      </c>
      <c r="M700" t="e">
        <f t="shared" si="20"/>
        <v>#N/A</v>
      </c>
      <c r="N700" t="e">
        <f t="shared" si="21"/>
        <v>#N/A</v>
      </c>
    </row>
    <row r="701" spans="11:14" x14ac:dyDescent="0.3">
      <c r="K701" t="s">
        <v>806</v>
      </c>
      <c r="L701">
        <v>2.2574000000000001</v>
      </c>
      <c r="M701" t="e">
        <f t="shared" si="20"/>
        <v>#N/A</v>
      </c>
      <c r="N701" t="e">
        <f t="shared" si="21"/>
        <v>#N/A</v>
      </c>
    </row>
    <row r="702" spans="11:14" x14ac:dyDescent="0.3">
      <c r="K702" t="s">
        <v>807</v>
      </c>
      <c r="L702">
        <v>2.6111</v>
      </c>
      <c r="M702" t="e">
        <f t="shared" si="20"/>
        <v>#N/A</v>
      </c>
      <c r="N702" t="e">
        <f t="shared" si="21"/>
        <v>#N/A</v>
      </c>
    </row>
    <row r="703" spans="11:14" x14ac:dyDescent="0.3">
      <c r="K703" t="s">
        <v>808</v>
      </c>
      <c r="L703">
        <v>4.0199999999999996</v>
      </c>
      <c r="M703" t="e">
        <f t="shared" si="20"/>
        <v>#N/A</v>
      </c>
      <c r="N703" t="e">
        <f t="shared" si="21"/>
        <v>#N/A</v>
      </c>
    </row>
    <row r="704" spans="11:14" x14ac:dyDescent="0.3">
      <c r="K704" t="s">
        <v>809</v>
      </c>
      <c r="L704">
        <v>4.0199999999999996</v>
      </c>
      <c r="M704" t="e">
        <f t="shared" si="20"/>
        <v>#N/A</v>
      </c>
      <c r="N704" t="e">
        <f t="shared" si="21"/>
        <v>#N/A</v>
      </c>
    </row>
    <row r="705" spans="11:14" x14ac:dyDescent="0.3">
      <c r="K705" t="s">
        <v>810</v>
      </c>
      <c r="L705">
        <v>4.0199999999999996</v>
      </c>
      <c r="M705" t="e">
        <f t="shared" si="20"/>
        <v>#N/A</v>
      </c>
      <c r="N705" t="e">
        <f t="shared" si="21"/>
        <v>#N/A</v>
      </c>
    </row>
    <row r="706" spans="11:14" x14ac:dyDescent="0.3">
      <c r="K706" t="s">
        <v>811</v>
      </c>
      <c r="L706">
        <v>6.11</v>
      </c>
      <c r="M706" t="e">
        <f t="shared" si="20"/>
        <v>#N/A</v>
      </c>
      <c r="N706" t="e">
        <f t="shared" si="21"/>
        <v>#N/A</v>
      </c>
    </row>
    <row r="707" spans="11:14" x14ac:dyDescent="0.3">
      <c r="K707" t="s">
        <v>811</v>
      </c>
      <c r="L707">
        <v>6.11</v>
      </c>
      <c r="M707" t="e">
        <f t="shared" ref="M707:M770" si="22">_xlfn.XLOOKUP(K707,A:A,B:B)</f>
        <v>#N/A</v>
      </c>
      <c r="N707" t="e">
        <f t="shared" ref="N707:N770" si="23">L707-M707</f>
        <v>#N/A</v>
      </c>
    </row>
    <row r="708" spans="11:14" x14ac:dyDescent="0.3">
      <c r="K708" t="s">
        <v>811</v>
      </c>
      <c r="L708">
        <v>6.11</v>
      </c>
      <c r="M708" t="e">
        <f t="shared" si="22"/>
        <v>#N/A</v>
      </c>
      <c r="N708" t="e">
        <f t="shared" si="23"/>
        <v>#N/A</v>
      </c>
    </row>
    <row r="709" spans="11:14" x14ac:dyDescent="0.3">
      <c r="K709" t="s">
        <v>811</v>
      </c>
      <c r="L709">
        <v>6.11</v>
      </c>
      <c r="M709" t="e">
        <f t="shared" si="22"/>
        <v>#N/A</v>
      </c>
      <c r="N709" t="e">
        <f t="shared" si="23"/>
        <v>#N/A</v>
      </c>
    </row>
    <row r="710" spans="11:14" x14ac:dyDescent="0.3">
      <c r="K710" t="s">
        <v>811</v>
      </c>
      <c r="L710">
        <v>6.11</v>
      </c>
      <c r="M710" t="e">
        <f t="shared" si="22"/>
        <v>#N/A</v>
      </c>
      <c r="N710" t="e">
        <f t="shared" si="23"/>
        <v>#N/A</v>
      </c>
    </row>
    <row r="711" spans="11:14" x14ac:dyDescent="0.3">
      <c r="K711" t="s">
        <v>811</v>
      </c>
      <c r="L711">
        <v>6.11</v>
      </c>
      <c r="M711" t="e">
        <f t="shared" si="22"/>
        <v>#N/A</v>
      </c>
      <c r="N711" t="e">
        <f t="shared" si="23"/>
        <v>#N/A</v>
      </c>
    </row>
    <row r="712" spans="11:14" x14ac:dyDescent="0.3">
      <c r="K712" t="s">
        <v>811</v>
      </c>
      <c r="L712">
        <v>6.11</v>
      </c>
      <c r="M712" t="e">
        <f t="shared" si="22"/>
        <v>#N/A</v>
      </c>
      <c r="N712" t="e">
        <f t="shared" si="23"/>
        <v>#N/A</v>
      </c>
    </row>
    <row r="713" spans="11:14" x14ac:dyDescent="0.3">
      <c r="K713" t="s">
        <v>811</v>
      </c>
      <c r="L713">
        <v>6.11</v>
      </c>
      <c r="M713" t="e">
        <f t="shared" si="22"/>
        <v>#N/A</v>
      </c>
      <c r="N713" t="e">
        <f t="shared" si="23"/>
        <v>#N/A</v>
      </c>
    </row>
    <row r="714" spans="11:14" x14ac:dyDescent="0.3">
      <c r="K714" t="s">
        <v>811</v>
      </c>
      <c r="L714">
        <v>6.11</v>
      </c>
      <c r="M714" t="e">
        <f t="shared" si="22"/>
        <v>#N/A</v>
      </c>
      <c r="N714" t="e">
        <f t="shared" si="23"/>
        <v>#N/A</v>
      </c>
    </row>
    <row r="715" spans="11:14" x14ac:dyDescent="0.3">
      <c r="K715" t="s">
        <v>811</v>
      </c>
      <c r="L715">
        <v>6.11</v>
      </c>
      <c r="M715" t="e">
        <f t="shared" si="22"/>
        <v>#N/A</v>
      </c>
      <c r="N715" t="e">
        <f t="shared" si="23"/>
        <v>#N/A</v>
      </c>
    </row>
    <row r="716" spans="11:14" x14ac:dyDescent="0.3">
      <c r="K716" t="s">
        <v>811</v>
      </c>
      <c r="L716">
        <v>6.11</v>
      </c>
      <c r="M716" t="e">
        <f t="shared" si="22"/>
        <v>#N/A</v>
      </c>
      <c r="N716" t="e">
        <f t="shared" si="23"/>
        <v>#N/A</v>
      </c>
    </row>
    <row r="717" spans="11:14" x14ac:dyDescent="0.3">
      <c r="K717" t="s">
        <v>811</v>
      </c>
      <c r="L717">
        <v>6.11</v>
      </c>
      <c r="M717" t="e">
        <f t="shared" si="22"/>
        <v>#N/A</v>
      </c>
      <c r="N717" t="e">
        <f t="shared" si="23"/>
        <v>#N/A</v>
      </c>
    </row>
    <row r="718" spans="11:14" x14ac:dyDescent="0.3">
      <c r="K718" t="s">
        <v>811</v>
      </c>
      <c r="L718">
        <v>6.11</v>
      </c>
      <c r="M718" t="e">
        <f t="shared" si="22"/>
        <v>#N/A</v>
      </c>
      <c r="N718" t="e">
        <f t="shared" si="23"/>
        <v>#N/A</v>
      </c>
    </row>
    <row r="719" spans="11:14" x14ac:dyDescent="0.3">
      <c r="K719" t="s">
        <v>811</v>
      </c>
      <c r="L719">
        <v>6.11</v>
      </c>
      <c r="M719" t="e">
        <f t="shared" si="22"/>
        <v>#N/A</v>
      </c>
      <c r="N719" t="e">
        <f t="shared" si="23"/>
        <v>#N/A</v>
      </c>
    </row>
    <row r="720" spans="11:14" x14ac:dyDescent="0.3">
      <c r="K720" t="s">
        <v>812</v>
      </c>
      <c r="L720">
        <v>4.0199999999999996</v>
      </c>
      <c r="M720" t="e">
        <f t="shared" si="22"/>
        <v>#N/A</v>
      </c>
      <c r="N720" t="e">
        <f t="shared" si="23"/>
        <v>#N/A</v>
      </c>
    </row>
    <row r="721" spans="11:14" x14ac:dyDescent="0.3">
      <c r="K721" t="s">
        <v>813</v>
      </c>
      <c r="L721">
        <v>4.2628000000000004</v>
      </c>
      <c r="M721" t="e">
        <f t="shared" si="22"/>
        <v>#N/A</v>
      </c>
      <c r="N721" t="e">
        <f t="shared" si="23"/>
        <v>#N/A</v>
      </c>
    </row>
    <row r="722" spans="11:14" x14ac:dyDescent="0.3">
      <c r="K722" t="s">
        <v>813</v>
      </c>
      <c r="L722">
        <v>4.2628000000000004</v>
      </c>
      <c r="M722" t="e">
        <f t="shared" si="22"/>
        <v>#N/A</v>
      </c>
      <c r="N722" t="e">
        <f t="shared" si="23"/>
        <v>#N/A</v>
      </c>
    </row>
    <row r="723" spans="11:14" x14ac:dyDescent="0.3">
      <c r="K723" t="s">
        <v>813</v>
      </c>
      <c r="L723">
        <v>4.2628000000000004</v>
      </c>
      <c r="M723" t="e">
        <f t="shared" si="22"/>
        <v>#N/A</v>
      </c>
      <c r="N723" t="e">
        <f t="shared" si="23"/>
        <v>#N/A</v>
      </c>
    </row>
    <row r="724" spans="11:14" x14ac:dyDescent="0.3">
      <c r="K724" t="s">
        <v>814</v>
      </c>
      <c r="L724">
        <v>6.11</v>
      </c>
      <c r="M724" t="e">
        <f t="shared" si="22"/>
        <v>#N/A</v>
      </c>
      <c r="N724" t="e">
        <f t="shared" si="23"/>
        <v>#N/A</v>
      </c>
    </row>
    <row r="725" spans="11:14" x14ac:dyDescent="0.3">
      <c r="K725" t="s">
        <v>815</v>
      </c>
      <c r="L725">
        <v>6.11</v>
      </c>
      <c r="M725" t="e">
        <f t="shared" si="22"/>
        <v>#N/A</v>
      </c>
      <c r="N725" t="e">
        <f t="shared" si="23"/>
        <v>#N/A</v>
      </c>
    </row>
    <row r="726" spans="11:14" x14ac:dyDescent="0.3">
      <c r="K726" t="s">
        <v>816</v>
      </c>
      <c r="L726">
        <v>6.11</v>
      </c>
      <c r="M726" t="e">
        <f t="shared" si="22"/>
        <v>#N/A</v>
      </c>
      <c r="N726" t="e">
        <f t="shared" si="23"/>
        <v>#N/A</v>
      </c>
    </row>
    <row r="727" spans="11:14" x14ac:dyDescent="0.3">
      <c r="K727" t="s">
        <v>816</v>
      </c>
      <c r="L727">
        <v>6.11</v>
      </c>
      <c r="M727" t="e">
        <f t="shared" si="22"/>
        <v>#N/A</v>
      </c>
      <c r="N727" t="e">
        <f t="shared" si="23"/>
        <v>#N/A</v>
      </c>
    </row>
    <row r="728" spans="11:14" x14ac:dyDescent="0.3">
      <c r="K728" t="s">
        <v>816</v>
      </c>
      <c r="L728">
        <v>6.11</v>
      </c>
      <c r="M728" t="e">
        <f t="shared" si="22"/>
        <v>#N/A</v>
      </c>
      <c r="N728" t="e">
        <f t="shared" si="23"/>
        <v>#N/A</v>
      </c>
    </row>
    <row r="729" spans="11:14" x14ac:dyDescent="0.3">
      <c r="K729" t="s">
        <v>816</v>
      </c>
      <c r="L729">
        <v>6.11</v>
      </c>
      <c r="M729" t="e">
        <f t="shared" si="22"/>
        <v>#N/A</v>
      </c>
      <c r="N729" t="e">
        <f t="shared" si="23"/>
        <v>#N/A</v>
      </c>
    </row>
    <row r="730" spans="11:14" x14ac:dyDescent="0.3">
      <c r="K730" t="s">
        <v>816</v>
      </c>
      <c r="L730">
        <v>6.11</v>
      </c>
      <c r="M730" t="e">
        <f t="shared" si="22"/>
        <v>#N/A</v>
      </c>
      <c r="N730" t="e">
        <f t="shared" si="23"/>
        <v>#N/A</v>
      </c>
    </row>
    <row r="731" spans="11:14" x14ac:dyDescent="0.3">
      <c r="K731" t="s">
        <v>816</v>
      </c>
      <c r="L731">
        <v>6.11</v>
      </c>
      <c r="M731" t="e">
        <f t="shared" si="22"/>
        <v>#N/A</v>
      </c>
      <c r="N731" t="e">
        <f t="shared" si="23"/>
        <v>#N/A</v>
      </c>
    </row>
    <row r="732" spans="11:14" x14ac:dyDescent="0.3">
      <c r="K732" t="s">
        <v>816</v>
      </c>
      <c r="L732">
        <v>6.11</v>
      </c>
      <c r="M732" t="e">
        <f t="shared" si="22"/>
        <v>#N/A</v>
      </c>
      <c r="N732" t="e">
        <f t="shared" si="23"/>
        <v>#N/A</v>
      </c>
    </row>
    <row r="733" spans="11:14" x14ac:dyDescent="0.3">
      <c r="K733" t="s">
        <v>816</v>
      </c>
      <c r="L733">
        <v>6.11</v>
      </c>
      <c r="M733" t="e">
        <f t="shared" si="22"/>
        <v>#N/A</v>
      </c>
      <c r="N733" t="e">
        <f t="shared" si="23"/>
        <v>#N/A</v>
      </c>
    </row>
    <row r="734" spans="11:14" x14ac:dyDescent="0.3">
      <c r="K734" t="s">
        <v>816</v>
      </c>
      <c r="L734">
        <v>6.11</v>
      </c>
      <c r="M734" t="e">
        <f t="shared" si="22"/>
        <v>#N/A</v>
      </c>
      <c r="N734" t="e">
        <f t="shared" si="23"/>
        <v>#N/A</v>
      </c>
    </row>
    <row r="735" spans="11:14" x14ac:dyDescent="0.3">
      <c r="K735" t="s">
        <v>816</v>
      </c>
      <c r="L735">
        <v>6.11</v>
      </c>
      <c r="M735" t="e">
        <f t="shared" si="22"/>
        <v>#N/A</v>
      </c>
      <c r="N735" t="e">
        <f t="shared" si="23"/>
        <v>#N/A</v>
      </c>
    </row>
    <row r="736" spans="11:14" x14ac:dyDescent="0.3">
      <c r="K736" t="s">
        <v>816</v>
      </c>
      <c r="L736">
        <v>6.11</v>
      </c>
      <c r="M736" t="e">
        <f t="shared" si="22"/>
        <v>#N/A</v>
      </c>
      <c r="N736" t="e">
        <f t="shared" si="23"/>
        <v>#N/A</v>
      </c>
    </row>
    <row r="737" spans="11:14" x14ac:dyDescent="0.3">
      <c r="K737" t="s">
        <v>816</v>
      </c>
      <c r="L737">
        <v>6.11</v>
      </c>
      <c r="M737" t="e">
        <f t="shared" si="22"/>
        <v>#N/A</v>
      </c>
      <c r="N737" t="e">
        <f t="shared" si="23"/>
        <v>#N/A</v>
      </c>
    </row>
    <row r="738" spans="11:14" x14ac:dyDescent="0.3">
      <c r="K738" t="s">
        <v>816</v>
      </c>
      <c r="L738">
        <v>6.11</v>
      </c>
      <c r="M738" t="e">
        <f t="shared" si="22"/>
        <v>#N/A</v>
      </c>
      <c r="N738" t="e">
        <f t="shared" si="23"/>
        <v>#N/A</v>
      </c>
    </row>
    <row r="739" spans="11:14" x14ac:dyDescent="0.3">
      <c r="K739" t="s">
        <v>816</v>
      </c>
      <c r="L739">
        <v>6.11</v>
      </c>
      <c r="M739" t="e">
        <f t="shared" si="22"/>
        <v>#N/A</v>
      </c>
      <c r="N739" t="e">
        <f t="shared" si="23"/>
        <v>#N/A</v>
      </c>
    </row>
    <row r="740" spans="11:14" x14ac:dyDescent="0.3">
      <c r="K740" t="s">
        <v>817</v>
      </c>
      <c r="L740">
        <v>6.11</v>
      </c>
      <c r="M740" t="e">
        <f t="shared" si="22"/>
        <v>#N/A</v>
      </c>
      <c r="N740" t="e">
        <f t="shared" si="23"/>
        <v>#N/A</v>
      </c>
    </row>
    <row r="741" spans="11:14" x14ac:dyDescent="0.3">
      <c r="K741" t="s">
        <v>818</v>
      </c>
      <c r="L741">
        <v>4.2628000000000004</v>
      </c>
      <c r="M741" t="e">
        <f t="shared" si="22"/>
        <v>#N/A</v>
      </c>
      <c r="N741" t="e">
        <f t="shared" si="23"/>
        <v>#N/A</v>
      </c>
    </row>
    <row r="742" spans="11:14" x14ac:dyDescent="0.3">
      <c r="K742" t="s">
        <v>818</v>
      </c>
      <c r="L742">
        <v>4.2628000000000004</v>
      </c>
      <c r="M742" t="e">
        <f t="shared" si="22"/>
        <v>#N/A</v>
      </c>
      <c r="N742" t="e">
        <f t="shared" si="23"/>
        <v>#N/A</v>
      </c>
    </row>
    <row r="743" spans="11:14" x14ac:dyDescent="0.3">
      <c r="K743" t="s">
        <v>819</v>
      </c>
      <c r="L743">
        <v>5.1471</v>
      </c>
      <c r="M743" t="e">
        <f t="shared" si="22"/>
        <v>#N/A</v>
      </c>
      <c r="N743" t="e">
        <f t="shared" si="23"/>
        <v>#N/A</v>
      </c>
    </row>
    <row r="744" spans="11:14" x14ac:dyDescent="0.3">
      <c r="K744" t="s">
        <v>820</v>
      </c>
      <c r="L744">
        <v>6.11</v>
      </c>
      <c r="M744" t="e">
        <f t="shared" si="22"/>
        <v>#N/A</v>
      </c>
      <c r="N744" t="e">
        <f t="shared" si="23"/>
        <v>#N/A</v>
      </c>
    </row>
    <row r="745" spans="11:14" x14ac:dyDescent="0.3">
      <c r="K745" t="s">
        <v>821</v>
      </c>
      <c r="L745">
        <v>6.11</v>
      </c>
      <c r="M745" t="e">
        <f t="shared" si="22"/>
        <v>#N/A</v>
      </c>
      <c r="N745" t="e">
        <f t="shared" si="23"/>
        <v>#N/A</v>
      </c>
    </row>
    <row r="746" spans="11:14" x14ac:dyDescent="0.3">
      <c r="K746" t="s">
        <v>822</v>
      </c>
      <c r="L746">
        <v>18.0549</v>
      </c>
      <c r="M746" t="e">
        <f t="shared" si="22"/>
        <v>#N/A</v>
      </c>
      <c r="N746" t="e">
        <f t="shared" si="23"/>
        <v>#N/A</v>
      </c>
    </row>
    <row r="747" spans="11:14" x14ac:dyDescent="0.3">
      <c r="K747" t="s">
        <v>822</v>
      </c>
      <c r="L747">
        <v>18.0549</v>
      </c>
      <c r="M747" t="e">
        <f t="shared" si="22"/>
        <v>#N/A</v>
      </c>
      <c r="N747" t="e">
        <f t="shared" si="23"/>
        <v>#N/A</v>
      </c>
    </row>
    <row r="748" spans="11:14" x14ac:dyDescent="0.3">
      <c r="K748" t="s">
        <v>822</v>
      </c>
      <c r="L748">
        <v>18.0549</v>
      </c>
      <c r="M748" t="e">
        <f t="shared" si="22"/>
        <v>#N/A</v>
      </c>
      <c r="N748" t="e">
        <f t="shared" si="23"/>
        <v>#N/A</v>
      </c>
    </row>
    <row r="749" spans="11:14" x14ac:dyDescent="0.3">
      <c r="K749" t="s">
        <v>822</v>
      </c>
      <c r="L749">
        <v>18.0549</v>
      </c>
      <c r="M749" t="e">
        <f t="shared" si="22"/>
        <v>#N/A</v>
      </c>
      <c r="N749" t="e">
        <f t="shared" si="23"/>
        <v>#N/A</v>
      </c>
    </row>
    <row r="750" spans="11:14" x14ac:dyDescent="0.3">
      <c r="K750" t="s">
        <v>822</v>
      </c>
      <c r="L750">
        <v>18.0549</v>
      </c>
      <c r="M750" t="e">
        <f t="shared" si="22"/>
        <v>#N/A</v>
      </c>
      <c r="N750" t="e">
        <f t="shared" si="23"/>
        <v>#N/A</v>
      </c>
    </row>
    <row r="751" spans="11:14" x14ac:dyDescent="0.3">
      <c r="K751" t="s">
        <v>822</v>
      </c>
      <c r="L751">
        <v>18.0549</v>
      </c>
      <c r="M751" t="e">
        <f t="shared" si="22"/>
        <v>#N/A</v>
      </c>
      <c r="N751" t="e">
        <f t="shared" si="23"/>
        <v>#N/A</v>
      </c>
    </row>
    <row r="752" spans="11:14" x14ac:dyDescent="0.3">
      <c r="K752" t="s">
        <v>822</v>
      </c>
      <c r="L752">
        <v>18.0549</v>
      </c>
      <c r="M752" t="e">
        <f t="shared" si="22"/>
        <v>#N/A</v>
      </c>
      <c r="N752" t="e">
        <f t="shared" si="23"/>
        <v>#N/A</v>
      </c>
    </row>
    <row r="753" spans="11:14" x14ac:dyDescent="0.3">
      <c r="K753" t="s">
        <v>822</v>
      </c>
      <c r="L753">
        <v>18.0549</v>
      </c>
      <c r="M753" t="e">
        <f t="shared" si="22"/>
        <v>#N/A</v>
      </c>
      <c r="N753" t="e">
        <f t="shared" si="23"/>
        <v>#N/A</v>
      </c>
    </row>
    <row r="754" spans="11:14" x14ac:dyDescent="0.3">
      <c r="K754" t="s">
        <v>822</v>
      </c>
      <c r="L754">
        <v>18.0549</v>
      </c>
      <c r="M754" t="e">
        <f t="shared" si="22"/>
        <v>#N/A</v>
      </c>
      <c r="N754" t="e">
        <f t="shared" si="23"/>
        <v>#N/A</v>
      </c>
    </row>
    <row r="755" spans="11:14" x14ac:dyDescent="0.3">
      <c r="K755" t="s">
        <v>822</v>
      </c>
      <c r="L755">
        <v>18.0549</v>
      </c>
      <c r="M755" t="e">
        <f t="shared" si="22"/>
        <v>#N/A</v>
      </c>
      <c r="N755" t="e">
        <f t="shared" si="23"/>
        <v>#N/A</v>
      </c>
    </row>
    <row r="756" spans="11:14" x14ac:dyDescent="0.3">
      <c r="K756" t="s">
        <v>822</v>
      </c>
      <c r="L756">
        <v>18.0549</v>
      </c>
      <c r="M756" t="e">
        <f t="shared" si="22"/>
        <v>#N/A</v>
      </c>
      <c r="N756" t="e">
        <f t="shared" si="23"/>
        <v>#N/A</v>
      </c>
    </row>
    <row r="757" spans="11:14" x14ac:dyDescent="0.3">
      <c r="K757" t="s">
        <v>822</v>
      </c>
      <c r="L757">
        <v>18.0549</v>
      </c>
      <c r="M757" t="e">
        <f t="shared" si="22"/>
        <v>#N/A</v>
      </c>
      <c r="N757" t="e">
        <f t="shared" si="23"/>
        <v>#N/A</v>
      </c>
    </row>
    <row r="758" spans="11:14" x14ac:dyDescent="0.3">
      <c r="K758" t="s">
        <v>823</v>
      </c>
      <c r="L758">
        <v>18.917899999999999</v>
      </c>
      <c r="M758" t="e">
        <f t="shared" si="22"/>
        <v>#N/A</v>
      </c>
      <c r="N758" t="e">
        <f t="shared" si="23"/>
        <v>#N/A</v>
      </c>
    </row>
    <row r="759" spans="11:14" x14ac:dyDescent="0.3">
      <c r="K759" t="s">
        <v>823</v>
      </c>
      <c r="L759">
        <v>18.917899999999999</v>
      </c>
      <c r="M759" t="e">
        <f t="shared" si="22"/>
        <v>#N/A</v>
      </c>
      <c r="N759" t="e">
        <f t="shared" si="23"/>
        <v>#N/A</v>
      </c>
    </row>
    <row r="760" spans="11:14" x14ac:dyDescent="0.3">
      <c r="K760" t="s">
        <v>823</v>
      </c>
      <c r="L760">
        <v>18.917899999999999</v>
      </c>
      <c r="M760" t="e">
        <f t="shared" si="22"/>
        <v>#N/A</v>
      </c>
      <c r="N760" t="e">
        <f t="shared" si="23"/>
        <v>#N/A</v>
      </c>
    </row>
    <row r="761" spans="11:14" x14ac:dyDescent="0.3">
      <c r="K761" t="s">
        <v>824</v>
      </c>
      <c r="L761">
        <v>11.2121</v>
      </c>
      <c r="M761" t="e">
        <f t="shared" si="22"/>
        <v>#N/A</v>
      </c>
      <c r="N761" t="e">
        <f t="shared" si="23"/>
        <v>#N/A</v>
      </c>
    </row>
    <row r="762" spans="11:14" x14ac:dyDescent="0.3">
      <c r="K762" t="s">
        <v>825</v>
      </c>
      <c r="L762">
        <v>11.2121</v>
      </c>
      <c r="M762" t="e">
        <f t="shared" si="22"/>
        <v>#N/A</v>
      </c>
      <c r="N762" t="e">
        <f t="shared" si="23"/>
        <v>#N/A</v>
      </c>
    </row>
    <row r="763" spans="11:14" x14ac:dyDescent="0.3">
      <c r="K763" t="s">
        <v>826</v>
      </c>
      <c r="L763">
        <v>17.893899999999999</v>
      </c>
      <c r="M763" t="e">
        <f t="shared" si="22"/>
        <v>#N/A</v>
      </c>
      <c r="N763" t="e">
        <f t="shared" si="23"/>
        <v>#N/A</v>
      </c>
    </row>
    <row r="764" spans="11:14" x14ac:dyDescent="0.3">
      <c r="K764" t="s">
        <v>826</v>
      </c>
      <c r="L764">
        <v>17.893899999999999</v>
      </c>
      <c r="M764" t="e">
        <f t="shared" si="22"/>
        <v>#N/A</v>
      </c>
      <c r="N764" t="e">
        <f t="shared" si="23"/>
        <v>#N/A</v>
      </c>
    </row>
    <row r="765" spans="11:14" x14ac:dyDescent="0.3">
      <c r="K765" t="s">
        <v>826</v>
      </c>
      <c r="L765">
        <v>17.893899999999999</v>
      </c>
      <c r="M765" t="e">
        <f t="shared" si="22"/>
        <v>#N/A</v>
      </c>
      <c r="N765" t="e">
        <f t="shared" si="23"/>
        <v>#N/A</v>
      </c>
    </row>
    <row r="766" spans="11:14" x14ac:dyDescent="0.3">
      <c r="K766" t="s">
        <v>826</v>
      </c>
      <c r="L766">
        <v>17.893899999999999</v>
      </c>
      <c r="M766" t="e">
        <f t="shared" si="22"/>
        <v>#N/A</v>
      </c>
      <c r="N766" t="e">
        <f t="shared" si="23"/>
        <v>#N/A</v>
      </c>
    </row>
    <row r="767" spans="11:14" x14ac:dyDescent="0.3">
      <c r="K767" t="s">
        <v>826</v>
      </c>
      <c r="L767">
        <v>17.893899999999999</v>
      </c>
      <c r="M767" t="e">
        <f t="shared" si="22"/>
        <v>#N/A</v>
      </c>
      <c r="N767" t="e">
        <f t="shared" si="23"/>
        <v>#N/A</v>
      </c>
    </row>
    <row r="768" spans="11:14" x14ac:dyDescent="0.3">
      <c r="K768" t="s">
        <v>826</v>
      </c>
      <c r="L768">
        <v>17.893899999999999</v>
      </c>
      <c r="M768" t="e">
        <f t="shared" si="22"/>
        <v>#N/A</v>
      </c>
      <c r="N768" t="e">
        <f t="shared" si="23"/>
        <v>#N/A</v>
      </c>
    </row>
    <row r="769" spans="11:14" x14ac:dyDescent="0.3">
      <c r="K769" t="s">
        <v>826</v>
      </c>
      <c r="L769">
        <v>17.893899999999999</v>
      </c>
      <c r="M769" t="e">
        <f t="shared" si="22"/>
        <v>#N/A</v>
      </c>
      <c r="N769" t="e">
        <f t="shared" si="23"/>
        <v>#N/A</v>
      </c>
    </row>
    <row r="770" spans="11:14" x14ac:dyDescent="0.3">
      <c r="K770" t="s">
        <v>827</v>
      </c>
      <c r="L770">
        <v>9.1353000000000009</v>
      </c>
      <c r="M770" t="e">
        <f t="shared" si="22"/>
        <v>#N/A</v>
      </c>
      <c r="N770" t="e">
        <f t="shared" si="23"/>
        <v>#N/A</v>
      </c>
    </row>
    <row r="771" spans="11:14" x14ac:dyDescent="0.3">
      <c r="K771" t="s">
        <v>828</v>
      </c>
      <c r="L771">
        <v>11.0524</v>
      </c>
      <c r="M771" t="e">
        <f t="shared" ref="M771:M834" si="24">_xlfn.XLOOKUP(K771,A:A,B:B)</f>
        <v>#N/A</v>
      </c>
      <c r="N771" t="e">
        <f t="shared" ref="N771:N834" si="25">L771-M771</f>
        <v>#N/A</v>
      </c>
    </row>
    <row r="772" spans="11:14" x14ac:dyDescent="0.3">
      <c r="K772" t="s">
        <v>829</v>
      </c>
      <c r="L772">
        <v>13.0807</v>
      </c>
      <c r="M772" t="e">
        <f t="shared" si="24"/>
        <v>#N/A</v>
      </c>
      <c r="N772" t="e">
        <f t="shared" si="25"/>
        <v>#N/A</v>
      </c>
    </row>
    <row r="773" spans="11:14" x14ac:dyDescent="0.3">
      <c r="K773" t="s">
        <v>830</v>
      </c>
      <c r="L773">
        <v>4.0199999999999996</v>
      </c>
      <c r="M773" t="e">
        <f t="shared" si="24"/>
        <v>#N/A</v>
      </c>
      <c r="N773" t="e">
        <f t="shared" si="25"/>
        <v>#N/A</v>
      </c>
    </row>
    <row r="774" spans="11:14" x14ac:dyDescent="0.3">
      <c r="K774" t="s">
        <v>830</v>
      </c>
      <c r="L774">
        <v>4.0199999999999996</v>
      </c>
      <c r="M774" t="e">
        <f t="shared" si="24"/>
        <v>#N/A</v>
      </c>
      <c r="N774" t="e">
        <f t="shared" si="25"/>
        <v>#N/A</v>
      </c>
    </row>
    <row r="775" spans="11:14" x14ac:dyDescent="0.3">
      <c r="K775" t="s">
        <v>831</v>
      </c>
      <c r="L775">
        <v>17.773700000000002</v>
      </c>
      <c r="M775" t="e">
        <f t="shared" si="24"/>
        <v>#N/A</v>
      </c>
      <c r="N775" t="e">
        <f t="shared" si="25"/>
        <v>#N/A</v>
      </c>
    </row>
    <row r="776" spans="11:14" x14ac:dyDescent="0.3">
      <c r="K776" t="s">
        <v>832</v>
      </c>
      <c r="L776">
        <v>10.933</v>
      </c>
      <c r="M776" t="e">
        <f t="shared" si="24"/>
        <v>#N/A</v>
      </c>
      <c r="N776" t="e">
        <f t="shared" si="25"/>
        <v>#N/A</v>
      </c>
    </row>
    <row r="777" spans="11:14" x14ac:dyDescent="0.3">
      <c r="K777" t="s">
        <v>833</v>
      </c>
      <c r="L777">
        <v>18.587499999999999</v>
      </c>
      <c r="M777" t="e">
        <f t="shared" si="24"/>
        <v>#N/A</v>
      </c>
      <c r="N777" t="e">
        <f t="shared" si="25"/>
        <v>#N/A</v>
      </c>
    </row>
    <row r="778" spans="11:14" x14ac:dyDescent="0.3">
      <c r="K778" t="s">
        <v>834</v>
      </c>
      <c r="L778">
        <v>10.8841</v>
      </c>
      <c r="M778" t="e">
        <f t="shared" si="24"/>
        <v>#N/A</v>
      </c>
      <c r="N778" t="e">
        <f t="shared" si="25"/>
        <v>#N/A</v>
      </c>
    </row>
    <row r="779" spans="11:14" x14ac:dyDescent="0.3">
      <c r="K779" t="s">
        <v>835</v>
      </c>
      <c r="L779">
        <v>18.564699999999998</v>
      </c>
      <c r="M779" t="e">
        <f t="shared" si="24"/>
        <v>#N/A</v>
      </c>
      <c r="N779" t="e">
        <f t="shared" si="25"/>
        <v>#N/A</v>
      </c>
    </row>
    <row r="780" spans="11:14" x14ac:dyDescent="0.3">
      <c r="K780" t="s">
        <v>836</v>
      </c>
      <c r="L780">
        <v>18.426600000000001</v>
      </c>
      <c r="M780" t="e">
        <f t="shared" si="24"/>
        <v>#N/A</v>
      </c>
      <c r="N780" t="e">
        <f t="shared" si="25"/>
        <v>#N/A</v>
      </c>
    </row>
    <row r="781" spans="11:14" x14ac:dyDescent="0.3">
      <c r="K781" t="s">
        <v>837</v>
      </c>
      <c r="L781">
        <v>22.086200000000002</v>
      </c>
      <c r="M781" t="e">
        <f t="shared" si="24"/>
        <v>#N/A</v>
      </c>
      <c r="N781" t="e">
        <f t="shared" si="25"/>
        <v>#N/A</v>
      </c>
    </row>
    <row r="782" spans="11:14" x14ac:dyDescent="0.3">
      <c r="K782" t="s">
        <v>838</v>
      </c>
      <c r="L782">
        <v>4.0199999999999996</v>
      </c>
      <c r="M782" t="e">
        <f t="shared" si="24"/>
        <v>#N/A</v>
      </c>
      <c r="N782" t="e">
        <f t="shared" si="25"/>
        <v>#N/A</v>
      </c>
    </row>
    <row r="783" spans="11:14" x14ac:dyDescent="0.3">
      <c r="K783" t="s">
        <v>838</v>
      </c>
      <c r="L783">
        <v>4.0199999999999996</v>
      </c>
      <c r="M783" t="e">
        <f t="shared" si="24"/>
        <v>#N/A</v>
      </c>
      <c r="N783" t="e">
        <f t="shared" si="25"/>
        <v>#N/A</v>
      </c>
    </row>
    <row r="784" spans="11:14" x14ac:dyDescent="0.3">
      <c r="K784" t="s">
        <v>838</v>
      </c>
      <c r="L784">
        <v>4.0199999999999996</v>
      </c>
      <c r="M784" t="e">
        <f t="shared" si="24"/>
        <v>#N/A</v>
      </c>
      <c r="N784" t="e">
        <f t="shared" si="25"/>
        <v>#N/A</v>
      </c>
    </row>
    <row r="785" spans="11:14" x14ac:dyDescent="0.3">
      <c r="K785" t="s">
        <v>838</v>
      </c>
      <c r="L785">
        <v>4.0199999999999996</v>
      </c>
      <c r="M785" t="e">
        <f t="shared" si="24"/>
        <v>#N/A</v>
      </c>
      <c r="N785" t="e">
        <f t="shared" si="25"/>
        <v>#N/A</v>
      </c>
    </row>
    <row r="786" spans="11:14" x14ac:dyDescent="0.3">
      <c r="K786" t="s">
        <v>838</v>
      </c>
      <c r="L786">
        <v>4.0199999999999996</v>
      </c>
      <c r="M786" t="e">
        <f t="shared" si="24"/>
        <v>#N/A</v>
      </c>
      <c r="N786" t="e">
        <f t="shared" si="25"/>
        <v>#N/A</v>
      </c>
    </row>
    <row r="787" spans="11:14" x14ac:dyDescent="0.3">
      <c r="K787" t="s">
        <v>838</v>
      </c>
      <c r="L787">
        <v>4.0199999999999996</v>
      </c>
      <c r="M787" t="e">
        <f t="shared" si="24"/>
        <v>#N/A</v>
      </c>
      <c r="N787" t="e">
        <f t="shared" si="25"/>
        <v>#N/A</v>
      </c>
    </row>
    <row r="788" spans="11:14" x14ac:dyDescent="0.3">
      <c r="K788" t="s">
        <v>839</v>
      </c>
      <c r="L788">
        <v>2.2574000000000001</v>
      </c>
      <c r="M788" t="e">
        <f t="shared" si="24"/>
        <v>#N/A</v>
      </c>
      <c r="N788" t="e">
        <f t="shared" si="25"/>
        <v>#N/A</v>
      </c>
    </row>
    <row r="789" spans="11:14" x14ac:dyDescent="0.3">
      <c r="K789" t="s">
        <v>840</v>
      </c>
      <c r="L789">
        <v>21.632300000000001</v>
      </c>
      <c r="M789" t="e">
        <f t="shared" si="24"/>
        <v>#N/A</v>
      </c>
      <c r="N789" t="e">
        <f t="shared" si="25"/>
        <v>#N/A</v>
      </c>
    </row>
    <row r="790" spans="11:14" x14ac:dyDescent="0.3">
      <c r="K790" t="s">
        <v>841</v>
      </c>
      <c r="L790">
        <v>177.24090000000001</v>
      </c>
      <c r="M790" t="e">
        <f t="shared" si="24"/>
        <v>#N/A</v>
      </c>
      <c r="N790" t="e">
        <f t="shared" si="25"/>
        <v>#N/A</v>
      </c>
    </row>
    <row r="791" spans="11:14" x14ac:dyDescent="0.3">
      <c r="K791" t="s">
        <v>842</v>
      </c>
      <c r="L791">
        <v>4.0199999999999996</v>
      </c>
      <c r="M791" t="e">
        <f t="shared" si="24"/>
        <v>#N/A</v>
      </c>
      <c r="N791" t="e">
        <f t="shared" si="25"/>
        <v>#N/A</v>
      </c>
    </row>
    <row r="792" spans="11:14" x14ac:dyDescent="0.3">
      <c r="K792" t="s">
        <v>842</v>
      </c>
      <c r="L792">
        <v>4.0199999999999996</v>
      </c>
      <c r="M792" t="e">
        <f t="shared" si="24"/>
        <v>#N/A</v>
      </c>
      <c r="N792" t="e">
        <f t="shared" si="25"/>
        <v>#N/A</v>
      </c>
    </row>
    <row r="793" spans="11:14" x14ac:dyDescent="0.3">
      <c r="K793" t="s">
        <v>842</v>
      </c>
      <c r="L793">
        <v>4.0199999999999996</v>
      </c>
      <c r="M793" t="e">
        <f t="shared" si="24"/>
        <v>#N/A</v>
      </c>
      <c r="N793" t="e">
        <f t="shared" si="25"/>
        <v>#N/A</v>
      </c>
    </row>
    <row r="794" spans="11:14" x14ac:dyDescent="0.3">
      <c r="K794" t="s">
        <v>843</v>
      </c>
      <c r="L794">
        <v>4.0199999999999996</v>
      </c>
      <c r="M794" t="e">
        <f t="shared" si="24"/>
        <v>#N/A</v>
      </c>
      <c r="N794" t="e">
        <f t="shared" si="25"/>
        <v>#N/A</v>
      </c>
    </row>
    <row r="795" spans="11:14" x14ac:dyDescent="0.3">
      <c r="K795" t="s">
        <v>844</v>
      </c>
      <c r="L795">
        <v>6.11</v>
      </c>
      <c r="M795" t="e">
        <f t="shared" si="24"/>
        <v>#N/A</v>
      </c>
      <c r="N795" t="e">
        <f t="shared" si="25"/>
        <v>#N/A</v>
      </c>
    </row>
    <row r="796" spans="11:14" x14ac:dyDescent="0.3">
      <c r="K796" t="s">
        <v>844</v>
      </c>
      <c r="L796">
        <v>6.11</v>
      </c>
      <c r="M796" t="e">
        <f t="shared" si="24"/>
        <v>#N/A</v>
      </c>
      <c r="N796" t="e">
        <f t="shared" si="25"/>
        <v>#N/A</v>
      </c>
    </row>
    <row r="797" spans="11:14" x14ac:dyDescent="0.3">
      <c r="K797" t="s">
        <v>844</v>
      </c>
      <c r="L797">
        <v>6.11</v>
      </c>
      <c r="M797" t="e">
        <f t="shared" si="24"/>
        <v>#N/A</v>
      </c>
      <c r="N797" t="e">
        <f t="shared" si="25"/>
        <v>#N/A</v>
      </c>
    </row>
    <row r="798" spans="11:14" x14ac:dyDescent="0.3">
      <c r="K798" t="s">
        <v>844</v>
      </c>
      <c r="L798">
        <v>6.11</v>
      </c>
      <c r="M798" t="e">
        <f t="shared" si="24"/>
        <v>#N/A</v>
      </c>
      <c r="N798" t="e">
        <f t="shared" si="25"/>
        <v>#N/A</v>
      </c>
    </row>
    <row r="799" spans="11:14" x14ac:dyDescent="0.3">
      <c r="K799" t="s">
        <v>844</v>
      </c>
      <c r="L799">
        <v>6.11</v>
      </c>
      <c r="M799" t="e">
        <f t="shared" si="24"/>
        <v>#N/A</v>
      </c>
      <c r="N799" t="e">
        <f t="shared" si="25"/>
        <v>#N/A</v>
      </c>
    </row>
    <row r="800" spans="11:14" x14ac:dyDescent="0.3">
      <c r="K800" t="s">
        <v>844</v>
      </c>
      <c r="L800">
        <v>6.11</v>
      </c>
      <c r="M800" t="e">
        <f t="shared" si="24"/>
        <v>#N/A</v>
      </c>
      <c r="N800" t="e">
        <f t="shared" si="25"/>
        <v>#N/A</v>
      </c>
    </row>
    <row r="801" spans="11:14" x14ac:dyDescent="0.3">
      <c r="K801" t="s">
        <v>845</v>
      </c>
      <c r="L801">
        <v>6.11</v>
      </c>
      <c r="M801" t="e">
        <f t="shared" si="24"/>
        <v>#N/A</v>
      </c>
      <c r="N801" t="e">
        <f t="shared" si="25"/>
        <v>#N/A</v>
      </c>
    </row>
    <row r="802" spans="11:14" x14ac:dyDescent="0.3">
      <c r="K802" t="s">
        <v>845</v>
      </c>
      <c r="L802">
        <v>6.11</v>
      </c>
      <c r="M802" t="e">
        <f t="shared" si="24"/>
        <v>#N/A</v>
      </c>
      <c r="N802" t="e">
        <f t="shared" si="25"/>
        <v>#N/A</v>
      </c>
    </row>
    <row r="803" spans="11:14" x14ac:dyDescent="0.3">
      <c r="K803" t="s">
        <v>845</v>
      </c>
      <c r="L803">
        <v>6.11</v>
      </c>
      <c r="M803" t="e">
        <f t="shared" si="24"/>
        <v>#N/A</v>
      </c>
      <c r="N803" t="e">
        <f t="shared" si="25"/>
        <v>#N/A</v>
      </c>
    </row>
    <row r="804" spans="11:14" x14ac:dyDescent="0.3">
      <c r="K804" t="s">
        <v>845</v>
      </c>
      <c r="L804">
        <v>6.11</v>
      </c>
      <c r="M804" t="e">
        <f t="shared" si="24"/>
        <v>#N/A</v>
      </c>
      <c r="N804" t="e">
        <f t="shared" si="25"/>
        <v>#N/A</v>
      </c>
    </row>
    <row r="805" spans="11:14" x14ac:dyDescent="0.3">
      <c r="K805" t="s">
        <v>845</v>
      </c>
      <c r="L805">
        <v>6.11</v>
      </c>
      <c r="M805" t="e">
        <f t="shared" si="24"/>
        <v>#N/A</v>
      </c>
      <c r="N805" t="e">
        <f t="shared" si="25"/>
        <v>#N/A</v>
      </c>
    </row>
    <row r="806" spans="11:14" x14ac:dyDescent="0.3">
      <c r="K806" t="s">
        <v>845</v>
      </c>
      <c r="L806">
        <v>6.11</v>
      </c>
      <c r="M806" t="e">
        <f t="shared" si="24"/>
        <v>#N/A</v>
      </c>
      <c r="N806" t="e">
        <f t="shared" si="25"/>
        <v>#N/A</v>
      </c>
    </row>
    <row r="807" spans="11:14" x14ac:dyDescent="0.3">
      <c r="K807" t="s">
        <v>846</v>
      </c>
      <c r="L807">
        <v>18.019500000000001</v>
      </c>
      <c r="M807" t="e">
        <f t="shared" si="24"/>
        <v>#N/A</v>
      </c>
      <c r="N807" t="e">
        <f t="shared" si="25"/>
        <v>#N/A</v>
      </c>
    </row>
    <row r="808" spans="11:14" x14ac:dyDescent="0.3">
      <c r="K808" t="s">
        <v>846</v>
      </c>
      <c r="L808">
        <v>18.019500000000001</v>
      </c>
      <c r="M808" t="e">
        <f t="shared" si="24"/>
        <v>#N/A</v>
      </c>
      <c r="N808" t="e">
        <f t="shared" si="25"/>
        <v>#N/A</v>
      </c>
    </row>
    <row r="809" spans="11:14" x14ac:dyDescent="0.3">
      <c r="K809" t="s">
        <v>846</v>
      </c>
      <c r="L809">
        <v>18.019500000000001</v>
      </c>
      <c r="M809" t="e">
        <f t="shared" si="24"/>
        <v>#N/A</v>
      </c>
      <c r="N809" t="e">
        <f t="shared" si="25"/>
        <v>#N/A</v>
      </c>
    </row>
    <row r="810" spans="11:14" x14ac:dyDescent="0.3">
      <c r="K810" t="s">
        <v>846</v>
      </c>
      <c r="L810">
        <v>18.019500000000001</v>
      </c>
      <c r="M810" t="e">
        <f t="shared" si="24"/>
        <v>#N/A</v>
      </c>
      <c r="N810" t="e">
        <f t="shared" si="25"/>
        <v>#N/A</v>
      </c>
    </row>
    <row r="811" spans="11:14" x14ac:dyDescent="0.3">
      <c r="K811" t="s">
        <v>846</v>
      </c>
      <c r="L811">
        <v>18.019500000000001</v>
      </c>
      <c r="M811" t="e">
        <f t="shared" si="24"/>
        <v>#N/A</v>
      </c>
      <c r="N811" t="e">
        <f t="shared" si="25"/>
        <v>#N/A</v>
      </c>
    </row>
    <row r="812" spans="11:14" x14ac:dyDescent="0.3">
      <c r="K812" t="s">
        <v>846</v>
      </c>
      <c r="L812">
        <v>18.019500000000001</v>
      </c>
      <c r="M812" t="e">
        <f t="shared" si="24"/>
        <v>#N/A</v>
      </c>
      <c r="N812" t="e">
        <f t="shared" si="25"/>
        <v>#N/A</v>
      </c>
    </row>
    <row r="813" spans="11:14" x14ac:dyDescent="0.3">
      <c r="K813" t="s">
        <v>847</v>
      </c>
      <c r="L813">
        <v>9.2596000000000007</v>
      </c>
      <c r="M813" t="e">
        <f t="shared" si="24"/>
        <v>#N/A</v>
      </c>
      <c r="N813" t="e">
        <f t="shared" si="25"/>
        <v>#N/A</v>
      </c>
    </row>
    <row r="814" spans="11:14" x14ac:dyDescent="0.3">
      <c r="K814" t="s">
        <v>848</v>
      </c>
      <c r="L814">
        <v>11.1767</v>
      </c>
      <c r="M814" t="e">
        <f t="shared" si="24"/>
        <v>#N/A</v>
      </c>
      <c r="N814" t="e">
        <f t="shared" si="25"/>
        <v>#N/A</v>
      </c>
    </row>
    <row r="815" spans="11:14" x14ac:dyDescent="0.3">
      <c r="K815" t="s">
        <v>849</v>
      </c>
      <c r="L815">
        <v>11.1767</v>
      </c>
      <c r="M815" t="e">
        <f t="shared" si="24"/>
        <v>#N/A</v>
      </c>
      <c r="N815" t="e">
        <f t="shared" si="25"/>
        <v>#N/A</v>
      </c>
    </row>
    <row r="816" spans="11:14" x14ac:dyDescent="0.3">
      <c r="K816" t="s">
        <v>850</v>
      </c>
      <c r="L816">
        <v>17.858499999999999</v>
      </c>
      <c r="M816" t="e">
        <f t="shared" si="24"/>
        <v>#N/A</v>
      </c>
      <c r="N816" t="e">
        <f t="shared" si="25"/>
        <v>#N/A</v>
      </c>
    </row>
    <row r="817" spans="11:14" x14ac:dyDescent="0.3">
      <c r="K817" t="s">
        <v>850</v>
      </c>
      <c r="L817">
        <v>17.858499999999999</v>
      </c>
      <c r="M817" t="e">
        <f t="shared" si="24"/>
        <v>#N/A</v>
      </c>
      <c r="N817" t="e">
        <f t="shared" si="25"/>
        <v>#N/A</v>
      </c>
    </row>
    <row r="818" spans="11:14" x14ac:dyDescent="0.3">
      <c r="K818" t="s">
        <v>850</v>
      </c>
      <c r="L818">
        <v>17.858499999999999</v>
      </c>
      <c r="M818" t="e">
        <f t="shared" si="24"/>
        <v>#N/A</v>
      </c>
      <c r="N818" t="e">
        <f t="shared" si="25"/>
        <v>#N/A</v>
      </c>
    </row>
    <row r="819" spans="11:14" x14ac:dyDescent="0.3">
      <c r="K819" t="s">
        <v>850</v>
      </c>
      <c r="L819">
        <v>17.858499999999999</v>
      </c>
      <c r="M819" t="e">
        <f t="shared" si="24"/>
        <v>#N/A</v>
      </c>
      <c r="N819" t="e">
        <f t="shared" si="25"/>
        <v>#N/A</v>
      </c>
    </row>
    <row r="820" spans="11:14" x14ac:dyDescent="0.3">
      <c r="K820" t="s">
        <v>850</v>
      </c>
      <c r="L820">
        <v>17.858499999999999</v>
      </c>
      <c r="M820" t="e">
        <f t="shared" si="24"/>
        <v>#N/A</v>
      </c>
      <c r="N820" t="e">
        <f t="shared" si="25"/>
        <v>#N/A</v>
      </c>
    </row>
    <row r="821" spans="11:14" x14ac:dyDescent="0.3">
      <c r="K821" t="s">
        <v>851</v>
      </c>
      <c r="L821">
        <v>11.016999999999999</v>
      </c>
      <c r="M821" t="e">
        <f t="shared" si="24"/>
        <v>#N/A</v>
      </c>
      <c r="N821" t="e">
        <f t="shared" si="25"/>
        <v>#N/A</v>
      </c>
    </row>
    <row r="822" spans="11:14" x14ac:dyDescent="0.3">
      <c r="K822" t="s">
        <v>852</v>
      </c>
      <c r="L822">
        <v>11.016999999999999</v>
      </c>
      <c r="M822" t="e">
        <f t="shared" si="24"/>
        <v>#N/A</v>
      </c>
      <c r="N822" t="e">
        <f t="shared" si="25"/>
        <v>#N/A</v>
      </c>
    </row>
    <row r="823" spans="11:14" x14ac:dyDescent="0.3">
      <c r="K823" t="s">
        <v>853</v>
      </c>
      <c r="L823">
        <v>4.4486999999999997</v>
      </c>
      <c r="M823" t="e">
        <f t="shared" si="24"/>
        <v>#N/A</v>
      </c>
      <c r="N823" t="e">
        <f t="shared" si="25"/>
        <v>#N/A</v>
      </c>
    </row>
    <row r="824" spans="11:14" x14ac:dyDescent="0.3">
      <c r="K824" t="s">
        <v>854</v>
      </c>
      <c r="L824">
        <v>4.3013000000000003</v>
      </c>
      <c r="M824" t="e">
        <f t="shared" si="24"/>
        <v>#N/A</v>
      </c>
      <c r="N824" t="e">
        <f t="shared" si="25"/>
        <v>#N/A</v>
      </c>
    </row>
    <row r="825" spans="11:14" x14ac:dyDescent="0.3">
      <c r="K825" t="s">
        <v>855</v>
      </c>
      <c r="L825">
        <v>5.0656999999999996</v>
      </c>
      <c r="M825" t="e">
        <f t="shared" si="24"/>
        <v>#N/A</v>
      </c>
      <c r="N825" t="e">
        <f t="shared" si="25"/>
        <v>#N/A</v>
      </c>
    </row>
    <row r="826" spans="11:14" x14ac:dyDescent="0.3">
      <c r="K826" t="s">
        <v>856</v>
      </c>
      <c r="L826">
        <v>7.4493999999999998</v>
      </c>
      <c r="M826" t="e">
        <f t="shared" si="24"/>
        <v>#N/A</v>
      </c>
      <c r="N826" t="e">
        <f t="shared" si="25"/>
        <v>#N/A</v>
      </c>
    </row>
    <row r="827" spans="11:14" x14ac:dyDescent="0.3">
      <c r="K827" t="s">
        <v>856</v>
      </c>
      <c r="L827">
        <v>7.4493999999999998</v>
      </c>
      <c r="M827" t="e">
        <f t="shared" si="24"/>
        <v>#N/A</v>
      </c>
      <c r="N827" t="e">
        <f t="shared" si="25"/>
        <v>#N/A</v>
      </c>
    </row>
    <row r="828" spans="11:14" x14ac:dyDescent="0.3">
      <c r="K828" t="s">
        <v>857</v>
      </c>
      <c r="L828">
        <v>4.4486999999999997</v>
      </c>
      <c r="M828" t="e">
        <f t="shared" si="24"/>
        <v>#N/A</v>
      </c>
      <c r="N828" t="e">
        <f t="shared" si="25"/>
        <v>#N/A</v>
      </c>
    </row>
    <row r="829" spans="11:14" x14ac:dyDescent="0.3">
      <c r="K829" t="s">
        <v>858</v>
      </c>
      <c r="L829">
        <v>0.13600000000000001</v>
      </c>
      <c r="M829" t="e">
        <f t="shared" si="24"/>
        <v>#N/A</v>
      </c>
      <c r="N829" t="e">
        <f t="shared" si="25"/>
        <v>#N/A</v>
      </c>
    </row>
    <row r="830" spans="11:14" x14ac:dyDescent="0.3">
      <c r="K830" t="s">
        <v>858</v>
      </c>
      <c r="L830">
        <v>0.13600000000000001</v>
      </c>
      <c r="M830" t="e">
        <f t="shared" si="24"/>
        <v>#N/A</v>
      </c>
      <c r="N830" t="e">
        <f t="shared" si="25"/>
        <v>#N/A</v>
      </c>
    </row>
    <row r="831" spans="11:14" x14ac:dyDescent="0.3">
      <c r="K831" t="s">
        <v>858</v>
      </c>
      <c r="L831">
        <v>0.13600000000000001</v>
      </c>
      <c r="M831" t="e">
        <f t="shared" si="24"/>
        <v>#N/A</v>
      </c>
      <c r="N831" t="e">
        <f t="shared" si="25"/>
        <v>#N/A</v>
      </c>
    </row>
    <row r="832" spans="11:14" x14ac:dyDescent="0.3">
      <c r="K832" t="s">
        <v>859</v>
      </c>
      <c r="L832">
        <v>0.05</v>
      </c>
      <c r="M832" t="e">
        <f t="shared" si="24"/>
        <v>#N/A</v>
      </c>
      <c r="N832" t="e">
        <f t="shared" si="25"/>
        <v>#N/A</v>
      </c>
    </row>
    <row r="833" spans="11:14" x14ac:dyDescent="0.3">
      <c r="K833" t="s">
        <v>860</v>
      </c>
      <c r="L833">
        <v>5.3999999999999999E-2</v>
      </c>
      <c r="M833" t="e">
        <f t="shared" si="24"/>
        <v>#N/A</v>
      </c>
      <c r="N833" t="e">
        <f t="shared" si="25"/>
        <v>#N/A</v>
      </c>
    </row>
    <row r="834" spans="11:14" x14ac:dyDescent="0.3">
      <c r="K834" t="s">
        <v>861</v>
      </c>
      <c r="L834">
        <v>5.3999999999999999E-2</v>
      </c>
      <c r="M834" t="e">
        <f t="shared" si="24"/>
        <v>#N/A</v>
      </c>
      <c r="N834" t="e">
        <f t="shared" si="25"/>
        <v>#N/A</v>
      </c>
    </row>
    <row r="835" spans="11:14" x14ac:dyDescent="0.3">
      <c r="K835" t="s">
        <v>862</v>
      </c>
      <c r="L835">
        <v>0.15</v>
      </c>
      <c r="M835" t="e">
        <f t="shared" ref="M835:M898" si="26">_xlfn.XLOOKUP(K835,A:A,B:B)</f>
        <v>#N/A</v>
      </c>
      <c r="N835" t="e">
        <f t="shared" ref="N835:N898" si="27">L835-M835</f>
        <v>#N/A</v>
      </c>
    </row>
    <row r="836" spans="11:14" x14ac:dyDescent="0.3">
      <c r="K836" t="s">
        <v>863</v>
      </c>
      <c r="L836">
        <v>5.3999999999999999E-2</v>
      </c>
      <c r="M836" t="e">
        <f t="shared" si="26"/>
        <v>#N/A</v>
      </c>
      <c r="N836" t="e">
        <f t="shared" si="27"/>
        <v>#N/A</v>
      </c>
    </row>
    <row r="837" spans="11:14" x14ac:dyDescent="0.3">
      <c r="K837" t="s">
        <v>863</v>
      </c>
      <c r="L837">
        <v>5.3999999999999999E-2</v>
      </c>
      <c r="M837" t="e">
        <f t="shared" si="26"/>
        <v>#N/A</v>
      </c>
      <c r="N837" t="e">
        <f t="shared" si="27"/>
        <v>#N/A</v>
      </c>
    </row>
    <row r="838" spans="11:14" x14ac:dyDescent="0.3">
      <c r="K838" t="s">
        <v>863</v>
      </c>
      <c r="L838">
        <v>5.3999999999999999E-2</v>
      </c>
      <c r="M838" t="e">
        <f t="shared" si="26"/>
        <v>#N/A</v>
      </c>
      <c r="N838" t="e">
        <f t="shared" si="27"/>
        <v>#N/A</v>
      </c>
    </row>
    <row r="839" spans="11:14" x14ac:dyDescent="0.3">
      <c r="K839" t="s">
        <v>863</v>
      </c>
      <c r="L839">
        <v>5.3999999999999999E-2</v>
      </c>
      <c r="M839" t="e">
        <f t="shared" si="26"/>
        <v>#N/A</v>
      </c>
      <c r="N839" t="e">
        <f t="shared" si="27"/>
        <v>#N/A</v>
      </c>
    </row>
    <row r="840" spans="11:14" x14ac:dyDescent="0.3">
      <c r="K840" t="s">
        <v>864</v>
      </c>
      <c r="L840">
        <v>0.31130000000000002</v>
      </c>
      <c r="M840" t="e">
        <f t="shared" si="26"/>
        <v>#N/A</v>
      </c>
      <c r="N840" t="e">
        <f t="shared" si="27"/>
        <v>#N/A</v>
      </c>
    </row>
    <row r="841" spans="11:14" x14ac:dyDescent="0.3">
      <c r="K841" t="s">
        <v>864</v>
      </c>
      <c r="L841">
        <v>0.31130000000000002</v>
      </c>
      <c r="M841" t="e">
        <f t="shared" si="26"/>
        <v>#N/A</v>
      </c>
      <c r="N841" t="e">
        <f t="shared" si="27"/>
        <v>#N/A</v>
      </c>
    </row>
    <row r="842" spans="11:14" x14ac:dyDescent="0.3">
      <c r="K842" t="s">
        <v>864</v>
      </c>
      <c r="L842">
        <v>0.31130000000000002</v>
      </c>
      <c r="M842" t="e">
        <f t="shared" si="26"/>
        <v>#N/A</v>
      </c>
      <c r="N842" t="e">
        <f t="shared" si="27"/>
        <v>#N/A</v>
      </c>
    </row>
    <row r="843" spans="11:14" x14ac:dyDescent="0.3">
      <c r="K843" t="s">
        <v>864</v>
      </c>
      <c r="L843">
        <v>0.31130000000000002</v>
      </c>
      <c r="M843" t="e">
        <f t="shared" si="26"/>
        <v>#N/A</v>
      </c>
      <c r="N843" t="e">
        <f t="shared" si="27"/>
        <v>#N/A</v>
      </c>
    </row>
    <row r="844" spans="11:14" x14ac:dyDescent="0.3">
      <c r="K844" t="s">
        <v>865</v>
      </c>
      <c r="L844">
        <v>0.31130000000000002</v>
      </c>
      <c r="M844" t="e">
        <f t="shared" si="26"/>
        <v>#N/A</v>
      </c>
      <c r="N844" t="e">
        <f t="shared" si="27"/>
        <v>#N/A</v>
      </c>
    </row>
    <row r="845" spans="11:14" x14ac:dyDescent="0.3">
      <c r="K845" t="s">
        <v>866</v>
      </c>
      <c r="L845">
        <v>0.31130000000000002</v>
      </c>
      <c r="M845" t="e">
        <f t="shared" si="26"/>
        <v>#N/A</v>
      </c>
      <c r="N845" t="e">
        <f t="shared" si="27"/>
        <v>#N/A</v>
      </c>
    </row>
    <row r="846" spans="11:14" x14ac:dyDescent="0.3">
      <c r="K846" t="s">
        <v>866</v>
      </c>
      <c r="L846">
        <v>0.31130000000000002</v>
      </c>
      <c r="M846" t="e">
        <f t="shared" si="26"/>
        <v>#N/A</v>
      </c>
      <c r="N846" t="e">
        <f t="shared" si="27"/>
        <v>#N/A</v>
      </c>
    </row>
    <row r="847" spans="11:14" x14ac:dyDescent="0.3">
      <c r="K847" t="s">
        <v>867</v>
      </c>
      <c r="L847">
        <v>0.31130000000000002</v>
      </c>
      <c r="M847" t="e">
        <f t="shared" si="26"/>
        <v>#N/A</v>
      </c>
      <c r="N847" t="e">
        <f t="shared" si="27"/>
        <v>#N/A</v>
      </c>
    </row>
    <row r="848" spans="11:14" x14ac:dyDescent="0.3">
      <c r="K848" t="s">
        <v>867</v>
      </c>
      <c r="L848">
        <v>0.31130000000000002</v>
      </c>
      <c r="M848" t="e">
        <f t="shared" si="26"/>
        <v>#N/A</v>
      </c>
      <c r="N848" t="e">
        <f t="shared" si="27"/>
        <v>#N/A</v>
      </c>
    </row>
    <row r="849" spans="11:14" x14ac:dyDescent="0.3">
      <c r="K849" t="s">
        <v>867</v>
      </c>
      <c r="L849">
        <v>0.31130000000000002</v>
      </c>
      <c r="M849" t="e">
        <f t="shared" si="26"/>
        <v>#N/A</v>
      </c>
      <c r="N849" t="e">
        <f t="shared" si="27"/>
        <v>#N/A</v>
      </c>
    </row>
    <row r="850" spans="11:14" x14ac:dyDescent="0.3">
      <c r="K850" t="s">
        <v>867</v>
      </c>
      <c r="L850">
        <v>0.31130000000000002</v>
      </c>
      <c r="M850" t="e">
        <f t="shared" si="26"/>
        <v>#N/A</v>
      </c>
      <c r="N850" t="e">
        <f t="shared" si="27"/>
        <v>#N/A</v>
      </c>
    </row>
    <row r="851" spans="11:14" x14ac:dyDescent="0.3">
      <c r="K851" t="s">
        <v>867</v>
      </c>
      <c r="L851">
        <v>0.31130000000000002</v>
      </c>
      <c r="M851" t="e">
        <f t="shared" si="26"/>
        <v>#N/A</v>
      </c>
      <c r="N851" t="e">
        <f t="shared" si="27"/>
        <v>#N/A</v>
      </c>
    </row>
    <row r="852" spans="11:14" x14ac:dyDescent="0.3">
      <c r="K852" t="s">
        <v>867</v>
      </c>
      <c r="L852">
        <v>0.31130000000000002</v>
      </c>
      <c r="M852" t="e">
        <f t="shared" si="26"/>
        <v>#N/A</v>
      </c>
      <c r="N852" t="e">
        <f t="shared" si="27"/>
        <v>#N/A</v>
      </c>
    </row>
    <row r="853" spans="11:14" x14ac:dyDescent="0.3">
      <c r="K853" t="s">
        <v>867</v>
      </c>
      <c r="L853">
        <v>0.31130000000000002</v>
      </c>
      <c r="M853" t="e">
        <f t="shared" si="26"/>
        <v>#N/A</v>
      </c>
      <c r="N853" t="e">
        <f t="shared" si="27"/>
        <v>#N/A</v>
      </c>
    </row>
    <row r="854" spans="11:14" x14ac:dyDescent="0.3">
      <c r="K854" t="s">
        <v>867</v>
      </c>
      <c r="L854">
        <v>0.31130000000000002</v>
      </c>
      <c r="M854" t="e">
        <f t="shared" si="26"/>
        <v>#N/A</v>
      </c>
      <c r="N854" t="e">
        <f t="shared" si="27"/>
        <v>#N/A</v>
      </c>
    </row>
    <row r="855" spans="11:14" x14ac:dyDescent="0.3">
      <c r="K855" t="s">
        <v>867</v>
      </c>
      <c r="L855">
        <v>0.31130000000000002</v>
      </c>
      <c r="M855" t="e">
        <f t="shared" si="26"/>
        <v>#N/A</v>
      </c>
      <c r="N855" t="e">
        <f t="shared" si="27"/>
        <v>#N/A</v>
      </c>
    </row>
    <row r="856" spans="11:14" x14ac:dyDescent="0.3">
      <c r="K856" t="s">
        <v>868</v>
      </c>
      <c r="L856">
        <v>0.31130000000000002</v>
      </c>
      <c r="M856" t="e">
        <f t="shared" si="26"/>
        <v>#N/A</v>
      </c>
      <c r="N856" t="e">
        <f t="shared" si="27"/>
        <v>#N/A</v>
      </c>
    </row>
    <row r="857" spans="11:14" x14ac:dyDescent="0.3">
      <c r="K857" t="s">
        <v>869</v>
      </c>
      <c r="L857">
        <v>0.31130000000000002</v>
      </c>
      <c r="M857" t="e">
        <f t="shared" si="26"/>
        <v>#N/A</v>
      </c>
      <c r="N857" t="e">
        <f t="shared" si="27"/>
        <v>#N/A</v>
      </c>
    </row>
    <row r="858" spans="11:14" x14ac:dyDescent="0.3">
      <c r="K858" t="s">
        <v>869</v>
      </c>
      <c r="L858">
        <v>0.31130000000000002</v>
      </c>
      <c r="M858" t="e">
        <f t="shared" si="26"/>
        <v>#N/A</v>
      </c>
      <c r="N858" t="e">
        <f t="shared" si="27"/>
        <v>#N/A</v>
      </c>
    </row>
    <row r="859" spans="11:14" x14ac:dyDescent="0.3">
      <c r="K859" t="s">
        <v>870</v>
      </c>
      <c r="L859">
        <v>0.31130000000000002</v>
      </c>
      <c r="M859" t="e">
        <f t="shared" si="26"/>
        <v>#N/A</v>
      </c>
      <c r="N859" t="e">
        <f t="shared" si="27"/>
        <v>#N/A</v>
      </c>
    </row>
    <row r="860" spans="11:14" x14ac:dyDescent="0.3">
      <c r="K860" t="s">
        <v>871</v>
      </c>
      <c r="L860">
        <v>0.31130000000000002</v>
      </c>
      <c r="M860" t="e">
        <f t="shared" si="26"/>
        <v>#N/A</v>
      </c>
      <c r="N860" t="e">
        <f t="shared" si="27"/>
        <v>#N/A</v>
      </c>
    </row>
    <row r="861" spans="11:14" x14ac:dyDescent="0.3">
      <c r="K861" t="s">
        <v>871</v>
      </c>
      <c r="L861">
        <v>0.31130000000000002</v>
      </c>
      <c r="M861" t="e">
        <f t="shared" si="26"/>
        <v>#N/A</v>
      </c>
      <c r="N861" t="e">
        <f t="shared" si="27"/>
        <v>#N/A</v>
      </c>
    </row>
    <row r="862" spans="11:14" x14ac:dyDescent="0.3">
      <c r="K862" t="s">
        <v>871</v>
      </c>
      <c r="L862">
        <v>0.31130000000000002</v>
      </c>
      <c r="M862" t="e">
        <f t="shared" si="26"/>
        <v>#N/A</v>
      </c>
      <c r="N862" t="e">
        <f t="shared" si="27"/>
        <v>#N/A</v>
      </c>
    </row>
    <row r="863" spans="11:14" x14ac:dyDescent="0.3">
      <c r="K863" t="s">
        <v>871</v>
      </c>
      <c r="L863">
        <v>0.31130000000000002</v>
      </c>
      <c r="M863" t="e">
        <f t="shared" si="26"/>
        <v>#N/A</v>
      </c>
      <c r="N863" t="e">
        <f t="shared" si="27"/>
        <v>#N/A</v>
      </c>
    </row>
    <row r="864" spans="11:14" x14ac:dyDescent="0.3">
      <c r="K864" t="s">
        <v>871</v>
      </c>
      <c r="L864">
        <v>0.31130000000000002</v>
      </c>
      <c r="M864" t="e">
        <f t="shared" si="26"/>
        <v>#N/A</v>
      </c>
      <c r="N864" t="e">
        <f t="shared" si="27"/>
        <v>#N/A</v>
      </c>
    </row>
    <row r="865" spans="11:14" x14ac:dyDescent="0.3">
      <c r="K865" t="s">
        <v>871</v>
      </c>
      <c r="L865">
        <v>0.31130000000000002</v>
      </c>
      <c r="M865" t="e">
        <f t="shared" si="26"/>
        <v>#N/A</v>
      </c>
      <c r="N865" t="e">
        <f t="shared" si="27"/>
        <v>#N/A</v>
      </c>
    </row>
    <row r="866" spans="11:14" x14ac:dyDescent="0.3">
      <c r="K866" t="s">
        <v>871</v>
      </c>
      <c r="L866">
        <v>0.31130000000000002</v>
      </c>
      <c r="M866" t="e">
        <f t="shared" si="26"/>
        <v>#N/A</v>
      </c>
      <c r="N866" t="e">
        <f t="shared" si="27"/>
        <v>#N/A</v>
      </c>
    </row>
    <row r="867" spans="11:14" x14ac:dyDescent="0.3">
      <c r="K867" t="s">
        <v>871</v>
      </c>
      <c r="L867">
        <v>0.31130000000000002</v>
      </c>
      <c r="M867" t="e">
        <f t="shared" si="26"/>
        <v>#N/A</v>
      </c>
      <c r="N867" t="e">
        <f t="shared" si="27"/>
        <v>#N/A</v>
      </c>
    </row>
    <row r="868" spans="11:14" x14ac:dyDescent="0.3">
      <c r="K868" t="s">
        <v>872</v>
      </c>
      <c r="L868">
        <v>0.31130000000000002</v>
      </c>
      <c r="M868" t="e">
        <f t="shared" si="26"/>
        <v>#N/A</v>
      </c>
      <c r="N868" t="e">
        <f t="shared" si="27"/>
        <v>#N/A</v>
      </c>
    </row>
    <row r="869" spans="11:14" x14ac:dyDescent="0.3">
      <c r="K869" t="s">
        <v>873</v>
      </c>
      <c r="L869">
        <v>0.31130000000000002</v>
      </c>
      <c r="M869" t="e">
        <f t="shared" si="26"/>
        <v>#N/A</v>
      </c>
      <c r="N869" t="e">
        <f t="shared" si="27"/>
        <v>#N/A</v>
      </c>
    </row>
    <row r="870" spans="11:14" x14ac:dyDescent="0.3">
      <c r="K870" t="s">
        <v>873</v>
      </c>
      <c r="L870">
        <v>0.31130000000000002</v>
      </c>
      <c r="M870" t="e">
        <f t="shared" si="26"/>
        <v>#N/A</v>
      </c>
      <c r="N870" t="e">
        <f t="shared" si="27"/>
        <v>#N/A</v>
      </c>
    </row>
    <row r="871" spans="11:14" x14ac:dyDescent="0.3">
      <c r="K871" t="s">
        <v>873</v>
      </c>
      <c r="L871">
        <v>0.31130000000000002</v>
      </c>
      <c r="M871" t="e">
        <f t="shared" si="26"/>
        <v>#N/A</v>
      </c>
      <c r="N871" t="e">
        <f t="shared" si="27"/>
        <v>#N/A</v>
      </c>
    </row>
    <row r="872" spans="11:14" x14ac:dyDescent="0.3">
      <c r="K872" t="s">
        <v>873</v>
      </c>
      <c r="L872">
        <v>0.31130000000000002</v>
      </c>
      <c r="M872" t="e">
        <f t="shared" si="26"/>
        <v>#N/A</v>
      </c>
      <c r="N872" t="e">
        <f t="shared" si="27"/>
        <v>#N/A</v>
      </c>
    </row>
    <row r="873" spans="11:14" x14ac:dyDescent="0.3">
      <c r="K873" t="s">
        <v>873</v>
      </c>
      <c r="L873">
        <v>0.31130000000000002</v>
      </c>
      <c r="M873" t="e">
        <f t="shared" si="26"/>
        <v>#N/A</v>
      </c>
      <c r="N873" t="e">
        <f t="shared" si="27"/>
        <v>#N/A</v>
      </c>
    </row>
    <row r="874" spans="11:14" x14ac:dyDescent="0.3">
      <c r="K874" t="s">
        <v>873</v>
      </c>
      <c r="L874">
        <v>0.31130000000000002</v>
      </c>
      <c r="M874" t="e">
        <f t="shared" si="26"/>
        <v>#N/A</v>
      </c>
      <c r="N874" t="e">
        <f t="shared" si="27"/>
        <v>#N/A</v>
      </c>
    </row>
    <row r="875" spans="11:14" x14ac:dyDescent="0.3">
      <c r="K875" t="s">
        <v>873</v>
      </c>
      <c r="L875">
        <v>0.31130000000000002</v>
      </c>
      <c r="M875" t="e">
        <f t="shared" si="26"/>
        <v>#N/A</v>
      </c>
      <c r="N875" t="e">
        <f t="shared" si="27"/>
        <v>#N/A</v>
      </c>
    </row>
    <row r="876" spans="11:14" x14ac:dyDescent="0.3">
      <c r="K876" t="s">
        <v>873</v>
      </c>
      <c r="L876">
        <v>0.31130000000000002</v>
      </c>
      <c r="M876" t="e">
        <f t="shared" si="26"/>
        <v>#N/A</v>
      </c>
      <c r="N876" t="e">
        <f t="shared" si="27"/>
        <v>#N/A</v>
      </c>
    </row>
    <row r="877" spans="11:14" x14ac:dyDescent="0.3">
      <c r="K877" t="s">
        <v>873</v>
      </c>
      <c r="L877">
        <v>0.31130000000000002</v>
      </c>
      <c r="M877" t="e">
        <f t="shared" si="26"/>
        <v>#N/A</v>
      </c>
      <c r="N877" t="e">
        <f t="shared" si="27"/>
        <v>#N/A</v>
      </c>
    </row>
    <row r="878" spans="11:14" x14ac:dyDescent="0.3">
      <c r="K878" t="s">
        <v>874</v>
      </c>
      <c r="L878">
        <v>0.31130000000000002</v>
      </c>
      <c r="M878" t="e">
        <f t="shared" si="26"/>
        <v>#N/A</v>
      </c>
      <c r="N878" t="e">
        <f t="shared" si="27"/>
        <v>#N/A</v>
      </c>
    </row>
    <row r="879" spans="11:14" x14ac:dyDescent="0.3">
      <c r="K879" t="s">
        <v>874</v>
      </c>
      <c r="L879">
        <v>0.31130000000000002</v>
      </c>
      <c r="M879" t="e">
        <f t="shared" si="26"/>
        <v>#N/A</v>
      </c>
      <c r="N879" t="e">
        <f t="shared" si="27"/>
        <v>#N/A</v>
      </c>
    </row>
    <row r="880" spans="11:14" x14ac:dyDescent="0.3">
      <c r="K880" t="s">
        <v>875</v>
      </c>
      <c r="L880">
        <v>0.31130000000000002</v>
      </c>
      <c r="M880" t="e">
        <f t="shared" si="26"/>
        <v>#N/A</v>
      </c>
      <c r="N880" t="e">
        <f t="shared" si="27"/>
        <v>#N/A</v>
      </c>
    </row>
    <row r="881" spans="11:14" x14ac:dyDescent="0.3">
      <c r="K881" t="s">
        <v>876</v>
      </c>
      <c r="L881">
        <v>1.4148000000000001</v>
      </c>
      <c r="M881" t="e">
        <f t="shared" si="26"/>
        <v>#N/A</v>
      </c>
      <c r="N881" t="e">
        <f t="shared" si="27"/>
        <v>#N/A</v>
      </c>
    </row>
    <row r="882" spans="11:14" x14ac:dyDescent="0.3">
      <c r="K882" t="s">
        <v>876</v>
      </c>
      <c r="L882">
        <v>1.4148000000000001</v>
      </c>
      <c r="M882" t="e">
        <f t="shared" si="26"/>
        <v>#N/A</v>
      </c>
      <c r="N882" t="e">
        <f t="shared" si="27"/>
        <v>#N/A</v>
      </c>
    </row>
    <row r="883" spans="11:14" x14ac:dyDescent="0.3">
      <c r="K883" t="s">
        <v>876</v>
      </c>
      <c r="L883">
        <v>1.4148000000000001</v>
      </c>
      <c r="M883" t="e">
        <f t="shared" si="26"/>
        <v>#N/A</v>
      </c>
      <c r="N883" t="e">
        <f t="shared" si="27"/>
        <v>#N/A</v>
      </c>
    </row>
    <row r="884" spans="11:14" x14ac:dyDescent="0.3">
      <c r="K884" t="s">
        <v>876</v>
      </c>
      <c r="L884">
        <v>1.4148000000000001</v>
      </c>
      <c r="M884" t="e">
        <f t="shared" si="26"/>
        <v>#N/A</v>
      </c>
      <c r="N884" t="e">
        <f t="shared" si="27"/>
        <v>#N/A</v>
      </c>
    </row>
    <row r="885" spans="11:14" x14ac:dyDescent="0.3">
      <c r="K885" t="s">
        <v>876</v>
      </c>
      <c r="L885">
        <v>1.4148000000000001</v>
      </c>
      <c r="M885" t="e">
        <f t="shared" si="26"/>
        <v>#N/A</v>
      </c>
      <c r="N885" t="e">
        <f t="shared" si="27"/>
        <v>#N/A</v>
      </c>
    </row>
    <row r="886" spans="11:14" x14ac:dyDescent="0.3">
      <c r="K886" t="s">
        <v>877</v>
      </c>
      <c r="L886">
        <v>1.4148000000000001</v>
      </c>
      <c r="M886" t="e">
        <f t="shared" si="26"/>
        <v>#N/A</v>
      </c>
      <c r="N886" t="e">
        <f t="shared" si="27"/>
        <v>#N/A</v>
      </c>
    </row>
    <row r="887" spans="11:14" x14ac:dyDescent="0.3">
      <c r="K887" t="s">
        <v>878</v>
      </c>
      <c r="L887">
        <v>1.4148000000000001</v>
      </c>
      <c r="M887" t="e">
        <f t="shared" si="26"/>
        <v>#N/A</v>
      </c>
      <c r="N887" t="e">
        <f t="shared" si="27"/>
        <v>#N/A</v>
      </c>
    </row>
    <row r="888" spans="11:14" x14ac:dyDescent="0.3">
      <c r="K888" t="s">
        <v>878</v>
      </c>
      <c r="L888">
        <v>1.4148000000000001</v>
      </c>
      <c r="M888" t="e">
        <f t="shared" si="26"/>
        <v>#N/A</v>
      </c>
      <c r="N888" t="e">
        <f t="shared" si="27"/>
        <v>#N/A</v>
      </c>
    </row>
    <row r="889" spans="11:14" x14ac:dyDescent="0.3">
      <c r="K889" t="s">
        <v>878</v>
      </c>
      <c r="L889">
        <v>1.4148000000000001</v>
      </c>
      <c r="M889" t="e">
        <f t="shared" si="26"/>
        <v>#N/A</v>
      </c>
      <c r="N889" t="e">
        <f t="shared" si="27"/>
        <v>#N/A</v>
      </c>
    </row>
    <row r="890" spans="11:14" x14ac:dyDescent="0.3">
      <c r="K890" t="s">
        <v>878</v>
      </c>
      <c r="L890">
        <v>1.4148000000000001</v>
      </c>
      <c r="M890" t="e">
        <f t="shared" si="26"/>
        <v>#N/A</v>
      </c>
      <c r="N890" t="e">
        <f t="shared" si="27"/>
        <v>#N/A</v>
      </c>
    </row>
    <row r="891" spans="11:14" x14ac:dyDescent="0.3">
      <c r="K891" t="s">
        <v>878</v>
      </c>
      <c r="L891">
        <v>1.4148000000000001</v>
      </c>
      <c r="M891" t="e">
        <f t="shared" si="26"/>
        <v>#N/A</v>
      </c>
      <c r="N891" t="e">
        <f t="shared" si="27"/>
        <v>#N/A</v>
      </c>
    </row>
    <row r="892" spans="11:14" x14ac:dyDescent="0.3">
      <c r="K892" t="s">
        <v>878</v>
      </c>
      <c r="L892">
        <v>1.4148000000000001</v>
      </c>
      <c r="M892" t="e">
        <f t="shared" si="26"/>
        <v>#N/A</v>
      </c>
      <c r="N892" t="e">
        <f t="shared" si="27"/>
        <v>#N/A</v>
      </c>
    </row>
    <row r="893" spans="11:14" x14ac:dyDescent="0.3">
      <c r="K893" t="s">
        <v>878</v>
      </c>
      <c r="L893">
        <v>1.4148000000000001</v>
      </c>
      <c r="M893" t="e">
        <f t="shared" si="26"/>
        <v>#N/A</v>
      </c>
      <c r="N893" t="e">
        <f t="shared" si="27"/>
        <v>#N/A</v>
      </c>
    </row>
    <row r="894" spans="11:14" x14ac:dyDescent="0.3">
      <c r="K894" t="s">
        <v>879</v>
      </c>
      <c r="L894">
        <v>1.4148000000000001</v>
      </c>
      <c r="M894" t="e">
        <f t="shared" si="26"/>
        <v>#N/A</v>
      </c>
      <c r="N894" t="e">
        <f t="shared" si="27"/>
        <v>#N/A</v>
      </c>
    </row>
    <row r="895" spans="11:14" x14ac:dyDescent="0.3">
      <c r="K895" t="s">
        <v>879</v>
      </c>
      <c r="L895">
        <v>1.4148000000000001</v>
      </c>
      <c r="M895" t="e">
        <f t="shared" si="26"/>
        <v>#N/A</v>
      </c>
      <c r="N895" t="e">
        <f t="shared" si="27"/>
        <v>#N/A</v>
      </c>
    </row>
    <row r="896" spans="11:14" x14ac:dyDescent="0.3">
      <c r="K896" t="s">
        <v>879</v>
      </c>
      <c r="L896">
        <v>1.4148000000000001</v>
      </c>
      <c r="M896" t="e">
        <f t="shared" si="26"/>
        <v>#N/A</v>
      </c>
      <c r="N896" t="e">
        <f t="shared" si="27"/>
        <v>#N/A</v>
      </c>
    </row>
    <row r="897" spans="11:14" x14ac:dyDescent="0.3">
      <c r="K897" t="s">
        <v>879</v>
      </c>
      <c r="L897">
        <v>1.4148000000000001</v>
      </c>
      <c r="M897" t="e">
        <f t="shared" si="26"/>
        <v>#N/A</v>
      </c>
      <c r="N897" t="e">
        <f t="shared" si="27"/>
        <v>#N/A</v>
      </c>
    </row>
    <row r="898" spans="11:14" x14ac:dyDescent="0.3">
      <c r="K898" t="s">
        <v>879</v>
      </c>
      <c r="L898">
        <v>1.4148000000000001</v>
      </c>
      <c r="M898" t="e">
        <f t="shared" si="26"/>
        <v>#N/A</v>
      </c>
      <c r="N898" t="e">
        <f t="shared" si="27"/>
        <v>#N/A</v>
      </c>
    </row>
    <row r="899" spans="11:14" x14ac:dyDescent="0.3">
      <c r="K899" t="s">
        <v>879</v>
      </c>
      <c r="L899">
        <v>1.4148000000000001</v>
      </c>
      <c r="M899" t="e">
        <f t="shared" ref="M899:M962" si="28">_xlfn.XLOOKUP(K899,A:A,B:B)</f>
        <v>#N/A</v>
      </c>
      <c r="N899" t="e">
        <f t="shared" ref="N899:N962" si="29">L899-M899</f>
        <v>#N/A</v>
      </c>
    </row>
    <row r="900" spans="11:14" x14ac:dyDescent="0.3">
      <c r="K900" t="s">
        <v>880</v>
      </c>
      <c r="L900">
        <v>1.4148000000000001</v>
      </c>
      <c r="M900" t="e">
        <f t="shared" si="28"/>
        <v>#N/A</v>
      </c>
      <c r="N900" t="e">
        <f t="shared" si="29"/>
        <v>#N/A</v>
      </c>
    </row>
    <row r="901" spans="11:14" x14ac:dyDescent="0.3">
      <c r="K901" t="s">
        <v>881</v>
      </c>
      <c r="L901">
        <v>1.9371</v>
      </c>
      <c r="M901" t="e">
        <f t="shared" si="28"/>
        <v>#N/A</v>
      </c>
      <c r="N901" t="e">
        <f t="shared" si="29"/>
        <v>#N/A</v>
      </c>
    </row>
    <row r="902" spans="11:14" x14ac:dyDescent="0.3">
      <c r="K902" t="s">
        <v>881</v>
      </c>
      <c r="L902">
        <v>1.9371</v>
      </c>
      <c r="M902" t="e">
        <f t="shared" si="28"/>
        <v>#N/A</v>
      </c>
      <c r="N902" t="e">
        <f t="shared" si="29"/>
        <v>#N/A</v>
      </c>
    </row>
    <row r="903" spans="11:14" x14ac:dyDescent="0.3">
      <c r="K903" t="s">
        <v>882</v>
      </c>
      <c r="L903">
        <v>2.4822000000000002</v>
      </c>
      <c r="M903" t="e">
        <f t="shared" si="28"/>
        <v>#N/A</v>
      </c>
      <c r="N903" t="e">
        <f t="shared" si="29"/>
        <v>#N/A</v>
      </c>
    </row>
    <row r="904" spans="11:14" x14ac:dyDescent="0.3">
      <c r="K904" t="s">
        <v>882</v>
      </c>
      <c r="L904">
        <v>2.4822000000000002</v>
      </c>
      <c r="M904" t="e">
        <f t="shared" si="28"/>
        <v>#N/A</v>
      </c>
      <c r="N904" t="e">
        <f t="shared" si="29"/>
        <v>#N/A</v>
      </c>
    </row>
    <row r="905" spans="11:14" x14ac:dyDescent="0.3">
      <c r="K905" t="s">
        <v>883</v>
      </c>
      <c r="L905">
        <v>7.3536000000000001</v>
      </c>
      <c r="M905" t="e">
        <f t="shared" si="28"/>
        <v>#N/A</v>
      </c>
      <c r="N905" t="e">
        <f t="shared" si="29"/>
        <v>#N/A</v>
      </c>
    </row>
    <row r="906" spans="11:14" x14ac:dyDescent="0.3">
      <c r="K906" t="s">
        <v>884</v>
      </c>
      <c r="L906">
        <v>9.4984999999999999</v>
      </c>
      <c r="M906" t="e">
        <f t="shared" si="28"/>
        <v>#N/A</v>
      </c>
      <c r="N906" t="e">
        <f t="shared" si="29"/>
        <v>#N/A</v>
      </c>
    </row>
    <row r="907" spans="11:14" x14ac:dyDescent="0.3">
      <c r="K907" t="s">
        <v>885</v>
      </c>
      <c r="L907">
        <v>7.3647</v>
      </c>
      <c r="M907" t="e">
        <f t="shared" si="28"/>
        <v>#N/A</v>
      </c>
      <c r="N907" t="e">
        <f t="shared" si="29"/>
        <v>#N/A</v>
      </c>
    </row>
    <row r="908" spans="11:14" x14ac:dyDescent="0.3">
      <c r="K908" t="s">
        <v>886</v>
      </c>
      <c r="L908">
        <v>8.9748000000000001</v>
      </c>
      <c r="M908" t="e">
        <f t="shared" si="28"/>
        <v>#N/A</v>
      </c>
      <c r="N908" t="e">
        <f t="shared" si="29"/>
        <v>#N/A</v>
      </c>
    </row>
    <row r="909" spans="11:14" x14ac:dyDescent="0.3">
      <c r="K909" t="s">
        <v>887</v>
      </c>
      <c r="L909">
        <v>14.5007</v>
      </c>
      <c r="M909" t="e">
        <f t="shared" si="28"/>
        <v>#N/A</v>
      </c>
      <c r="N909" t="e">
        <f t="shared" si="29"/>
        <v>#N/A</v>
      </c>
    </row>
    <row r="910" spans="11:14" x14ac:dyDescent="0.3">
      <c r="K910" t="s">
        <v>888</v>
      </c>
      <c r="L910">
        <v>13.805099999999999</v>
      </c>
      <c r="M910" t="e">
        <f t="shared" si="28"/>
        <v>#N/A</v>
      </c>
      <c r="N910" t="e">
        <f t="shared" si="29"/>
        <v>#N/A</v>
      </c>
    </row>
    <row r="911" spans="11:14" x14ac:dyDescent="0.3">
      <c r="K911" t="s">
        <v>889</v>
      </c>
      <c r="L911">
        <v>19.759599999999999</v>
      </c>
      <c r="M911" t="e">
        <f t="shared" si="28"/>
        <v>#N/A</v>
      </c>
      <c r="N911" t="e">
        <f t="shared" si="29"/>
        <v>#N/A</v>
      </c>
    </row>
    <row r="912" spans="11:14" x14ac:dyDescent="0.3">
      <c r="K912" t="s">
        <v>890</v>
      </c>
      <c r="L912">
        <v>28.281199999999998</v>
      </c>
      <c r="M912" t="e">
        <f t="shared" si="28"/>
        <v>#N/A</v>
      </c>
      <c r="N912" t="e">
        <f t="shared" si="29"/>
        <v>#N/A</v>
      </c>
    </row>
    <row r="913" spans="11:14" x14ac:dyDescent="0.3">
      <c r="K913" t="s">
        <v>891</v>
      </c>
      <c r="L913">
        <v>56.562399999999997</v>
      </c>
      <c r="M913" t="e">
        <f t="shared" si="28"/>
        <v>#N/A</v>
      </c>
      <c r="N913" t="e">
        <f t="shared" si="29"/>
        <v>#N/A</v>
      </c>
    </row>
    <row r="914" spans="11:14" x14ac:dyDescent="0.3">
      <c r="K914" t="s">
        <v>892</v>
      </c>
      <c r="L914">
        <v>3.1349999999999998</v>
      </c>
      <c r="M914" t="e">
        <f t="shared" si="28"/>
        <v>#N/A</v>
      </c>
      <c r="N914" t="e">
        <f t="shared" si="29"/>
        <v>#N/A</v>
      </c>
    </row>
    <row r="915" spans="11:14" x14ac:dyDescent="0.3">
      <c r="K915" t="s">
        <v>892</v>
      </c>
      <c r="L915">
        <v>3.1349999999999998</v>
      </c>
      <c r="M915" t="e">
        <f t="shared" si="28"/>
        <v>#N/A</v>
      </c>
      <c r="N915" t="e">
        <f t="shared" si="29"/>
        <v>#N/A</v>
      </c>
    </row>
    <row r="916" spans="11:14" x14ac:dyDescent="0.3">
      <c r="K916" t="s">
        <v>892</v>
      </c>
      <c r="L916">
        <v>3.1349999999999998</v>
      </c>
      <c r="M916" t="e">
        <f t="shared" si="28"/>
        <v>#N/A</v>
      </c>
      <c r="N916" t="e">
        <f t="shared" si="29"/>
        <v>#N/A</v>
      </c>
    </row>
    <row r="917" spans="11:14" x14ac:dyDescent="0.3">
      <c r="K917" t="s">
        <v>892</v>
      </c>
      <c r="L917">
        <v>3.1349999999999998</v>
      </c>
      <c r="M917" t="e">
        <f t="shared" si="28"/>
        <v>#N/A</v>
      </c>
      <c r="N917" t="e">
        <f t="shared" si="29"/>
        <v>#N/A</v>
      </c>
    </row>
    <row r="918" spans="11:14" x14ac:dyDescent="0.3">
      <c r="K918" t="s">
        <v>892</v>
      </c>
      <c r="L918">
        <v>3.1349999999999998</v>
      </c>
      <c r="M918" t="e">
        <f t="shared" si="28"/>
        <v>#N/A</v>
      </c>
      <c r="N918" t="e">
        <f t="shared" si="29"/>
        <v>#N/A</v>
      </c>
    </row>
    <row r="919" spans="11:14" x14ac:dyDescent="0.3">
      <c r="K919" t="s">
        <v>893</v>
      </c>
      <c r="L919">
        <v>1.3724000000000001</v>
      </c>
      <c r="M919" t="e">
        <f t="shared" si="28"/>
        <v>#N/A</v>
      </c>
      <c r="N919" t="e">
        <f t="shared" si="29"/>
        <v>#N/A</v>
      </c>
    </row>
    <row r="920" spans="11:14" x14ac:dyDescent="0.3">
      <c r="K920" t="s">
        <v>893</v>
      </c>
      <c r="L920">
        <v>1.3724000000000001</v>
      </c>
      <c r="M920" t="e">
        <f t="shared" si="28"/>
        <v>#N/A</v>
      </c>
      <c r="N920" t="e">
        <f t="shared" si="29"/>
        <v>#N/A</v>
      </c>
    </row>
    <row r="921" spans="11:14" x14ac:dyDescent="0.3">
      <c r="K921" t="s">
        <v>894</v>
      </c>
      <c r="L921">
        <v>3.1349999999999998</v>
      </c>
      <c r="M921" t="e">
        <f t="shared" si="28"/>
        <v>#N/A</v>
      </c>
      <c r="N921" t="e">
        <f t="shared" si="29"/>
        <v>#N/A</v>
      </c>
    </row>
    <row r="922" spans="11:14" x14ac:dyDescent="0.3">
      <c r="K922" t="s">
        <v>894</v>
      </c>
      <c r="L922">
        <v>3.1349999999999998</v>
      </c>
      <c r="M922" t="e">
        <f t="shared" si="28"/>
        <v>#N/A</v>
      </c>
      <c r="N922" t="e">
        <f t="shared" si="29"/>
        <v>#N/A</v>
      </c>
    </row>
    <row r="923" spans="11:14" x14ac:dyDescent="0.3">
      <c r="K923" t="s">
        <v>895</v>
      </c>
      <c r="L923">
        <v>16.773199999999999</v>
      </c>
      <c r="M923" t="e">
        <f t="shared" si="28"/>
        <v>#N/A</v>
      </c>
      <c r="N923" t="e">
        <f t="shared" si="29"/>
        <v>#N/A</v>
      </c>
    </row>
    <row r="924" spans="11:14" x14ac:dyDescent="0.3">
      <c r="K924" t="s">
        <v>895</v>
      </c>
      <c r="L924">
        <v>16.773199999999999</v>
      </c>
      <c r="M924" t="e">
        <f t="shared" si="28"/>
        <v>#N/A</v>
      </c>
      <c r="N924" t="e">
        <f t="shared" si="29"/>
        <v>#N/A</v>
      </c>
    </row>
    <row r="925" spans="11:14" x14ac:dyDescent="0.3">
      <c r="K925" t="s">
        <v>896</v>
      </c>
      <c r="L925">
        <v>6.8268000000000004</v>
      </c>
      <c r="M925" t="e">
        <f t="shared" si="28"/>
        <v>#N/A</v>
      </c>
      <c r="N925" t="e">
        <f t="shared" si="29"/>
        <v>#N/A</v>
      </c>
    </row>
    <row r="926" spans="11:14" x14ac:dyDescent="0.3">
      <c r="K926" t="s">
        <v>897</v>
      </c>
      <c r="L926">
        <v>9.9323999999999995</v>
      </c>
      <c r="M926" t="e">
        <f t="shared" si="28"/>
        <v>#N/A</v>
      </c>
      <c r="N926" t="e">
        <f t="shared" si="29"/>
        <v>#N/A</v>
      </c>
    </row>
    <row r="927" spans="11:14" x14ac:dyDescent="0.3">
      <c r="K927" t="s">
        <v>897</v>
      </c>
      <c r="L927">
        <v>9.9323999999999995</v>
      </c>
      <c r="M927" t="e">
        <f t="shared" si="28"/>
        <v>#N/A</v>
      </c>
      <c r="N927" t="e">
        <f t="shared" si="29"/>
        <v>#N/A</v>
      </c>
    </row>
    <row r="928" spans="11:14" x14ac:dyDescent="0.3">
      <c r="K928" t="s">
        <v>898</v>
      </c>
      <c r="L928">
        <v>8.4755000000000003</v>
      </c>
      <c r="M928" t="e">
        <f t="shared" si="28"/>
        <v>#N/A</v>
      </c>
      <c r="N928" t="e">
        <f t="shared" si="29"/>
        <v>#N/A</v>
      </c>
    </row>
    <row r="929" spans="11:14" x14ac:dyDescent="0.3">
      <c r="K929" t="s">
        <v>899</v>
      </c>
      <c r="L929">
        <v>11.1386</v>
      </c>
      <c r="M929" t="e">
        <f t="shared" si="28"/>
        <v>#N/A</v>
      </c>
      <c r="N929" t="e">
        <f t="shared" si="29"/>
        <v>#N/A</v>
      </c>
    </row>
    <row r="930" spans="11:14" x14ac:dyDescent="0.3">
      <c r="K930" t="s">
        <v>900</v>
      </c>
      <c r="L930">
        <v>16.7239</v>
      </c>
      <c r="M930" t="e">
        <f t="shared" si="28"/>
        <v>#N/A</v>
      </c>
      <c r="N930" t="e">
        <f t="shared" si="29"/>
        <v>#N/A</v>
      </c>
    </row>
    <row r="931" spans="11:14" x14ac:dyDescent="0.3">
      <c r="K931" t="s">
        <v>900</v>
      </c>
      <c r="L931">
        <v>16.7239</v>
      </c>
      <c r="M931" t="e">
        <f t="shared" si="28"/>
        <v>#N/A</v>
      </c>
      <c r="N931" t="e">
        <f t="shared" si="29"/>
        <v>#N/A</v>
      </c>
    </row>
    <row r="932" spans="11:14" x14ac:dyDescent="0.3">
      <c r="K932" t="s">
        <v>901</v>
      </c>
      <c r="L932">
        <v>7.9664999999999999</v>
      </c>
      <c r="M932" t="e">
        <f t="shared" si="28"/>
        <v>#N/A</v>
      </c>
      <c r="N932" t="e">
        <f t="shared" si="29"/>
        <v>#N/A</v>
      </c>
    </row>
    <row r="933" spans="11:14" x14ac:dyDescent="0.3">
      <c r="K933" t="s">
        <v>902</v>
      </c>
      <c r="L933">
        <v>7.9664999999999999</v>
      </c>
      <c r="M933" t="e">
        <f t="shared" si="28"/>
        <v>#N/A</v>
      </c>
      <c r="N933" t="e">
        <f t="shared" si="29"/>
        <v>#N/A</v>
      </c>
    </row>
    <row r="934" spans="11:14" x14ac:dyDescent="0.3">
      <c r="K934" t="s">
        <v>903</v>
      </c>
      <c r="L934">
        <v>17.5869</v>
      </c>
      <c r="M934" t="e">
        <f t="shared" si="28"/>
        <v>#N/A</v>
      </c>
      <c r="N934" t="e">
        <f t="shared" si="29"/>
        <v>#N/A</v>
      </c>
    </row>
    <row r="935" spans="11:14" x14ac:dyDescent="0.3">
      <c r="K935" t="s">
        <v>904</v>
      </c>
      <c r="L935">
        <v>9.8834999999999997</v>
      </c>
      <c r="M935" t="e">
        <f t="shared" si="28"/>
        <v>#N/A</v>
      </c>
      <c r="N935" t="e">
        <f t="shared" si="29"/>
        <v>#N/A</v>
      </c>
    </row>
    <row r="936" spans="11:14" x14ac:dyDescent="0.3">
      <c r="K936" t="s">
        <v>905</v>
      </c>
      <c r="L936">
        <v>12.183999999999999</v>
      </c>
      <c r="M936" t="e">
        <f t="shared" si="28"/>
        <v>#N/A</v>
      </c>
      <c r="N936" t="e">
        <f t="shared" si="29"/>
        <v>#N/A</v>
      </c>
    </row>
    <row r="937" spans="11:14" x14ac:dyDescent="0.3">
      <c r="K937" t="s">
        <v>906</v>
      </c>
      <c r="L937">
        <v>7.9439000000000002</v>
      </c>
      <c r="M937" t="e">
        <f t="shared" si="28"/>
        <v>#N/A</v>
      </c>
      <c r="N937" t="e">
        <f t="shared" si="29"/>
        <v>#N/A</v>
      </c>
    </row>
    <row r="938" spans="11:14" x14ac:dyDescent="0.3">
      <c r="K938" t="s">
        <v>907</v>
      </c>
      <c r="L938">
        <v>17.5641</v>
      </c>
      <c r="M938" t="e">
        <f t="shared" si="28"/>
        <v>#N/A</v>
      </c>
      <c r="N938" t="e">
        <f t="shared" si="29"/>
        <v>#N/A</v>
      </c>
    </row>
    <row r="939" spans="11:14" x14ac:dyDescent="0.3">
      <c r="K939" t="s">
        <v>908</v>
      </c>
      <c r="L939">
        <v>17.425999999999998</v>
      </c>
      <c r="M939" t="e">
        <f t="shared" si="28"/>
        <v>#N/A</v>
      </c>
      <c r="N939" t="e">
        <f t="shared" si="29"/>
        <v>#N/A</v>
      </c>
    </row>
    <row r="940" spans="11:14" x14ac:dyDescent="0.3">
      <c r="K940" t="s">
        <v>908</v>
      </c>
      <c r="L940">
        <v>17.425999999999998</v>
      </c>
      <c r="M940" t="e">
        <f t="shared" si="28"/>
        <v>#N/A</v>
      </c>
      <c r="N940" t="e">
        <f t="shared" si="29"/>
        <v>#N/A</v>
      </c>
    </row>
    <row r="941" spans="11:14" x14ac:dyDescent="0.3">
      <c r="K941" t="s">
        <v>909</v>
      </c>
      <c r="L941">
        <v>17.425999999999998</v>
      </c>
      <c r="M941" t="e">
        <f t="shared" si="28"/>
        <v>#N/A</v>
      </c>
      <c r="N941" t="e">
        <f t="shared" si="29"/>
        <v>#N/A</v>
      </c>
    </row>
    <row r="942" spans="11:14" x14ac:dyDescent="0.3">
      <c r="K942" t="s">
        <v>910</v>
      </c>
      <c r="L942">
        <v>3.1349999999999998</v>
      </c>
      <c r="M942" t="e">
        <f t="shared" si="28"/>
        <v>#N/A</v>
      </c>
      <c r="N942" t="e">
        <f t="shared" si="29"/>
        <v>#N/A</v>
      </c>
    </row>
    <row r="943" spans="11:14" x14ac:dyDescent="0.3">
      <c r="K943" t="s">
        <v>910</v>
      </c>
      <c r="L943">
        <v>3.1349999999999998</v>
      </c>
      <c r="M943" t="e">
        <f t="shared" si="28"/>
        <v>#N/A</v>
      </c>
      <c r="N943" t="e">
        <f t="shared" si="29"/>
        <v>#N/A</v>
      </c>
    </row>
    <row r="944" spans="11:14" x14ac:dyDescent="0.3">
      <c r="K944" t="s">
        <v>910</v>
      </c>
      <c r="L944">
        <v>3.1349999999999998</v>
      </c>
      <c r="M944" t="e">
        <f t="shared" si="28"/>
        <v>#N/A</v>
      </c>
      <c r="N944" t="e">
        <f t="shared" si="29"/>
        <v>#N/A</v>
      </c>
    </row>
    <row r="945" spans="11:14" x14ac:dyDescent="0.3">
      <c r="K945" t="s">
        <v>910</v>
      </c>
      <c r="L945">
        <v>3.1349999999999998</v>
      </c>
      <c r="M945" t="e">
        <f t="shared" si="28"/>
        <v>#N/A</v>
      </c>
      <c r="N945" t="e">
        <f t="shared" si="29"/>
        <v>#N/A</v>
      </c>
    </row>
    <row r="946" spans="11:14" x14ac:dyDescent="0.3">
      <c r="K946" t="s">
        <v>910</v>
      </c>
      <c r="L946">
        <v>3.1349999999999998</v>
      </c>
      <c r="M946" t="e">
        <f t="shared" si="28"/>
        <v>#N/A</v>
      </c>
      <c r="N946" t="e">
        <f t="shared" si="29"/>
        <v>#N/A</v>
      </c>
    </row>
    <row r="947" spans="11:14" x14ac:dyDescent="0.3">
      <c r="K947" t="s">
        <v>910</v>
      </c>
      <c r="L947">
        <v>3.1349999999999998</v>
      </c>
      <c r="M947" t="e">
        <f t="shared" si="28"/>
        <v>#N/A</v>
      </c>
      <c r="N947" t="e">
        <f t="shared" si="29"/>
        <v>#N/A</v>
      </c>
    </row>
    <row r="948" spans="11:14" x14ac:dyDescent="0.3">
      <c r="K948" t="s">
        <v>910</v>
      </c>
      <c r="L948">
        <v>3.1349999999999998</v>
      </c>
      <c r="M948" t="e">
        <f t="shared" si="28"/>
        <v>#N/A</v>
      </c>
      <c r="N948" t="e">
        <f t="shared" si="29"/>
        <v>#N/A</v>
      </c>
    </row>
    <row r="949" spans="11:14" x14ac:dyDescent="0.3">
      <c r="K949" t="s">
        <v>910</v>
      </c>
      <c r="L949">
        <v>3.1349999999999998</v>
      </c>
      <c r="M949" t="e">
        <f t="shared" si="28"/>
        <v>#N/A</v>
      </c>
      <c r="N949" t="e">
        <f t="shared" si="29"/>
        <v>#N/A</v>
      </c>
    </row>
    <row r="950" spans="11:14" x14ac:dyDescent="0.3">
      <c r="K950" t="s">
        <v>910</v>
      </c>
      <c r="L950">
        <v>3.1349999999999998</v>
      </c>
      <c r="M950" t="e">
        <f t="shared" si="28"/>
        <v>#N/A</v>
      </c>
      <c r="N950" t="e">
        <f t="shared" si="29"/>
        <v>#N/A</v>
      </c>
    </row>
    <row r="951" spans="11:14" x14ac:dyDescent="0.3">
      <c r="K951" t="s">
        <v>910</v>
      </c>
      <c r="L951">
        <v>3.1349999999999998</v>
      </c>
      <c r="M951" t="e">
        <f t="shared" si="28"/>
        <v>#N/A</v>
      </c>
      <c r="N951" t="e">
        <f t="shared" si="29"/>
        <v>#N/A</v>
      </c>
    </row>
    <row r="952" spans="11:14" x14ac:dyDescent="0.3">
      <c r="K952" t="s">
        <v>910</v>
      </c>
      <c r="L952">
        <v>3.1349999999999998</v>
      </c>
      <c r="M952" t="e">
        <f t="shared" si="28"/>
        <v>#N/A</v>
      </c>
      <c r="N952" t="e">
        <f t="shared" si="29"/>
        <v>#N/A</v>
      </c>
    </row>
    <row r="953" spans="11:14" x14ac:dyDescent="0.3">
      <c r="K953" t="s">
        <v>911</v>
      </c>
      <c r="L953">
        <v>1.3724000000000001</v>
      </c>
      <c r="M953" t="e">
        <f t="shared" si="28"/>
        <v>#N/A</v>
      </c>
      <c r="N953" t="e">
        <f t="shared" si="29"/>
        <v>#N/A</v>
      </c>
    </row>
    <row r="954" spans="11:14" x14ac:dyDescent="0.3">
      <c r="K954" t="s">
        <v>911</v>
      </c>
      <c r="L954">
        <v>1.3724000000000001</v>
      </c>
      <c r="M954" t="e">
        <f t="shared" si="28"/>
        <v>#N/A</v>
      </c>
      <c r="N954" t="e">
        <f t="shared" si="29"/>
        <v>#N/A</v>
      </c>
    </row>
    <row r="955" spans="11:14" x14ac:dyDescent="0.3">
      <c r="K955" t="s">
        <v>911</v>
      </c>
      <c r="L955">
        <v>1.3724000000000001</v>
      </c>
      <c r="M955" t="e">
        <f t="shared" si="28"/>
        <v>#N/A</v>
      </c>
      <c r="N955" t="e">
        <f t="shared" si="29"/>
        <v>#N/A</v>
      </c>
    </row>
    <row r="956" spans="11:14" x14ac:dyDescent="0.3">
      <c r="K956" t="s">
        <v>912</v>
      </c>
      <c r="L956">
        <v>20.631799999999998</v>
      </c>
      <c r="M956" t="e">
        <f t="shared" si="28"/>
        <v>#N/A</v>
      </c>
      <c r="N956" t="e">
        <f t="shared" si="29"/>
        <v>#N/A</v>
      </c>
    </row>
    <row r="957" spans="11:14" x14ac:dyDescent="0.3">
      <c r="K957" t="s">
        <v>913</v>
      </c>
      <c r="L957">
        <v>169.44720000000001</v>
      </c>
      <c r="M957" t="e">
        <f t="shared" si="28"/>
        <v>#N/A</v>
      </c>
      <c r="N957" t="e">
        <f t="shared" si="29"/>
        <v>#N/A</v>
      </c>
    </row>
    <row r="958" spans="11:14" x14ac:dyDescent="0.3">
      <c r="K958" t="s">
        <v>914</v>
      </c>
      <c r="L958">
        <v>3.1349999999999998</v>
      </c>
      <c r="M958" t="e">
        <f t="shared" si="28"/>
        <v>#N/A</v>
      </c>
      <c r="N958" t="e">
        <f t="shared" si="29"/>
        <v>#N/A</v>
      </c>
    </row>
    <row r="959" spans="11:14" x14ac:dyDescent="0.3">
      <c r="K959" t="s">
        <v>914</v>
      </c>
      <c r="L959">
        <v>3.1349999999999998</v>
      </c>
      <c r="M959" t="e">
        <f t="shared" si="28"/>
        <v>#N/A</v>
      </c>
      <c r="N959" t="e">
        <f t="shared" si="29"/>
        <v>#N/A</v>
      </c>
    </row>
    <row r="960" spans="11:14" x14ac:dyDescent="0.3">
      <c r="K960" t="s">
        <v>914</v>
      </c>
      <c r="L960">
        <v>3.1349999999999998</v>
      </c>
      <c r="M960" t="e">
        <f t="shared" si="28"/>
        <v>#N/A</v>
      </c>
      <c r="N960" t="e">
        <f t="shared" si="29"/>
        <v>#N/A</v>
      </c>
    </row>
    <row r="961" spans="11:14" x14ac:dyDescent="0.3">
      <c r="K961" t="s">
        <v>914</v>
      </c>
      <c r="L961">
        <v>3.1349999999999998</v>
      </c>
      <c r="M961" t="e">
        <f t="shared" si="28"/>
        <v>#N/A</v>
      </c>
      <c r="N961" t="e">
        <f t="shared" si="29"/>
        <v>#N/A</v>
      </c>
    </row>
    <row r="962" spans="11:14" x14ac:dyDescent="0.3">
      <c r="K962" t="s">
        <v>914</v>
      </c>
      <c r="L962">
        <v>3.1349999999999998</v>
      </c>
      <c r="M962" t="e">
        <f t="shared" si="28"/>
        <v>#N/A</v>
      </c>
      <c r="N962" t="e">
        <f t="shared" si="29"/>
        <v>#N/A</v>
      </c>
    </row>
    <row r="963" spans="11:14" x14ac:dyDescent="0.3">
      <c r="K963" t="s">
        <v>914</v>
      </c>
      <c r="L963">
        <v>3.1349999999999998</v>
      </c>
      <c r="M963" t="e">
        <f t="shared" ref="M963:M1026" si="30">_xlfn.XLOOKUP(K963,A:A,B:B)</f>
        <v>#N/A</v>
      </c>
      <c r="N963" t="e">
        <f t="shared" ref="N963:N1026" si="31">L963-M963</f>
        <v>#N/A</v>
      </c>
    </row>
    <row r="964" spans="11:14" x14ac:dyDescent="0.3">
      <c r="K964" t="s">
        <v>914</v>
      </c>
      <c r="L964">
        <v>3.1349999999999998</v>
      </c>
      <c r="M964" t="e">
        <f t="shared" si="30"/>
        <v>#N/A</v>
      </c>
      <c r="N964" t="e">
        <f t="shared" si="31"/>
        <v>#N/A</v>
      </c>
    </row>
    <row r="965" spans="11:14" x14ac:dyDescent="0.3">
      <c r="K965" t="s">
        <v>914</v>
      </c>
      <c r="L965">
        <v>3.1349999999999998</v>
      </c>
      <c r="M965" t="e">
        <f t="shared" si="30"/>
        <v>#N/A</v>
      </c>
      <c r="N965" t="e">
        <f t="shared" si="31"/>
        <v>#N/A</v>
      </c>
    </row>
    <row r="966" spans="11:14" x14ac:dyDescent="0.3">
      <c r="K966" t="s">
        <v>914</v>
      </c>
      <c r="L966">
        <v>3.1349999999999998</v>
      </c>
      <c r="M966" t="e">
        <f t="shared" si="30"/>
        <v>#N/A</v>
      </c>
      <c r="N966" t="e">
        <f t="shared" si="31"/>
        <v>#N/A</v>
      </c>
    </row>
    <row r="967" spans="11:14" x14ac:dyDescent="0.3">
      <c r="K967" t="s">
        <v>915</v>
      </c>
      <c r="L967">
        <v>2.0266999999999999</v>
      </c>
      <c r="M967" t="e">
        <f t="shared" si="30"/>
        <v>#N/A</v>
      </c>
      <c r="N967" t="e">
        <f t="shared" si="31"/>
        <v>#N/A</v>
      </c>
    </row>
    <row r="968" spans="11:14" x14ac:dyDescent="0.3">
      <c r="K968" t="s">
        <v>916</v>
      </c>
      <c r="L968">
        <v>2.0266999999999999</v>
      </c>
      <c r="M968" t="e">
        <f t="shared" si="30"/>
        <v>#N/A</v>
      </c>
      <c r="N968" t="e">
        <f t="shared" si="31"/>
        <v>#N/A</v>
      </c>
    </row>
    <row r="969" spans="11:14" x14ac:dyDescent="0.3">
      <c r="K969" t="s">
        <v>916</v>
      </c>
      <c r="L969">
        <v>2.0266999999999999</v>
      </c>
      <c r="M969" t="e">
        <f t="shared" si="30"/>
        <v>#N/A</v>
      </c>
      <c r="N969" t="e">
        <f t="shared" si="31"/>
        <v>#N/A</v>
      </c>
    </row>
    <row r="970" spans="11:14" x14ac:dyDescent="0.3">
      <c r="K970" t="s">
        <v>917</v>
      </c>
      <c r="L970">
        <v>3.1349999999999998</v>
      </c>
      <c r="M970" t="e">
        <f t="shared" si="30"/>
        <v>#N/A</v>
      </c>
      <c r="N970" t="e">
        <f t="shared" si="31"/>
        <v>#N/A</v>
      </c>
    </row>
    <row r="971" spans="11:14" x14ac:dyDescent="0.3">
      <c r="K971" t="s">
        <v>918</v>
      </c>
      <c r="L971">
        <v>3.1349999999999998</v>
      </c>
      <c r="M971" t="e">
        <f t="shared" si="30"/>
        <v>#N/A</v>
      </c>
      <c r="N971" t="e">
        <f t="shared" si="31"/>
        <v>#N/A</v>
      </c>
    </row>
    <row r="972" spans="11:14" x14ac:dyDescent="0.3">
      <c r="K972" t="s">
        <v>918</v>
      </c>
      <c r="L972">
        <v>3.1349999999999998</v>
      </c>
      <c r="M972" t="e">
        <f t="shared" si="30"/>
        <v>#N/A</v>
      </c>
      <c r="N972" t="e">
        <f t="shared" si="31"/>
        <v>#N/A</v>
      </c>
    </row>
    <row r="973" spans="11:14" x14ac:dyDescent="0.3">
      <c r="K973" t="s">
        <v>918</v>
      </c>
      <c r="L973">
        <v>3.1349999999999998</v>
      </c>
      <c r="M973" t="e">
        <f t="shared" si="30"/>
        <v>#N/A</v>
      </c>
      <c r="N973" t="e">
        <f t="shared" si="31"/>
        <v>#N/A</v>
      </c>
    </row>
    <row r="974" spans="11:14" x14ac:dyDescent="0.3">
      <c r="K974" t="s">
        <v>918</v>
      </c>
      <c r="L974">
        <v>3.1349999999999998</v>
      </c>
      <c r="M974" t="e">
        <f t="shared" si="30"/>
        <v>#N/A</v>
      </c>
      <c r="N974" t="e">
        <f t="shared" si="31"/>
        <v>#N/A</v>
      </c>
    </row>
    <row r="975" spans="11:14" x14ac:dyDescent="0.3">
      <c r="K975" t="s">
        <v>918</v>
      </c>
      <c r="L975">
        <v>3.1349999999999998</v>
      </c>
      <c r="M975" t="e">
        <f t="shared" si="30"/>
        <v>#N/A</v>
      </c>
      <c r="N975" t="e">
        <f t="shared" si="31"/>
        <v>#N/A</v>
      </c>
    </row>
    <row r="976" spans="11:14" x14ac:dyDescent="0.3">
      <c r="K976" t="s">
        <v>918</v>
      </c>
      <c r="L976">
        <v>3.1349999999999998</v>
      </c>
      <c r="M976" t="e">
        <f t="shared" si="30"/>
        <v>#N/A</v>
      </c>
      <c r="N976" t="e">
        <f t="shared" si="31"/>
        <v>#N/A</v>
      </c>
    </row>
    <row r="977" spans="11:14" x14ac:dyDescent="0.3">
      <c r="K977" t="s">
        <v>918</v>
      </c>
      <c r="L977">
        <v>3.1349999999999998</v>
      </c>
      <c r="M977" t="e">
        <f t="shared" si="30"/>
        <v>#N/A</v>
      </c>
      <c r="N977" t="e">
        <f t="shared" si="31"/>
        <v>#N/A</v>
      </c>
    </row>
    <row r="978" spans="11:14" x14ac:dyDescent="0.3">
      <c r="K978" t="s">
        <v>918</v>
      </c>
      <c r="L978">
        <v>3.1349999999999998</v>
      </c>
      <c r="M978" t="e">
        <f t="shared" si="30"/>
        <v>#N/A</v>
      </c>
      <c r="N978" t="e">
        <f t="shared" si="31"/>
        <v>#N/A</v>
      </c>
    </row>
    <row r="979" spans="11:14" x14ac:dyDescent="0.3">
      <c r="K979" t="s">
        <v>918</v>
      </c>
      <c r="L979">
        <v>3.1349999999999998</v>
      </c>
      <c r="M979" t="e">
        <f t="shared" si="30"/>
        <v>#N/A</v>
      </c>
      <c r="N979" t="e">
        <f t="shared" si="31"/>
        <v>#N/A</v>
      </c>
    </row>
    <row r="980" spans="11:14" x14ac:dyDescent="0.3">
      <c r="K980" t="s">
        <v>919</v>
      </c>
      <c r="L980">
        <v>1.3724000000000001</v>
      </c>
      <c r="M980" t="e">
        <f t="shared" si="30"/>
        <v>#N/A</v>
      </c>
      <c r="N980" t="e">
        <f t="shared" si="31"/>
        <v>#N/A</v>
      </c>
    </row>
    <row r="981" spans="11:14" x14ac:dyDescent="0.3">
      <c r="K981" t="s">
        <v>919</v>
      </c>
      <c r="L981">
        <v>1.3724000000000001</v>
      </c>
      <c r="M981" t="e">
        <f t="shared" si="30"/>
        <v>#N/A</v>
      </c>
      <c r="N981" t="e">
        <f t="shared" si="31"/>
        <v>#N/A</v>
      </c>
    </row>
    <row r="982" spans="11:14" x14ac:dyDescent="0.3">
      <c r="K982" t="s">
        <v>920</v>
      </c>
      <c r="L982">
        <v>0.91490000000000005</v>
      </c>
      <c r="M982" t="e">
        <f t="shared" si="30"/>
        <v>#N/A</v>
      </c>
      <c r="N982" t="e">
        <f t="shared" si="31"/>
        <v>#N/A</v>
      </c>
    </row>
    <row r="983" spans="11:14" x14ac:dyDescent="0.3">
      <c r="K983" t="s">
        <v>921</v>
      </c>
      <c r="L983">
        <v>1.7261</v>
      </c>
      <c r="M983" t="e">
        <f t="shared" si="30"/>
        <v>#N/A</v>
      </c>
      <c r="N983" t="e">
        <f t="shared" si="31"/>
        <v>#N/A</v>
      </c>
    </row>
    <row r="984" spans="11:14" x14ac:dyDescent="0.3">
      <c r="K984" t="s">
        <v>922</v>
      </c>
      <c r="L984">
        <v>5.2249999999999996</v>
      </c>
      <c r="M984" t="e">
        <f t="shared" si="30"/>
        <v>#N/A</v>
      </c>
      <c r="N984" t="e">
        <f t="shared" si="31"/>
        <v>#N/A</v>
      </c>
    </row>
    <row r="985" spans="11:14" x14ac:dyDescent="0.3">
      <c r="K985" t="s">
        <v>922</v>
      </c>
      <c r="L985">
        <v>5.2249999999999996</v>
      </c>
      <c r="M985" t="e">
        <f t="shared" si="30"/>
        <v>#N/A</v>
      </c>
      <c r="N985" t="e">
        <f t="shared" si="31"/>
        <v>#N/A</v>
      </c>
    </row>
    <row r="986" spans="11:14" x14ac:dyDescent="0.3">
      <c r="K986" t="s">
        <v>922</v>
      </c>
      <c r="L986">
        <v>5.2249999999999996</v>
      </c>
      <c r="M986" t="e">
        <f t="shared" si="30"/>
        <v>#N/A</v>
      </c>
      <c r="N986" t="e">
        <f t="shared" si="31"/>
        <v>#N/A</v>
      </c>
    </row>
    <row r="987" spans="11:14" x14ac:dyDescent="0.3">
      <c r="K987" t="s">
        <v>922</v>
      </c>
      <c r="L987">
        <v>5.2249999999999996</v>
      </c>
      <c r="M987" t="e">
        <f t="shared" si="30"/>
        <v>#N/A</v>
      </c>
      <c r="N987" t="e">
        <f t="shared" si="31"/>
        <v>#N/A</v>
      </c>
    </row>
    <row r="988" spans="11:14" x14ac:dyDescent="0.3">
      <c r="K988" t="s">
        <v>922</v>
      </c>
      <c r="L988">
        <v>5.2249999999999996</v>
      </c>
      <c r="M988" t="e">
        <f t="shared" si="30"/>
        <v>#N/A</v>
      </c>
      <c r="N988" t="e">
        <f t="shared" si="31"/>
        <v>#N/A</v>
      </c>
    </row>
    <row r="989" spans="11:14" x14ac:dyDescent="0.3">
      <c r="K989" t="s">
        <v>922</v>
      </c>
      <c r="L989">
        <v>5.2249999999999996</v>
      </c>
      <c r="M989" t="e">
        <f t="shared" si="30"/>
        <v>#N/A</v>
      </c>
      <c r="N989" t="e">
        <f t="shared" si="31"/>
        <v>#N/A</v>
      </c>
    </row>
    <row r="990" spans="11:14" x14ac:dyDescent="0.3">
      <c r="K990" t="s">
        <v>922</v>
      </c>
      <c r="L990">
        <v>5.2249999999999996</v>
      </c>
      <c r="M990" t="e">
        <f t="shared" si="30"/>
        <v>#N/A</v>
      </c>
      <c r="N990" t="e">
        <f t="shared" si="31"/>
        <v>#N/A</v>
      </c>
    </row>
    <row r="991" spans="11:14" x14ac:dyDescent="0.3">
      <c r="K991" t="s">
        <v>922</v>
      </c>
      <c r="L991">
        <v>5.2249999999999996</v>
      </c>
      <c r="M991" t="e">
        <f t="shared" si="30"/>
        <v>#N/A</v>
      </c>
      <c r="N991" t="e">
        <f t="shared" si="31"/>
        <v>#N/A</v>
      </c>
    </row>
    <row r="992" spans="11:14" x14ac:dyDescent="0.3">
      <c r="K992" t="s">
        <v>922</v>
      </c>
      <c r="L992">
        <v>5.2249999999999996</v>
      </c>
      <c r="M992" t="e">
        <f t="shared" si="30"/>
        <v>#N/A</v>
      </c>
      <c r="N992" t="e">
        <f t="shared" si="31"/>
        <v>#N/A</v>
      </c>
    </row>
    <row r="993" spans="11:14" x14ac:dyDescent="0.3">
      <c r="K993" t="s">
        <v>922</v>
      </c>
      <c r="L993">
        <v>5.2249999999999996</v>
      </c>
      <c r="M993" t="e">
        <f t="shared" si="30"/>
        <v>#N/A</v>
      </c>
      <c r="N993" t="e">
        <f t="shared" si="31"/>
        <v>#N/A</v>
      </c>
    </row>
    <row r="994" spans="11:14" x14ac:dyDescent="0.3">
      <c r="K994" t="s">
        <v>922</v>
      </c>
      <c r="L994">
        <v>5.2249999999999996</v>
      </c>
      <c r="M994" t="e">
        <f t="shared" si="30"/>
        <v>#N/A</v>
      </c>
      <c r="N994" t="e">
        <f t="shared" si="31"/>
        <v>#N/A</v>
      </c>
    </row>
    <row r="995" spans="11:14" x14ac:dyDescent="0.3">
      <c r="K995" t="s">
        <v>923</v>
      </c>
      <c r="L995">
        <v>3.3778000000000001</v>
      </c>
      <c r="M995" t="e">
        <f t="shared" si="30"/>
        <v>#N/A</v>
      </c>
      <c r="N995" t="e">
        <f t="shared" si="31"/>
        <v>#N/A</v>
      </c>
    </row>
    <row r="996" spans="11:14" x14ac:dyDescent="0.3">
      <c r="K996" t="s">
        <v>923</v>
      </c>
      <c r="L996">
        <v>3.3778000000000001</v>
      </c>
      <c r="M996" t="e">
        <f t="shared" si="30"/>
        <v>#N/A</v>
      </c>
      <c r="N996" t="e">
        <f t="shared" si="31"/>
        <v>#N/A</v>
      </c>
    </row>
    <row r="997" spans="11:14" x14ac:dyDescent="0.3">
      <c r="K997" t="s">
        <v>923</v>
      </c>
      <c r="L997">
        <v>3.3778000000000001</v>
      </c>
      <c r="M997" t="e">
        <f t="shared" si="30"/>
        <v>#N/A</v>
      </c>
      <c r="N997" t="e">
        <f t="shared" si="31"/>
        <v>#N/A</v>
      </c>
    </row>
    <row r="998" spans="11:14" x14ac:dyDescent="0.3">
      <c r="K998" t="s">
        <v>924</v>
      </c>
      <c r="L998">
        <v>5.2249999999999996</v>
      </c>
      <c r="M998" t="e">
        <f t="shared" si="30"/>
        <v>#N/A</v>
      </c>
      <c r="N998" t="e">
        <f t="shared" si="31"/>
        <v>#N/A</v>
      </c>
    </row>
    <row r="999" spans="11:14" x14ac:dyDescent="0.3">
      <c r="K999" t="s">
        <v>925</v>
      </c>
      <c r="L999">
        <v>5.2249999999999996</v>
      </c>
      <c r="M999" t="e">
        <f t="shared" si="30"/>
        <v>#N/A</v>
      </c>
      <c r="N999" t="e">
        <f t="shared" si="31"/>
        <v>#N/A</v>
      </c>
    </row>
    <row r="1000" spans="11:14" x14ac:dyDescent="0.3">
      <c r="K1000" t="s">
        <v>925</v>
      </c>
      <c r="L1000">
        <v>5.2249999999999996</v>
      </c>
      <c r="M1000" t="e">
        <f t="shared" si="30"/>
        <v>#N/A</v>
      </c>
      <c r="N1000" t="e">
        <f t="shared" si="31"/>
        <v>#N/A</v>
      </c>
    </row>
    <row r="1001" spans="11:14" x14ac:dyDescent="0.3">
      <c r="K1001" t="s">
        <v>925</v>
      </c>
      <c r="L1001">
        <v>5.2249999999999996</v>
      </c>
      <c r="M1001" t="e">
        <f t="shared" si="30"/>
        <v>#N/A</v>
      </c>
      <c r="N1001" t="e">
        <f t="shared" si="31"/>
        <v>#N/A</v>
      </c>
    </row>
    <row r="1002" spans="11:14" x14ac:dyDescent="0.3">
      <c r="K1002" t="s">
        <v>925</v>
      </c>
      <c r="L1002">
        <v>5.2249999999999996</v>
      </c>
      <c r="M1002" t="e">
        <f t="shared" si="30"/>
        <v>#N/A</v>
      </c>
      <c r="N1002" t="e">
        <f t="shared" si="31"/>
        <v>#N/A</v>
      </c>
    </row>
    <row r="1003" spans="11:14" x14ac:dyDescent="0.3">
      <c r="K1003" t="s">
        <v>925</v>
      </c>
      <c r="L1003">
        <v>5.2249999999999996</v>
      </c>
      <c r="M1003" t="e">
        <f t="shared" si="30"/>
        <v>#N/A</v>
      </c>
      <c r="N1003" t="e">
        <f t="shared" si="31"/>
        <v>#N/A</v>
      </c>
    </row>
    <row r="1004" spans="11:14" x14ac:dyDescent="0.3">
      <c r="K1004" t="s">
        <v>925</v>
      </c>
      <c r="L1004">
        <v>5.2249999999999996</v>
      </c>
      <c r="M1004" t="e">
        <f t="shared" si="30"/>
        <v>#N/A</v>
      </c>
      <c r="N1004" t="e">
        <f t="shared" si="31"/>
        <v>#N/A</v>
      </c>
    </row>
    <row r="1005" spans="11:14" x14ac:dyDescent="0.3">
      <c r="K1005" t="s">
        <v>925</v>
      </c>
      <c r="L1005">
        <v>5.2249999999999996</v>
      </c>
      <c r="M1005" t="e">
        <f t="shared" si="30"/>
        <v>#N/A</v>
      </c>
      <c r="N1005" t="e">
        <f t="shared" si="31"/>
        <v>#N/A</v>
      </c>
    </row>
    <row r="1006" spans="11:14" x14ac:dyDescent="0.3">
      <c r="K1006" t="s">
        <v>925</v>
      </c>
      <c r="L1006">
        <v>5.2249999999999996</v>
      </c>
      <c r="M1006" t="e">
        <f t="shared" si="30"/>
        <v>#N/A</v>
      </c>
      <c r="N1006" t="e">
        <f t="shared" si="31"/>
        <v>#N/A</v>
      </c>
    </row>
    <row r="1007" spans="11:14" x14ac:dyDescent="0.3">
      <c r="K1007" t="s">
        <v>925</v>
      </c>
      <c r="L1007">
        <v>5.2249999999999996</v>
      </c>
      <c r="M1007" t="e">
        <f t="shared" si="30"/>
        <v>#N/A</v>
      </c>
      <c r="N1007" t="e">
        <f t="shared" si="31"/>
        <v>#N/A</v>
      </c>
    </row>
    <row r="1008" spans="11:14" x14ac:dyDescent="0.3">
      <c r="K1008" t="s">
        <v>925</v>
      </c>
      <c r="L1008">
        <v>5.2249999999999996</v>
      </c>
      <c r="M1008" t="e">
        <f t="shared" si="30"/>
        <v>#N/A</v>
      </c>
      <c r="N1008" t="e">
        <f t="shared" si="31"/>
        <v>#N/A</v>
      </c>
    </row>
    <row r="1009" spans="11:14" x14ac:dyDescent="0.3">
      <c r="K1009" t="s">
        <v>925</v>
      </c>
      <c r="L1009">
        <v>5.2249999999999996</v>
      </c>
      <c r="M1009" t="e">
        <f t="shared" si="30"/>
        <v>#N/A</v>
      </c>
      <c r="N1009" t="e">
        <f t="shared" si="31"/>
        <v>#N/A</v>
      </c>
    </row>
    <row r="1010" spans="11:14" x14ac:dyDescent="0.3">
      <c r="K1010" t="s">
        <v>925</v>
      </c>
      <c r="L1010">
        <v>5.2249999999999996</v>
      </c>
      <c r="M1010" t="e">
        <f t="shared" si="30"/>
        <v>#N/A</v>
      </c>
      <c r="N1010" t="e">
        <f t="shared" si="31"/>
        <v>#N/A</v>
      </c>
    </row>
    <row r="1011" spans="11:14" x14ac:dyDescent="0.3">
      <c r="K1011" t="s">
        <v>925</v>
      </c>
      <c r="L1011">
        <v>5.2249999999999996</v>
      </c>
      <c r="M1011" t="e">
        <f t="shared" si="30"/>
        <v>#N/A</v>
      </c>
      <c r="N1011" t="e">
        <f t="shared" si="31"/>
        <v>#N/A</v>
      </c>
    </row>
    <row r="1012" spans="11:14" x14ac:dyDescent="0.3">
      <c r="K1012" t="s">
        <v>926</v>
      </c>
      <c r="L1012">
        <v>7.1035000000000004</v>
      </c>
      <c r="M1012" t="e">
        <f t="shared" si="30"/>
        <v>#N/A</v>
      </c>
      <c r="N1012" t="e">
        <f t="shared" si="31"/>
        <v>#N/A</v>
      </c>
    </row>
    <row r="1013" spans="11:14" x14ac:dyDescent="0.3">
      <c r="K1013" t="s">
        <v>927</v>
      </c>
      <c r="L1013">
        <v>3.3778000000000001</v>
      </c>
      <c r="M1013" t="e">
        <f t="shared" si="30"/>
        <v>#N/A</v>
      </c>
      <c r="N1013" t="e">
        <f t="shared" si="31"/>
        <v>#N/A</v>
      </c>
    </row>
    <row r="1014" spans="11:14" x14ac:dyDescent="0.3">
      <c r="K1014" t="s">
        <v>927</v>
      </c>
      <c r="L1014">
        <v>3.3778000000000001</v>
      </c>
      <c r="M1014" t="e">
        <f t="shared" si="30"/>
        <v>#N/A</v>
      </c>
      <c r="N1014" t="e">
        <f t="shared" si="31"/>
        <v>#N/A</v>
      </c>
    </row>
    <row r="1015" spans="11:14" x14ac:dyDescent="0.3">
      <c r="K1015" t="s">
        <v>928</v>
      </c>
      <c r="L1015">
        <v>5.2249999999999996</v>
      </c>
      <c r="M1015" t="e">
        <f t="shared" si="30"/>
        <v>#N/A</v>
      </c>
      <c r="N1015" t="e">
        <f t="shared" si="31"/>
        <v>#N/A</v>
      </c>
    </row>
    <row r="1016" spans="11:14" x14ac:dyDescent="0.3">
      <c r="K1016" t="s">
        <v>929</v>
      </c>
      <c r="L1016">
        <v>4.2621000000000002</v>
      </c>
      <c r="M1016" t="e">
        <f t="shared" si="30"/>
        <v>#N/A</v>
      </c>
      <c r="N1016" t="e">
        <f t="shared" si="31"/>
        <v>#N/A</v>
      </c>
    </row>
    <row r="1017" spans="11:14" x14ac:dyDescent="0.3">
      <c r="K1017" t="s">
        <v>930</v>
      </c>
      <c r="L1017">
        <v>8.36</v>
      </c>
      <c r="M1017" t="e">
        <f t="shared" si="30"/>
        <v>#N/A</v>
      </c>
      <c r="N1017" t="e">
        <f t="shared" si="31"/>
        <v>#N/A</v>
      </c>
    </row>
    <row r="1018" spans="11:14" x14ac:dyDescent="0.3">
      <c r="K1018" t="s">
        <v>931</v>
      </c>
      <c r="L1018">
        <v>17.018899999999999</v>
      </c>
      <c r="M1018" t="e">
        <f t="shared" si="30"/>
        <v>#N/A</v>
      </c>
      <c r="N1018" t="e">
        <f t="shared" si="31"/>
        <v>#N/A</v>
      </c>
    </row>
    <row r="1019" spans="11:14" x14ac:dyDescent="0.3">
      <c r="K1019" t="s">
        <v>931</v>
      </c>
      <c r="L1019">
        <v>17.018899999999999</v>
      </c>
      <c r="M1019" t="e">
        <f t="shared" si="30"/>
        <v>#N/A</v>
      </c>
      <c r="N1019" t="e">
        <f t="shared" si="31"/>
        <v>#N/A</v>
      </c>
    </row>
    <row r="1020" spans="11:14" x14ac:dyDescent="0.3">
      <c r="K1020" t="s">
        <v>931</v>
      </c>
      <c r="L1020">
        <v>17.018899999999999</v>
      </c>
      <c r="M1020" t="e">
        <f t="shared" si="30"/>
        <v>#N/A</v>
      </c>
      <c r="N1020" t="e">
        <f t="shared" si="31"/>
        <v>#N/A</v>
      </c>
    </row>
    <row r="1021" spans="11:14" x14ac:dyDescent="0.3">
      <c r="K1021" t="s">
        <v>931</v>
      </c>
      <c r="L1021">
        <v>17.018899999999999</v>
      </c>
      <c r="M1021" t="e">
        <f t="shared" si="30"/>
        <v>#N/A</v>
      </c>
      <c r="N1021" t="e">
        <f t="shared" si="31"/>
        <v>#N/A</v>
      </c>
    </row>
    <row r="1022" spans="11:14" x14ac:dyDescent="0.3">
      <c r="K1022" t="s">
        <v>931</v>
      </c>
      <c r="L1022">
        <v>17.018899999999999</v>
      </c>
      <c r="M1022" t="e">
        <f t="shared" si="30"/>
        <v>#N/A</v>
      </c>
      <c r="N1022" t="e">
        <f t="shared" si="31"/>
        <v>#N/A</v>
      </c>
    </row>
    <row r="1023" spans="11:14" x14ac:dyDescent="0.3">
      <c r="K1023" t="s">
        <v>931</v>
      </c>
      <c r="L1023">
        <v>17.018899999999999</v>
      </c>
      <c r="M1023" t="e">
        <f t="shared" si="30"/>
        <v>#N/A</v>
      </c>
      <c r="N1023" t="e">
        <f t="shared" si="31"/>
        <v>#N/A</v>
      </c>
    </row>
    <row r="1024" spans="11:14" x14ac:dyDescent="0.3">
      <c r="K1024" t="s">
        <v>931</v>
      </c>
      <c r="L1024">
        <v>17.018899999999999</v>
      </c>
      <c r="M1024" t="e">
        <f t="shared" si="30"/>
        <v>#N/A</v>
      </c>
      <c r="N1024" t="e">
        <f t="shared" si="31"/>
        <v>#N/A</v>
      </c>
    </row>
    <row r="1025" spans="11:14" x14ac:dyDescent="0.3">
      <c r="K1025" t="s">
        <v>931</v>
      </c>
      <c r="L1025">
        <v>17.018899999999999</v>
      </c>
      <c r="M1025" t="e">
        <f t="shared" si="30"/>
        <v>#N/A</v>
      </c>
      <c r="N1025" t="e">
        <f t="shared" si="31"/>
        <v>#N/A</v>
      </c>
    </row>
    <row r="1026" spans="11:14" x14ac:dyDescent="0.3">
      <c r="K1026" t="s">
        <v>931</v>
      </c>
      <c r="L1026">
        <v>17.018899999999999</v>
      </c>
      <c r="M1026" t="e">
        <f t="shared" si="30"/>
        <v>#N/A</v>
      </c>
      <c r="N1026" t="e">
        <f t="shared" si="31"/>
        <v>#N/A</v>
      </c>
    </row>
    <row r="1027" spans="11:14" x14ac:dyDescent="0.3">
      <c r="K1027" t="s">
        <v>931</v>
      </c>
      <c r="L1027">
        <v>17.018899999999999</v>
      </c>
      <c r="M1027" t="e">
        <f t="shared" ref="M1027:M1090" si="32">_xlfn.XLOOKUP(K1027,A:A,B:B)</f>
        <v>#N/A</v>
      </c>
      <c r="N1027" t="e">
        <f t="shared" ref="N1027:N1090" si="33">L1027-M1027</f>
        <v>#N/A</v>
      </c>
    </row>
    <row r="1028" spans="11:14" x14ac:dyDescent="0.3">
      <c r="K1028" t="s">
        <v>931</v>
      </c>
      <c r="L1028">
        <v>17.018899999999999</v>
      </c>
      <c r="M1028" t="e">
        <f t="shared" si="32"/>
        <v>#N/A</v>
      </c>
      <c r="N1028" t="e">
        <f t="shared" si="33"/>
        <v>#N/A</v>
      </c>
    </row>
    <row r="1029" spans="11:14" x14ac:dyDescent="0.3">
      <c r="K1029" t="s">
        <v>932</v>
      </c>
      <c r="L1029">
        <v>20.794</v>
      </c>
      <c r="M1029" t="e">
        <f t="shared" si="32"/>
        <v>#N/A</v>
      </c>
      <c r="N1029" t="e">
        <f t="shared" si="33"/>
        <v>#N/A</v>
      </c>
    </row>
    <row r="1030" spans="11:14" x14ac:dyDescent="0.3">
      <c r="K1030" t="s">
        <v>933</v>
      </c>
      <c r="L1030">
        <v>17.882000000000001</v>
      </c>
      <c r="M1030" t="e">
        <f t="shared" si="32"/>
        <v>#N/A</v>
      </c>
      <c r="N1030" t="e">
        <f t="shared" si="33"/>
        <v>#N/A</v>
      </c>
    </row>
    <row r="1031" spans="11:14" x14ac:dyDescent="0.3">
      <c r="K1031" t="s">
        <v>934</v>
      </c>
      <c r="L1031">
        <v>10.1762</v>
      </c>
      <c r="M1031" t="e">
        <f t="shared" si="32"/>
        <v>#N/A</v>
      </c>
      <c r="N1031" t="e">
        <f t="shared" si="33"/>
        <v>#N/A</v>
      </c>
    </row>
    <row r="1032" spans="11:14" x14ac:dyDescent="0.3">
      <c r="K1032" t="s">
        <v>935</v>
      </c>
      <c r="L1032">
        <v>11.382300000000001</v>
      </c>
      <c r="M1032" t="e">
        <f t="shared" si="32"/>
        <v>#N/A</v>
      </c>
      <c r="N1032" t="e">
        <f t="shared" si="33"/>
        <v>#N/A</v>
      </c>
    </row>
    <row r="1033" spans="11:14" x14ac:dyDescent="0.3">
      <c r="K1033" t="s">
        <v>936</v>
      </c>
      <c r="L1033">
        <v>10.1762</v>
      </c>
      <c r="M1033" t="e">
        <f t="shared" si="32"/>
        <v>#N/A</v>
      </c>
      <c r="N1033" t="e">
        <f t="shared" si="33"/>
        <v>#N/A</v>
      </c>
    </row>
    <row r="1034" spans="11:14" x14ac:dyDescent="0.3">
      <c r="K1034" t="s">
        <v>937</v>
      </c>
      <c r="L1034">
        <v>15.8185</v>
      </c>
      <c r="M1034" t="e">
        <f t="shared" si="32"/>
        <v>#N/A</v>
      </c>
      <c r="N1034" t="e">
        <f t="shared" si="33"/>
        <v>#N/A</v>
      </c>
    </row>
    <row r="1035" spans="11:14" x14ac:dyDescent="0.3">
      <c r="K1035" t="s">
        <v>938</v>
      </c>
      <c r="L1035">
        <v>13.5885</v>
      </c>
      <c r="M1035" t="e">
        <f t="shared" si="32"/>
        <v>#N/A</v>
      </c>
      <c r="N1035" t="e">
        <f t="shared" si="33"/>
        <v>#N/A</v>
      </c>
    </row>
    <row r="1036" spans="11:14" x14ac:dyDescent="0.3">
      <c r="K1036" t="s">
        <v>939</v>
      </c>
      <c r="L1036">
        <v>16.857900000000001</v>
      </c>
      <c r="M1036" t="e">
        <f t="shared" si="32"/>
        <v>#N/A</v>
      </c>
      <c r="N1036" t="e">
        <f t="shared" si="33"/>
        <v>#N/A</v>
      </c>
    </row>
    <row r="1037" spans="11:14" x14ac:dyDescent="0.3">
      <c r="K1037" t="s">
        <v>939</v>
      </c>
      <c r="L1037">
        <v>16.857900000000001</v>
      </c>
      <c r="M1037" t="e">
        <f t="shared" si="32"/>
        <v>#N/A</v>
      </c>
      <c r="N1037" t="e">
        <f t="shared" si="33"/>
        <v>#N/A</v>
      </c>
    </row>
    <row r="1038" spans="11:14" x14ac:dyDescent="0.3">
      <c r="K1038" t="s">
        <v>939</v>
      </c>
      <c r="L1038">
        <v>16.857900000000001</v>
      </c>
      <c r="M1038" t="e">
        <f t="shared" si="32"/>
        <v>#N/A</v>
      </c>
      <c r="N1038" t="e">
        <f t="shared" si="33"/>
        <v>#N/A</v>
      </c>
    </row>
    <row r="1039" spans="11:14" x14ac:dyDescent="0.3">
      <c r="K1039" t="s">
        <v>939</v>
      </c>
      <c r="L1039">
        <v>16.857900000000001</v>
      </c>
      <c r="M1039" t="e">
        <f t="shared" si="32"/>
        <v>#N/A</v>
      </c>
      <c r="N1039" t="e">
        <f t="shared" si="33"/>
        <v>#N/A</v>
      </c>
    </row>
    <row r="1040" spans="11:14" x14ac:dyDescent="0.3">
      <c r="K1040" t="s">
        <v>939</v>
      </c>
      <c r="L1040">
        <v>16.857900000000001</v>
      </c>
      <c r="M1040" t="e">
        <f t="shared" si="32"/>
        <v>#N/A</v>
      </c>
      <c r="N1040" t="e">
        <f t="shared" si="33"/>
        <v>#N/A</v>
      </c>
    </row>
    <row r="1041" spans="11:14" x14ac:dyDescent="0.3">
      <c r="K1041" t="s">
        <v>939</v>
      </c>
      <c r="L1041">
        <v>16.857900000000001</v>
      </c>
      <c r="M1041" t="e">
        <f t="shared" si="32"/>
        <v>#N/A</v>
      </c>
      <c r="N1041" t="e">
        <f t="shared" si="33"/>
        <v>#N/A</v>
      </c>
    </row>
    <row r="1042" spans="11:14" x14ac:dyDescent="0.3">
      <c r="K1042" t="s">
        <v>939</v>
      </c>
      <c r="L1042">
        <v>16.857900000000001</v>
      </c>
      <c r="M1042" t="e">
        <f t="shared" si="32"/>
        <v>#N/A</v>
      </c>
      <c r="N1042" t="e">
        <f t="shared" si="33"/>
        <v>#N/A</v>
      </c>
    </row>
    <row r="1043" spans="11:14" x14ac:dyDescent="0.3">
      <c r="K1043" t="s">
        <v>939</v>
      </c>
      <c r="L1043">
        <v>16.857900000000001</v>
      </c>
      <c r="M1043" t="e">
        <f t="shared" si="32"/>
        <v>#N/A</v>
      </c>
      <c r="N1043" t="e">
        <f t="shared" si="33"/>
        <v>#N/A</v>
      </c>
    </row>
    <row r="1044" spans="11:14" x14ac:dyDescent="0.3">
      <c r="K1044" t="s">
        <v>939</v>
      </c>
      <c r="L1044">
        <v>16.857900000000001</v>
      </c>
      <c r="M1044" t="e">
        <f t="shared" si="32"/>
        <v>#N/A</v>
      </c>
      <c r="N1044" t="e">
        <f t="shared" si="33"/>
        <v>#N/A</v>
      </c>
    </row>
    <row r="1045" spans="11:14" x14ac:dyDescent="0.3">
      <c r="K1045" t="s">
        <v>939</v>
      </c>
      <c r="L1045">
        <v>16.857900000000001</v>
      </c>
      <c r="M1045" t="e">
        <f t="shared" si="32"/>
        <v>#N/A</v>
      </c>
      <c r="N1045" t="e">
        <f t="shared" si="33"/>
        <v>#N/A</v>
      </c>
    </row>
    <row r="1046" spans="11:14" x14ac:dyDescent="0.3">
      <c r="K1046" t="s">
        <v>939</v>
      </c>
      <c r="L1046">
        <v>16.857900000000001</v>
      </c>
      <c r="M1046" t="e">
        <f t="shared" si="32"/>
        <v>#N/A</v>
      </c>
      <c r="N1046" t="e">
        <f t="shared" si="33"/>
        <v>#N/A</v>
      </c>
    </row>
    <row r="1047" spans="11:14" x14ac:dyDescent="0.3">
      <c r="K1047" t="s">
        <v>940</v>
      </c>
      <c r="L1047">
        <v>8.0993999999999993</v>
      </c>
      <c r="M1047" t="e">
        <f t="shared" si="32"/>
        <v>#N/A</v>
      </c>
      <c r="N1047" t="e">
        <f t="shared" si="33"/>
        <v>#N/A</v>
      </c>
    </row>
    <row r="1048" spans="11:14" x14ac:dyDescent="0.3">
      <c r="K1048" t="s">
        <v>941</v>
      </c>
      <c r="L1048">
        <v>22.539000000000001</v>
      </c>
      <c r="M1048" t="e">
        <f t="shared" si="32"/>
        <v>#N/A</v>
      </c>
      <c r="N1048" t="e">
        <f t="shared" si="33"/>
        <v>#N/A</v>
      </c>
    </row>
    <row r="1049" spans="11:14" x14ac:dyDescent="0.3">
      <c r="K1049" t="s">
        <v>942</v>
      </c>
      <c r="L1049">
        <v>10.016500000000001</v>
      </c>
      <c r="M1049" t="e">
        <f t="shared" si="32"/>
        <v>#N/A</v>
      </c>
      <c r="N1049" t="e">
        <f t="shared" si="33"/>
        <v>#N/A</v>
      </c>
    </row>
    <row r="1050" spans="11:14" x14ac:dyDescent="0.3">
      <c r="K1050" t="s">
        <v>943</v>
      </c>
      <c r="L1050">
        <v>10.016500000000001</v>
      </c>
      <c r="M1050" t="e">
        <f t="shared" si="32"/>
        <v>#N/A</v>
      </c>
      <c r="N1050" t="e">
        <f t="shared" si="33"/>
        <v>#N/A</v>
      </c>
    </row>
    <row r="1051" spans="11:14" x14ac:dyDescent="0.3">
      <c r="K1051" t="s">
        <v>944</v>
      </c>
      <c r="L1051">
        <v>12.0448</v>
      </c>
      <c r="M1051" t="e">
        <f t="shared" si="32"/>
        <v>#N/A</v>
      </c>
      <c r="N1051" t="e">
        <f t="shared" si="33"/>
        <v>#N/A</v>
      </c>
    </row>
    <row r="1052" spans="11:14" x14ac:dyDescent="0.3">
      <c r="K1052" t="s">
        <v>945</v>
      </c>
      <c r="L1052">
        <v>3.4163000000000001</v>
      </c>
      <c r="M1052" t="e">
        <f t="shared" si="32"/>
        <v>#N/A</v>
      </c>
      <c r="N1052" t="e">
        <f t="shared" si="33"/>
        <v>#N/A</v>
      </c>
    </row>
    <row r="1053" spans="11:14" x14ac:dyDescent="0.3">
      <c r="K1053" t="s">
        <v>946</v>
      </c>
      <c r="L1053">
        <v>3.4799000000000002</v>
      </c>
      <c r="M1053" t="e">
        <f t="shared" si="32"/>
        <v>#N/A</v>
      </c>
      <c r="N1053" t="e">
        <f t="shared" si="33"/>
        <v>#N/A</v>
      </c>
    </row>
    <row r="1054" spans="11:14" x14ac:dyDescent="0.3">
      <c r="K1054" t="s">
        <v>947</v>
      </c>
      <c r="L1054">
        <v>3.4799000000000002</v>
      </c>
      <c r="M1054" t="e">
        <f t="shared" si="32"/>
        <v>#N/A</v>
      </c>
      <c r="N1054" t="e">
        <f t="shared" si="33"/>
        <v>#N/A</v>
      </c>
    </row>
    <row r="1055" spans="11:14" x14ac:dyDescent="0.3">
      <c r="K1055" t="s">
        <v>948</v>
      </c>
      <c r="L1055">
        <v>4.1806999999999999</v>
      </c>
      <c r="M1055" t="e">
        <f t="shared" si="32"/>
        <v>#N/A</v>
      </c>
      <c r="N1055" t="e">
        <f t="shared" si="33"/>
        <v>#N/A</v>
      </c>
    </row>
    <row r="1056" spans="11:14" x14ac:dyDescent="0.3">
      <c r="K1056" t="s">
        <v>949</v>
      </c>
      <c r="L1056">
        <v>27.903400000000001</v>
      </c>
      <c r="M1056" t="e">
        <f t="shared" si="32"/>
        <v>#N/A</v>
      </c>
      <c r="N1056" t="e">
        <f t="shared" si="33"/>
        <v>#N/A</v>
      </c>
    </row>
    <row r="1057" spans="11:14" x14ac:dyDescent="0.3">
      <c r="K1057" t="s">
        <v>950</v>
      </c>
      <c r="L1057">
        <v>29.1571</v>
      </c>
      <c r="M1057" t="e">
        <f t="shared" si="32"/>
        <v>#N/A</v>
      </c>
      <c r="N1057" t="e">
        <f t="shared" si="33"/>
        <v>#N/A</v>
      </c>
    </row>
    <row r="1058" spans="11:14" x14ac:dyDescent="0.3">
      <c r="K1058" t="s">
        <v>951</v>
      </c>
      <c r="L1058">
        <v>4.9261999999999997</v>
      </c>
      <c r="M1058" t="e">
        <f t="shared" si="32"/>
        <v>#N/A</v>
      </c>
      <c r="N1058" t="e">
        <f t="shared" si="33"/>
        <v>#N/A</v>
      </c>
    </row>
    <row r="1059" spans="11:14" x14ac:dyDescent="0.3">
      <c r="K1059" t="s">
        <v>952</v>
      </c>
      <c r="L1059">
        <v>10.032</v>
      </c>
      <c r="M1059" t="e">
        <f t="shared" si="32"/>
        <v>#N/A</v>
      </c>
      <c r="N1059" t="e">
        <f t="shared" si="33"/>
        <v>#N/A</v>
      </c>
    </row>
    <row r="1060" spans="11:14" x14ac:dyDescent="0.3">
      <c r="K1060" t="s">
        <v>953</v>
      </c>
      <c r="L1060">
        <v>10.659000000000001</v>
      </c>
      <c r="M1060" t="e">
        <f t="shared" si="32"/>
        <v>#N/A</v>
      </c>
      <c r="N1060" t="e">
        <f t="shared" si="33"/>
        <v>#N/A</v>
      </c>
    </row>
    <row r="1061" spans="11:14" x14ac:dyDescent="0.3">
      <c r="K1061" t="s">
        <v>954</v>
      </c>
      <c r="L1061">
        <v>6.2244999999999999</v>
      </c>
      <c r="M1061" t="e">
        <f t="shared" si="32"/>
        <v>#N/A</v>
      </c>
      <c r="N1061" t="e">
        <f t="shared" si="33"/>
        <v>#N/A</v>
      </c>
    </row>
    <row r="1062" spans="11:14" x14ac:dyDescent="0.3">
      <c r="K1062" t="s">
        <v>955</v>
      </c>
      <c r="L1062">
        <v>8.5690000000000008</v>
      </c>
      <c r="M1062" t="e">
        <f t="shared" si="32"/>
        <v>#N/A</v>
      </c>
      <c r="N1062" t="e">
        <f t="shared" si="33"/>
        <v>#N/A</v>
      </c>
    </row>
    <row r="1063" spans="11:14" x14ac:dyDescent="0.3">
      <c r="K1063" t="s">
        <v>955</v>
      </c>
      <c r="L1063">
        <v>8.5690000000000008</v>
      </c>
      <c r="M1063" t="e">
        <f t="shared" si="32"/>
        <v>#N/A</v>
      </c>
      <c r="N1063" t="e">
        <f t="shared" si="33"/>
        <v>#N/A</v>
      </c>
    </row>
    <row r="1064" spans="11:14" x14ac:dyDescent="0.3">
      <c r="K1064" t="s">
        <v>956</v>
      </c>
      <c r="L1064">
        <v>16.125699999999998</v>
      </c>
      <c r="M1064" t="e">
        <f t="shared" si="32"/>
        <v>#N/A</v>
      </c>
      <c r="N1064" t="e">
        <f t="shared" si="33"/>
        <v>#N/A</v>
      </c>
    </row>
    <row r="1065" spans="11:14" x14ac:dyDescent="0.3">
      <c r="K1065" t="s">
        <v>957</v>
      </c>
      <c r="L1065">
        <v>16.825299999999999</v>
      </c>
      <c r="M1065" t="e">
        <f t="shared" si="32"/>
        <v>#N/A</v>
      </c>
      <c r="N1065" t="e">
        <f t="shared" si="33"/>
        <v>#N/A</v>
      </c>
    </row>
    <row r="1066" spans="11:14" x14ac:dyDescent="0.3">
      <c r="K1066" t="s">
        <v>958</v>
      </c>
      <c r="L1066">
        <v>45.427399999999999</v>
      </c>
      <c r="M1066" t="e">
        <f t="shared" si="32"/>
        <v>#N/A</v>
      </c>
      <c r="N1066" t="e">
        <f t="shared" si="33"/>
        <v>#N/A</v>
      </c>
    </row>
    <row r="1067" spans="11:14" x14ac:dyDescent="0.3">
      <c r="K1067" t="s">
        <v>959</v>
      </c>
      <c r="L1067">
        <v>28.120200000000001</v>
      </c>
      <c r="M1067" t="e">
        <f t="shared" si="32"/>
        <v>#N/A</v>
      </c>
      <c r="N1067" t="e">
        <f t="shared" si="33"/>
        <v>#N/A</v>
      </c>
    </row>
    <row r="1068" spans="11:14" x14ac:dyDescent="0.3">
      <c r="K1068" t="s">
        <v>960</v>
      </c>
      <c r="L1068">
        <v>44.728200000000001</v>
      </c>
      <c r="M1068" t="e">
        <f t="shared" si="32"/>
        <v>#N/A</v>
      </c>
      <c r="N1068" t="e">
        <f t="shared" si="33"/>
        <v>#N/A</v>
      </c>
    </row>
    <row r="1069" spans="11:14" x14ac:dyDescent="0.3">
      <c r="K1069" t="s">
        <v>961</v>
      </c>
      <c r="L1069">
        <v>12.513999999999999</v>
      </c>
      <c r="M1069" t="e">
        <f t="shared" si="32"/>
        <v>#N/A</v>
      </c>
      <c r="N1069" t="e">
        <f t="shared" si="33"/>
        <v>#N/A</v>
      </c>
    </row>
    <row r="1070" spans="11:14" x14ac:dyDescent="0.3">
      <c r="K1070" t="s">
        <v>962</v>
      </c>
      <c r="L1070">
        <v>12.6517</v>
      </c>
      <c r="M1070" t="e">
        <f t="shared" si="32"/>
        <v>#N/A</v>
      </c>
      <c r="N1070" t="e">
        <f t="shared" si="33"/>
        <v>#N/A</v>
      </c>
    </row>
    <row r="1071" spans="11:14" x14ac:dyDescent="0.3">
      <c r="K1071" t="s">
        <v>962</v>
      </c>
      <c r="L1071">
        <v>12.6517</v>
      </c>
      <c r="M1071" t="e">
        <f t="shared" si="32"/>
        <v>#N/A</v>
      </c>
      <c r="N1071" t="e">
        <f t="shared" si="33"/>
        <v>#N/A</v>
      </c>
    </row>
    <row r="1072" spans="11:14" x14ac:dyDescent="0.3">
      <c r="K1072" t="s">
        <v>963</v>
      </c>
      <c r="L1072">
        <v>17.730399999999999</v>
      </c>
      <c r="M1072" t="e">
        <f t="shared" si="32"/>
        <v>#N/A</v>
      </c>
      <c r="N1072" t="e">
        <f t="shared" si="33"/>
        <v>#N/A</v>
      </c>
    </row>
    <row r="1073" spans="11:14" x14ac:dyDescent="0.3">
      <c r="K1073" t="s">
        <v>964</v>
      </c>
      <c r="L1073">
        <v>5.8112000000000004</v>
      </c>
      <c r="M1073" t="e">
        <f t="shared" si="32"/>
        <v>#N/A</v>
      </c>
      <c r="N1073" t="e">
        <f t="shared" si="33"/>
        <v>#N/A</v>
      </c>
    </row>
    <row r="1074" spans="11:14" x14ac:dyDescent="0.3">
      <c r="K1074" t="s">
        <v>965</v>
      </c>
      <c r="L1074">
        <v>9.2308000000000003</v>
      </c>
      <c r="M1074" t="e">
        <f t="shared" si="32"/>
        <v>#N/A</v>
      </c>
      <c r="N1074" t="e">
        <f t="shared" si="33"/>
        <v>#N/A</v>
      </c>
    </row>
    <row r="1075" spans="11:14" x14ac:dyDescent="0.3">
      <c r="K1075" t="s">
        <v>966</v>
      </c>
      <c r="L1075">
        <v>9.4540000000000006</v>
      </c>
      <c r="M1075" t="e">
        <f t="shared" si="32"/>
        <v>#N/A</v>
      </c>
      <c r="N1075" t="e">
        <f t="shared" si="33"/>
        <v>#N/A</v>
      </c>
    </row>
    <row r="1076" spans="11:14" x14ac:dyDescent="0.3">
      <c r="K1076" t="s">
        <v>967</v>
      </c>
      <c r="L1076">
        <v>12.6517</v>
      </c>
      <c r="M1076" t="e">
        <f t="shared" si="32"/>
        <v>#N/A</v>
      </c>
      <c r="N1076" t="e">
        <f t="shared" si="33"/>
        <v>#N/A</v>
      </c>
    </row>
    <row r="1077" spans="11:14" x14ac:dyDescent="0.3">
      <c r="K1077" t="s">
        <v>967</v>
      </c>
      <c r="L1077">
        <v>12.6517</v>
      </c>
      <c r="M1077" t="e">
        <f t="shared" si="32"/>
        <v>#N/A</v>
      </c>
      <c r="N1077" t="e">
        <f t="shared" si="33"/>
        <v>#N/A</v>
      </c>
    </row>
    <row r="1078" spans="11:14" x14ac:dyDescent="0.3">
      <c r="K1078" t="s">
        <v>968</v>
      </c>
      <c r="L1078">
        <v>9.4540000000000006</v>
      </c>
      <c r="M1078" t="e">
        <f t="shared" si="32"/>
        <v>#N/A</v>
      </c>
      <c r="N1078" t="e">
        <f t="shared" si="33"/>
        <v>#N/A</v>
      </c>
    </row>
    <row r="1079" spans="11:14" x14ac:dyDescent="0.3">
      <c r="K1079" t="s">
        <v>969</v>
      </c>
      <c r="L1079">
        <v>12.6517</v>
      </c>
      <c r="M1079" t="e">
        <f t="shared" si="32"/>
        <v>#N/A</v>
      </c>
      <c r="N1079" t="e">
        <f t="shared" si="33"/>
        <v>#N/A</v>
      </c>
    </row>
    <row r="1080" spans="11:14" x14ac:dyDescent="0.3">
      <c r="K1080" t="s">
        <v>970</v>
      </c>
      <c r="L1080">
        <v>17.730399999999999</v>
      </c>
      <c r="M1080" t="e">
        <f t="shared" si="32"/>
        <v>#N/A</v>
      </c>
      <c r="N1080" t="e">
        <f t="shared" si="33"/>
        <v>#N/A</v>
      </c>
    </row>
    <row r="1081" spans="11:14" x14ac:dyDescent="0.3">
      <c r="K1081" t="s">
        <v>971</v>
      </c>
      <c r="L1081">
        <v>17.997900000000001</v>
      </c>
      <c r="M1081" t="e">
        <f t="shared" si="32"/>
        <v>#N/A</v>
      </c>
      <c r="N1081" t="e">
        <f t="shared" si="33"/>
        <v>#N/A</v>
      </c>
    </row>
    <row r="1082" spans="11:14" x14ac:dyDescent="0.3">
      <c r="K1082" t="s">
        <v>972</v>
      </c>
      <c r="L1082">
        <v>20.492899999999999</v>
      </c>
      <c r="M1082" t="e">
        <f t="shared" si="32"/>
        <v>#N/A</v>
      </c>
      <c r="N1082" t="e">
        <f t="shared" si="33"/>
        <v>#N/A</v>
      </c>
    </row>
    <row r="1083" spans="11:14" x14ac:dyDescent="0.3">
      <c r="K1083" t="s">
        <v>973</v>
      </c>
      <c r="L1083">
        <v>13.2959</v>
      </c>
      <c r="M1083" t="e">
        <f t="shared" si="32"/>
        <v>#N/A</v>
      </c>
      <c r="N1083" t="e">
        <f t="shared" si="33"/>
        <v>#N/A</v>
      </c>
    </row>
    <row r="1084" spans="11:14" x14ac:dyDescent="0.3">
      <c r="K1084" t="s">
        <v>974</v>
      </c>
      <c r="L1084">
        <v>57.910699999999999</v>
      </c>
      <c r="M1084" t="e">
        <f t="shared" si="32"/>
        <v>#N/A</v>
      </c>
      <c r="N1084" t="e">
        <f t="shared" si="33"/>
        <v>#N/A</v>
      </c>
    </row>
    <row r="1085" spans="11:14" x14ac:dyDescent="0.3">
      <c r="K1085" t="s">
        <v>975</v>
      </c>
      <c r="L1085">
        <v>46.463299999999997</v>
      </c>
      <c r="M1085" t="e">
        <f t="shared" si="32"/>
        <v>#N/A</v>
      </c>
      <c r="N1085" t="e">
        <f t="shared" si="33"/>
        <v>#N/A</v>
      </c>
    </row>
    <row r="1086" spans="11:14" x14ac:dyDescent="0.3">
      <c r="K1086" t="s">
        <v>976</v>
      </c>
      <c r="L1086">
        <v>3.1349999999999998</v>
      </c>
      <c r="M1086" t="e">
        <f t="shared" si="32"/>
        <v>#N/A</v>
      </c>
      <c r="N1086" t="e">
        <f t="shared" si="33"/>
        <v>#N/A</v>
      </c>
    </row>
    <row r="1087" spans="11:14" x14ac:dyDescent="0.3">
      <c r="K1087" t="s">
        <v>977</v>
      </c>
      <c r="L1087">
        <v>3.1349999999999998</v>
      </c>
      <c r="M1087" t="e">
        <f t="shared" si="32"/>
        <v>#N/A</v>
      </c>
      <c r="N1087" t="e">
        <f t="shared" si="33"/>
        <v>#N/A</v>
      </c>
    </row>
    <row r="1088" spans="11:14" x14ac:dyDescent="0.3">
      <c r="K1088" t="s">
        <v>978</v>
      </c>
      <c r="L1088">
        <v>17.425999999999998</v>
      </c>
      <c r="M1088" t="e">
        <f t="shared" si="32"/>
        <v>#N/A</v>
      </c>
      <c r="N1088" t="e">
        <f t="shared" si="33"/>
        <v>#N/A</v>
      </c>
    </row>
    <row r="1089" spans="11:14" x14ac:dyDescent="0.3">
      <c r="K1089" t="s">
        <v>979</v>
      </c>
      <c r="L1089">
        <v>3.1349999999999998</v>
      </c>
      <c r="M1089" t="e">
        <f t="shared" si="32"/>
        <v>#N/A</v>
      </c>
      <c r="N1089" t="e">
        <f t="shared" si="33"/>
        <v>#N/A</v>
      </c>
    </row>
    <row r="1090" spans="11:14" x14ac:dyDescent="0.3">
      <c r="K1090" t="s">
        <v>979</v>
      </c>
      <c r="L1090">
        <v>3.1349999999999998</v>
      </c>
      <c r="M1090" t="e">
        <f t="shared" si="32"/>
        <v>#N/A</v>
      </c>
      <c r="N1090" t="e">
        <f t="shared" si="33"/>
        <v>#N/A</v>
      </c>
    </row>
    <row r="1091" spans="11:14" x14ac:dyDescent="0.3">
      <c r="K1091" t="s">
        <v>979</v>
      </c>
      <c r="L1091">
        <v>3.1349999999999998</v>
      </c>
      <c r="M1091" t="e">
        <f t="shared" ref="M1091:M1118" si="34">_xlfn.XLOOKUP(K1091,A:A,B:B)</f>
        <v>#N/A</v>
      </c>
      <c r="N1091" t="e">
        <f t="shared" ref="N1091:N1118" si="35">L1091-M1091</f>
        <v>#N/A</v>
      </c>
    </row>
    <row r="1092" spans="11:14" x14ac:dyDescent="0.3">
      <c r="K1092" t="s">
        <v>979</v>
      </c>
      <c r="L1092">
        <v>3.1349999999999998</v>
      </c>
      <c r="M1092" t="e">
        <f t="shared" si="34"/>
        <v>#N/A</v>
      </c>
      <c r="N1092" t="e">
        <f t="shared" si="35"/>
        <v>#N/A</v>
      </c>
    </row>
    <row r="1093" spans="11:14" x14ac:dyDescent="0.3">
      <c r="K1093" t="s">
        <v>980</v>
      </c>
      <c r="L1093">
        <v>3.1349999999999998</v>
      </c>
      <c r="M1093" t="e">
        <f t="shared" si="34"/>
        <v>#N/A</v>
      </c>
      <c r="N1093" t="e">
        <f t="shared" si="35"/>
        <v>#N/A</v>
      </c>
    </row>
    <row r="1094" spans="11:14" x14ac:dyDescent="0.3">
      <c r="K1094" t="s">
        <v>980</v>
      </c>
      <c r="L1094">
        <v>3.1349999999999998</v>
      </c>
      <c r="M1094" t="e">
        <f t="shared" si="34"/>
        <v>#N/A</v>
      </c>
      <c r="N1094" t="e">
        <f t="shared" si="35"/>
        <v>#N/A</v>
      </c>
    </row>
    <row r="1095" spans="11:14" x14ac:dyDescent="0.3">
      <c r="K1095" t="s">
        <v>980</v>
      </c>
      <c r="L1095">
        <v>3.1349999999999998</v>
      </c>
      <c r="M1095" t="e">
        <f t="shared" si="34"/>
        <v>#N/A</v>
      </c>
      <c r="N1095" t="e">
        <f t="shared" si="35"/>
        <v>#N/A</v>
      </c>
    </row>
    <row r="1096" spans="11:14" x14ac:dyDescent="0.3">
      <c r="K1096" t="s">
        <v>981</v>
      </c>
      <c r="L1096">
        <v>3.1349999999999998</v>
      </c>
      <c r="M1096" t="e">
        <f t="shared" si="34"/>
        <v>#N/A</v>
      </c>
      <c r="N1096" t="e">
        <f t="shared" si="35"/>
        <v>#N/A</v>
      </c>
    </row>
    <row r="1097" spans="11:14" x14ac:dyDescent="0.3">
      <c r="K1097" t="s">
        <v>982</v>
      </c>
      <c r="L1097">
        <v>5.2249999999999996</v>
      </c>
      <c r="M1097" t="e">
        <f t="shared" si="34"/>
        <v>#N/A</v>
      </c>
      <c r="N1097" t="e">
        <f t="shared" si="35"/>
        <v>#N/A</v>
      </c>
    </row>
    <row r="1098" spans="11:14" x14ac:dyDescent="0.3">
      <c r="K1098" t="s">
        <v>982</v>
      </c>
      <c r="L1098">
        <v>5.2249999999999996</v>
      </c>
      <c r="M1098" t="e">
        <f t="shared" si="34"/>
        <v>#N/A</v>
      </c>
      <c r="N1098" t="e">
        <f t="shared" si="35"/>
        <v>#N/A</v>
      </c>
    </row>
    <row r="1099" spans="11:14" x14ac:dyDescent="0.3">
      <c r="K1099" t="s">
        <v>983</v>
      </c>
      <c r="L1099">
        <v>3.3778000000000001</v>
      </c>
      <c r="M1099" t="e">
        <f t="shared" si="34"/>
        <v>#N/A</v>
      </c>
      <c r="N1099" t="e">
        <f t="shared" si="35"/>
        <v>#N/A</v>
      </c>
    </row>
    <row r="1100" spans="11:14" x14ac:dyDescent="0.3">
      <c r="K1100" t="s">
        <v>984</v>
      </c>
      <c r="L1100">
        <v>5.2249999999999996</v>
      </c>
      <c r="M1100" t="e">
        <f t="shared" si="34"/>
        <v>#N/A</v>
      </c>
      <c r="N1100" t="e">
        <f t="shared" si="35"/>
        <v>#N/A</v>
      </c>
    </row>
    <row r="1101" spans="11:14" x14ac:dyDescent="0.3">
      <c r="K1101" t="s">
        <v>984</v>
      </c>
      <c r="L1101">
        <v>5.2249999999999996</v>
      </c>
      <c r="M1101" t="e">
        <f t="shared" si="34"/>
        <v>#N/A</v>
      </c>
      <c r="N1101" t="e">
        <f t="shared" si="35"/>
        <v>#N/A</v>
      </c>
    </row>
    <row r="1102" spans="11:14" x14ac:dyDescent="0.3">
      <c r="K1102" t="s">
        <v>985</v>
      </c>
      <c r="L1102">
        <v>3.3778000000000001</v>
      </c>
      <c r="M1102" t="e">
        <f t="shared" si="34"/>
        <v>#N/A</v>
      </c>
      <c r="N1102" t="e">
        <f t="shared" si="35"/>
        <v>#N/A</v>
      </c>
    </row>
    <row r="1103" spans="11:14" x14ac:dyDescent="0.3">
      <c r="K1103" t="s">
        <v>986</v>
      </c>
      <c r="L1103">
        <v>17.018899999999999</v>
      </c>
      <c r="M1103" t="e">
        <f t="shared" si="34"/>
        <v>#N/A</v>
      </c>
      <c r="N1103" t="e">
        <f t="shared" si="35"/>
        <v>#N/A</v>
      </c>
    </row>
    <row r="1104" spans="11:14" x14ac:dyDescent="0.3">
      <c r="K1104" t="s">
        <v>986</v>
      </c>
      <c r="L1104">
        <v>17.018899999999999</v>
      </c>
      <c r="M1104" t="e">
        <f t="shared" si="34"/>
        <v>#N/A</v>
      </c>
      <c r="N1104" t="e">
        <f t="shared" si="35"/>
        <v>#N/A</v>
      </c>
    </row>
    <row r="1105" spans="11:14" x14ac:dyDescent="0.3">
      <c r="K1105" t="s">
        <v>986</v>
      </c>
      <c r="L1105">
        <v>17.018899999999999</v>
      </c>
      <c r="M1105" t="e">
        <f t="shared" si="34"/>
        <v>#N/A</v>
      </c>
      <c r="N1105" t="e">
        <f t="shared" si="35"/>
        <v>#N/A</v>
      </c>
    </row>
    <row r="1106" spans="11:14" x14ac:dyDescent="0.3">
      <c r="K1106" t="s">
        <v>987</v>
      </c>
      <c r="L1106">
        <v>8.2591000000000001</v>
      </c>
      <c r="M1106" t="e">
        <f t="shared" si="34"/>
        <v>#N/A</v>
      </c>
      <c r="N1106" t="e">
        <f t="shared" si="35"/>
        <v>#N/A</v>
      </c>
    </row>
    <row r="1107" spans="11:14" x14ac:dyDescent="0.3">
      <c r="K1107" t="s">
        <v>988</v>
      </c>
      <c r="L1107">
        <v>10.1762</v>
      </c>
      <c r="M1107" t="e">
        <f t="shared" si="34"/>
        <v>#N/A</v>
      </c>
      <c r="N1107" t="e">
        <f t="shared" si="35"/>
        <v>#N/A</v>
      </c>
    </row>
    <row r="1108" spans="11:14" x14ac:dyDescent="0.3">
      <c r="K1108" t="s">
        <v>989</v>
      </c>
      <c r="L1108">
        <v>22.046900000000001</v>
      </c>
      <c r="M1108" t="e">
        <f t="shared" si="34"/>
        <v>#N/A</v>
      </c>
      <c r="N1108" t="e">
        <f t="shared" si="35"/>
        <v>#N/A</v>
      </c>
    </row>
    <row r="1109" spans="11:14" x14ac:dyDescent="0.3">
      <c r="K1109" t="s">
        <v>989</v>
      </c>
      <c r="L1109">
        <v>22.046900000000001</v>
      </c>
      <c r="M1109" t="e">
        <f t="shared" si="34"/>
        <v>#N/A</v>
      </c>
      <c r="N1109" t="e">
        <f t="shared" si="35"/>
        <v>#N/A</v>
      </c>
    </row>
    <row r="1110" spans="11:14" x14ac:dyDescent="0.3">
      <c r="K1110" t="s">
        <v>990</v>
      </c>
      <c r="L1110">
        <v>25.55</v>
      </c>
      <c r="M1110" t="e">
        <f t="shared" si="34"/>
        <v>#N/A</v>
      </c>
      <c r="N1110" t="e">
        <f t="shared" si="35"/>
        <v>#N/A</v>
      </c>
    </row>
    <row r="1111" spans="11:14" x14ac:dyDescent="0.3">
      <c r="K1111" t="s">
        <v>991</v>
      </c>
      <c r="L1111">
        <v>14.332700000000001</v>
      </c>
      <c r="M1111" t="e">
        <f t="shared" si="34"/>
        <v>#N/A</v>
      </c>
      <c r="N1111" t="e">
        <f t="shared" si="35"/>
        <v>#N/A</v>
      </c>
    </row>
    <row r="1112" spans="11:14" x14ac:dyDescent="0.3">
      <c r="K1112" t="s">
        <v>992</v>
      </c>
      <c r="L1112">
        <v>15.463200000000001</v>
      </c>
      <c r="M1112" t="e">
        <f t="shared" si="34"/>
        <v>#N/A</v>
      </c>
      <c r="N1112" t="e">
        <f t="shared" si="35"/>
        <v>#N/A</v>
      </c>
    </row>
    <row r="1113" spans="11:14" x14ac:dyDescent="0.3">
      <c r="K1113" t="s">
        <v>993</v>
      </c>
      <c r="L1113">
        <v>16.593699999999998</v>
      </c>
      <c r="M1113" t="e">
        <f t="shared" si="34"/>
        <v>#N/A</v>
      </c>
      <c r="N1113" t="e">
        <f t="shared" si="35"/>
        <v>#N/A</v>
      </c>
    </row>
    <row r="1114" spans="11:14" x14ac:dyDescent="0.3">
      <c r="K1114" t="s">
        <v>994</v>
      </c>
      <c r="L1114">
        <v>18.854700000000001</v>
      </c>
      <c r="M1114" t="e">
        <f t="shared" si="34"/>
        <v>#N/A</v>
      </c>
      <c r="N1114" t="e">
        <f t="shared" si="35"/>
        <v>#N/A</v>
      </c>
    </row>
    <row r="1115" spans="11:14" x14ac:dyDescent="0.3">
      <c r="K1115" t="s">
        <v>995</v>
      </c>
      <c r="L1115">
        <v>22.246200000000002</v>
      </c>
      <c r="M1115" t="e">
        <f t="shared" si="34"/>
        <v>#N/A</v>
      </c>
      <c r="N1115" t="e">
        <f t="shared" si="35"/>
        <v>#N/A</v>
      </c>
    </row>
    <row r="1116" spans="11:14" x14ac:dyDescent="0.3">
      <c r="K1116" t="s">
        <v>996</v>
      </c>
      <c r="L1116">
        <v>19.675799999999999</v>
      </c>
      <c r="M1116" t="e">
        <f t="shared" si="34"/>
        <v>#N/A</v>
      </c>
      <c r="N1116" t="e">
        <f t="shared" si="35"/>
        <v>#N/A</v>
      </c>
    </row>
    <row r="1117" spans="11:14" x14ac:dyDescent="0.3">
      <c r="K1117" t="s">
        <v>997</v>
      </c>
      <c r="L1117">
        <v>42.25</v>
      </c>
      <c r="M1117" t="e">
        <f t="shared" si="34"/>
        <v>#N/A</v>
      </c>
      <c r="N1117" t="e">
        <f t="shared" si="35"/>
        <v>#N/A</v>
      </c>
    </row>
    <row r="1118" spans="11:14" x14ac:dyDescent="0.3">
      <c r="K1118" t="s">
        <v>998</v>
      </c>
      <c r="L1118">
        <v>175.50559999999999</v>
      </c>
      <c r="M1118" t="e">
        <f t="shared" si="34"/>
        <v>#N/A</v>
      </c>
      <c r="N1118" t="e">
        <f t="shared" si="35"/>
        <v>#N/A</v>
      </c>
    </row>
  </sheetData>
  <autoFilter ref="K1:N1118" xr:uid="{E416D707-EE38-48D3-B591-428324B9DCED}"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R17" sqref="R17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5.77734375" bestFit="1" customWidth="1"/>
    <col min="10" max="10" width="8.88671875" bestFit="1" customWidth="1"/>
    <col min="11" max="11" width="13.5546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38</v>
      </c>
      <c r="D1" s="1" t="s">
        <v>40</v>
      </c>
      <c r="E1" s="1" t="s">
        <v>42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90</v>
      </c>
      <c r="K1" s="1" t="s">
        <v>91</v>
      </c>
      <c r="L1" s="1" t="s">
        <v>92</v>
      </c>
      <c r="M1" t="s">
        <v>82</v>
      </c>
      <c r="N1" t="s">
        <v>83</v>
      </c>
      <c r="O1" s="23" t="s">
        <v>93</v>
      </c>
      <c r="P1" s="23" t="s">
        <v>94</v>
      </c>
      <c r="Q1" s="23" t="s">
        <v>95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236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236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237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237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238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239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239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274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275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240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241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10</v>
      </c>
      <c r="B12" t="s">
        <v>1029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242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11</v>
      </c>
      <c r="B14" t="s">
        <v>277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66</v>
      </c>
      <c r="B15" t="s">
        <v>243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67</v>
      </c>
      <c r="B16" t="s">
        <v>243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68</v>
      </c>
      <c r="B17" t="s">
        <v>242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 x14ac:dyDescent="0.3">
      <c r="A18" s="2" t="s">
        <v>70</v>
      </c>
      <c r="B18" t="s">
        <v>242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 x14ac:dyDescent="0.3">
      <c r="A19" s="2" t="s">
        <v>69</v>
      </c>
      <c r="B19" t="s">
        <v>242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工作表1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2024-05-17T09:21:08Z</dcterms:modified>
</cp:coreProperties>
</file>