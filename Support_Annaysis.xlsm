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2DAE62B0-9413-4DA9-989B-8B671E14B057}" xr6:coauthVersionLast="47" xr6:coauthVersionMax="47" xr10:uidLastSave="{00000000-0000-0000-0000-000000000000}"/>
  <bookViews>
    <workbookView xWindow="28680" yWindow="-120" windowWidth="29040" windowHeight="15840" firstSheet="9" activeTab="12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工作表1" sheetId="17" r:id="rId13"/>
    <sheet name="M_42_Table" sheetId="6" state="hidden" r:id="rId14"/>
  </sheets>
  <functionGroups builtInGroupCount="19"/>
  <definedNames>
    <definedName name="_xlnm._FilterDatabase" localSheetId="13" hidden="1">M_42_Table!$A$1:$S$11</definedName>
    <definedName name="_xlnm._FilterDatabase" localSheetId="12" hidden="1">工作表1!$K$1:$N$1118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pivotCaches>
    <pivotCache cacheId="1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7" l="1"/>
  <c r="N113" i="17"/>
  <c r="N129" i="17"/>
  <c r="N130" i="17"/>
  <c r="N241" i="17"/>
  <c r="N257" i="17"/>
  <c r="N258" i="17"/>
  <c r="N417" i="17"/>
  <c r="N449" i="17"/>
  <c r="N465" i="17"/>
  <c r="N705" i="17"/>
  <c r="N721" i="17"/>
  <c r="N961" i="17"/>
  <c r="N977" i="17"/>
  <c r="M3" i="17"/>
  <c r="N3" i="17" s="1"/>
  <c r="M4" i="17"/>
  <c r="N4" i="17" s="1"/>
  <c r="M5" i="17"/>
  <c r="N5" i="17" s="1"/>
  <c r="M6" i="17"/>
  <c r="N6" i="17" s="1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M15" i="17"/>
  <c r="N15" i="17" s="1"/>
  <c r="M16" i="17"/>
  <c r="N16" i="17" s="1"/>
  <c r="M17" i="17"/>
  <c r="N17" i="17" s="1"/>
  <c r="M18" i="17"/>
  <c r="M19" i="17"/>
  <c r="N19" i="17" s="1"/>
  <c r="M20" i="17"/>
  <c r="N20" i="17" s="1"/>
  <c r="M21" i="17"/>
  <c r="N21" i="17" s="1"/>
  <c r="M22" i="17"/>
  <c r="N22" i="17" s="1"/>
  <c r="M23" i="17"/>
  <c r="N23" i="17" s="1"/>
  <c r="M24" i="17"/>
  <c r="N24" i="17" s="1"/>
  <c r="M25" i="17"/>
  <c r="N25" i="17" s="1"/>
  <c r="M26" i="17"/>
  <c r="N26" i="17" s="1"/>
  <c r="M27" i="17"/>
  <c r="N27" i="17" s="1"/>
  <c r="M28" i="17"/>
  <c r="N28" i="17" s="1"/>
  <c r="M29" i="17"/>
  <c r="N29" i="17" s="1"/>
  <c r="M30" i="17"/>
  <c r="N30" i="17" s="1"/>
  <c r="M31" i="17"/>
  <c r="N31" i="17" s="1"/>
  <c r="M32" i="17"/>
  <c r="N32" i="17" s="1"/>
  <c r="M33" i="17"/>
  <c r="N33" i="17" s="1"/>
  <c r="M34" i="17"/>
  <c r="N34" i="17" s="1"/>
  <c r="M35" i="17"/>
  <c r="N35" i="17" s="1"/>
  <c r="M36" i="17"/>
  <c r="N36" i="17" s="1"/>
  <c r="M37" i="17"/>
  <c r="N37" i="17" s="1"/>
  <c r="M38" i="17"/>
  <c r="N38" i="17" s="1"/>
  <c r="M39" i="17"/>
  <c r="N39" i="17" s="1"/>
  <c r="M40" i="17"/>
  <c r="N40" i="17" s="1"/>
  <c r="M41" i="17"/>
  <c r="N41" i="17" s="1"/>
  <c r="M42" i="17"/>
  <c r="N42" i="17" s="1"/>
  <c r="M43" i="17"/>
  <c r="N43" i="17" s="1"/>
  <c r="M44" i="17"/>
  <c r="N44" i="17" s="1"/>
  <c r="M45" i="17"/>
  <c r="N45" i="17" s="1"/>
  <c r="M46" i="17"/>
  <c r="N46" i="17" s="1"/>
  <c r="M47" i="17"/>
  <c r="N47" i="17" s="1"/>
  <c r="M48" i="17"/>
  <c r="N48" i="17" s="1"/>
  <c r="M49" i="17"/>
  <c r="N49" i="17" s="1"/>
  <c r="M50" i="17"/>
  <c r="N50" i="17" s="1"/>
  <c r="M51" i="17"/>
  <c r="N51" i="17" s="1"/>
  <c r="M52" i="17"/>
  <c r="N52" i="17" s="1"/>
  <c r="M53" i="17"/>
  <c r="N53" i="17" s="1"/>
  <c r="M54" i="17"/>
  <c r="N54" i="17" s="1"/>
  <c r="M55" i="17"/>
  <c r="N55" i="17" s="1"/>
  <c r="M56" i="17"/>
  <c r="N56" i="17" s="1"/>
  <c r="M57" i="17"/>
  <c r="N57" i="17" s="1"/>
  <c r="M58" i="17"/>
  <c r="N58" i="17" s="1"/>
  <c r="M59" i="17"/>
  <c r="N59" i="17" s="1"/>
  <c r="M60" i="17"/>
  <c r="N60" i="17" s="1"/>
  <c r="M61" i="17"/>
  <c r="N61" i="17" s="1"/>
  <c r="M62" i="17"/>
  <c r="N62" i="17" s="1"/>
  <c r="M63" i="17"/>
  <c r="N63" i="17" s="1"/>
  <c r="M64" i="17"/>
  <c r="N64" i="17" s="1"/>
  <c r="M65" i="17"/>
  <c r="N65" i="17" s="1"/>
  <c r="M66" i="17"/>
  <c r="N66" i="17" s="1"/>
  <c r="M67" i="17"/>
  <c r="N67" i="17" s="1"/>
  <c r="M68" i="17"/>
  <c r="N68" i="17" s="1"/>
  <c r="M69" i="17"/>
  <c r="N69" i="17" s="1"/>
  <c r="M70" i="17"/>
  <c r="N70" i="17" s="1"/>
  <c r="M71" i="17"/>
  <c r="N71" i="17" s="1"/>
  <c r="M72" i="17"/>
  <c r="N72" i="17" s="1"/>
  <c r="M73" i="17"/>
  <c r="N73" i="17" s="1"/>
  <c r="M74" i="17"/>
  <c r="N74" i="17" s="1"/>
  <c r="M75" i="17"/>
  <c r="N75" i="17" s="1"/>
  <c r="M76" i="17"/>
  <c r="N76" i="17" s="1"/>
  <c r="M77" i="17"/>
  <c r="N77" i="17" s="1"/>
  <c r="M78" i="17"/>
  <c r="N78" i="17" s="1"/>
  <c r="M79" i="17"/>
  <c r="N79" i="17" s="1"/>
  <c r="M80" i="17"/>
  <c r="N80" i="17" s="1"/>
  <c r="M81" i="17"/>
  <c r="N81" i="17" s="1"/>
  <c r="M82" i="17"/>
  <c r="N82" i="17" s="1"/>
  <c r="M83" i="17"/>
  <c r="N83" i="17" s="1"/>
  <c r="M84" i="17"/>
  <c r="N84" i="17" s="1"/>
  <c r="M85" i="17"/>
  <c r="N85" i="17" s="1"/>
  <c r="M86" i="17"/>
  <c r="N86" i="17" s="1"/>
  <c r="M87" i="17"/>
  <c r="N87" i="17" s="1"/>
  <c r="M88" i="17"/>
  <c r="N88" i="17" s="1"/>
  <c r="M89" i="17"/>
  <c r="N89" i="17" s="1"/>
  <c r="M90" i="17"/>
  <c r="N90" i="17" s="1"/>
  <c r="M91" i="17"/>
  <c r="N91" i="17" s="1"/>
  <c r="M92" i="17"/>
  <c r="N92" i="17" s="1"/>
  <c r="M93" i="17"/>
  <c r="N93" i="17" s="1"/>
  <c r="M94" i="17"/>
  <c r="N94" i="17" s="1"/>
  <c r="M95" i="17"/>
  <c r="N95" i="17" s="1"/>
  <c r="M96" i="17"/>
  <c r="N96" i="17" s="1"/>
  <c r="M97" i="17"/>
  <c r="N97" i="17" s="1"/>
  <c r="M98" i="17"/>
  <c r="N98" i="17" s="1"/>
  <c r="M99" i="17"/>
  <c r="N99" i="17" s="1"/>
  <c r="M100" i="17"/>
  <c r="N100" i="17" s="1"/>
  <c r="M101" i="17"/>
  <c r="N101" i="17" s="1"/>
  <c r="M102" i="17"/>
  <c r="N102" i="17" s="1"/>
  <c r="M103" i="17"/>
  <c r="N103" i="17" s="1"/>
  <c r="M104" i="17"/>
  <c r="N104" i="17" s="1"/>
  <c r="M105" i="17"/>
  <c r="N105" i="17" s="1"/>
  <c r="M106" i="17"/>
  <c r="N106" i="17" s="1"/>
  <c r="M107" i="17"/>
  <c r="N107" i="17" s="1"/>
  <c r="M108" i="17"/>
  <c r="N108" i="17" s="1"/>
  <c r="M109" i="17"/>
  <c r="N109" i="17" s="1"/>
  <c r="M110" i="17"/>
  <c r="N110" i="17" s="1"/>
  <c r="M111" i="17"/>
  <c r="N111" i="17" s="1"/>
  <c r="M112" i="17"/>
  <c r="N112" i="17" s="1"/>
  <c r="M113" i="17"/>
  <c r="M114" i="17"/>
  <c r="N114" i="17" s="1"/>
  <c r="M115" i="17"/>
  <c r="N115" i="17" s="1"/>
  <c r="M116" i="17"/>
  <c r="N116" i="17" s="1"/>
  <c r="M117" i="17"/>
  <c r="N117" i="17" s="1"/>
  <c r="M118" i="17"/>
  <c r="N118" i="17" s="1"/>
  <c r="M119" i="17"/>
  <c r="N119" i="17" s="1"/>
  <c r="M120" i="17"/>
  <c r="N120" i="17" s="1"/>
  <c r="M121" i="17"/>
  <c r="N121" i="17" s="1"/>
  <c r="M122" i="17"/>
  <c r="N122" i="17" s="1"/>
  <c r="M123" i="17"/>
  <c r="N123" i="17" s="1"/>
  <c r="M124" i="17"/>
  <c r="N124" i="17" s="1"/>
  <c r="M125" i="17"/>
  <c r="N125" i="17" s="1"/>
  <c r="M126" i="17"/>
  <c r="N126" i="17" s="1"/>
  <c r="M127" i="17"/>
  <c r="N127" i="17" s="1"/>
  <c r="M128" i="17"/>
  <c r="N128" i="17" s="1"/>
  <c r="M129" i="17"/>
  <c r="M130" i="17"/>
  <c r="M131" i="17"/>
  <c r="N131" i="17" s="1"/>
  <c r="M132" i="17"/>
  <c r="N132" i="17" s="1"/>
  <c r="M133" i="17"/>
  <c r="N133" i="17" s="1"/>
  <c r="M134" i="17"/>
  <c r="N134" i="17" s="1"/>
  <c r="M135" i="17"/>
  <c r="N135" i="17" s="1"/>
  <c r="M136" i="17"/>
  <c r="N136" i="17" s="1"/>
  <c r="M137" i="17"/>
  <c r="N137" i="17" s="1"/>
  <c r="M138" i="17"/>
  <c r="N138" i="17" s="1"/>
  <c r="M139" i="17"/>
  <c r="N139" i="17" s="1"/>
  <c r="M140" i="17"/>
  <c r="N140" i="17" s="1"/>
  <c r="M141" i="17"/>
  <c r="N141" i="17" s="1"/>
  <c r="M142" i="17"/>
  <c r="N142" i="17" s="1"/>
  <c r="M143" i="17"/>
  <c r="N143" i="17" s="1"/>
  <c r="M144" i="17"/>
  <c r="N144" i="17" s="1"/>
  <c r="M145" i="17"/>
  <c r="N145" i="17" s="1"/>
  <c r="M146" i="17"/>
  <c r="N146" i="17" s="1"/>
  <c r="M147" i="17"/>
  <c r="N147" i="17" s="1"/>
  <c r="M148" i="17"/>
  <c r="N148" i="17" s="1"/>
  <c r="M149" i="17"/>
  <c r="N149" i="17" s="1"/>
  <c r="M150" i="17"/>
  <c r="N150" i="17" s="1"/>
  <c r="M151" i="17"/>
  <c r="N151" i="17" s="1"/>
  <c r="M152" i="17"/>
  <c r="N152" i="17" s="1"/>
  <c r="M153" i="17"/>
  <c r="N153" i="17" s="1"/>
  <c r="M154" i="17"/>
  <c r="N154" i="17" s="1"/>
  <c r="M155" i="17"/>
  <c r="N155" i="17" s="1"/>
  <c r="M156" i="17"/>
  <c r="N156" i="17" s="1"/>
  <c r="M157" i="17"/>
  <c r="N157" i="17" s="1"/>
  <c r="M158" i="17"/>
  <c r="N158" i="17" s="1"/>
  <c r="M159" i="17"/>
  <c r="N159" i="17" s="1"/>
  <c r="M160" i="17"/>
  <c r="N160" i="17" s="1"/>
  <c r="M161" i="17"/>
  <c r="N161" i="17" s="1"/>
  <c r="M162" i="17"/>
  <c r="N162" i="17" s="1"/>
  <c r="M163" i="17"/>
  <c r="N163" i="17" s="1"/>
  <c r="M164" i="17"/>
  <c r="N164" i="17" s="1"/>
  <c r="M165" i="17"/>
  <c r="N165" i="17" s="1"/>
  <c r="M166" i="17"/>
  <c r="N166" i="17" s="1"/>
  <c r="M167" i="17"/>
  <c r="N167" i="17" s="1"/>
  <c r="M168" i="17"/>
  <c r="N168" i="17" s="1"/>
  <c r="M169" i="17"/>
  <c r="N169" i="17" s="1"/>
  <c r="M170" i="17"/>
  <c r="N170" i="17" s="1"/>
  <c r="M171" i="17"/>
  <c r="N171" i="17" s="1"/>
  <c r="M172" i="17"/>
  <c r="N172" i="17" s="1"/>
  <c r="M173" i="17"/>
  <c r="N173" i="17" s="1"/>
  <c r="M174" i="17"/>
  <c r="N174" i="17" s="1"/>
  <c r="M175" i="17"/>
  <c r="N175" i="17" s="1"/>
  <c r="M176" i="17"/>
  <c r="N176" i="17" s="1"/>
  <c r="M177" i="17"/>
  <c r="N177" i="17" s="1"/>
  <c r="M178" i="17"/>
  <c r="N178" i="17" s="1"/>
  <c r="M179" i="17"/>
  <c r="N179" i="17" s="1"/>
  <c r="M180" i="17"/>
  <c r="N180" i="17" s="1"/>
  <c r="M181" i="17"/>
  <c r="N181" i="17" s="1"/>
  <c r="M182" i="17"/>
  <c r="N182" i="17" s="1"/>
  <c r="M183" i="17"/>
  <c r="N183" i="17" s="1"/>
  <c r="M184" i="17"/>
  <c r="N184" i="17" s="1"/>
  <c r="M185" i="17"/>
  <c r="N185" i="17" s="1"/>
  <c r="M186" i="17"/>
  <c r="N186" i="17" s="1"/>
  <c r="M187" i="17"/>
  <c r="N187" i="17" s="1"/>
  <c r="M188" i="17"/>
  <c r="N188" i="17" s="1"/>
  <c r="M189" i="17"/>
  <c r="N189" i="17" s="1"/>
  <c r="M190" i="17"/>
  <c r="N190" i="17" s="1"/>
  <c r="M191" i="17"/>
  <c r="N191" i="17" s="1"/>
  <c r="M192" i="17"/>
  <c r="N192" i="17" s="1"/>
  <c r="M193" i="17"/>
  <c r="N193" i="17" s="1"/>
  <c r="M194" i="17"/>
  <c r="N194" i="17" s="1"/>
  <c r="M195" i="17"/>
  <c r="N195" i="17" s="1"/>
  <c r="M196" i="17"/>
  <c r="N196" i="17" s="1"/>
  <c r="M197" i="17"/>
  <c r="N197" i="17" s="1"/>
  <c r="M198" i="17"/>
  <c r="N198" i="17" s="1"/>
  <c r="M199" i="17"/>
  <c r="N199" i="17" s="1"/>
  <c r="M200" i="17"/>
  <c r="N200" i="17" s="1"/>
  <c r="M201" i="17"/>
  <c r="N201" i="17" s="1"/>
  <c r="M202" i="17"/>
  <c r="N202" i="17" s="1"/>
  <c r="M203" i="17"/>
  <c r="N203" i="17" s="1"/>
  <c r="M204" i="17"/>
  <c r="N204" i="17" s="1"/>
  <c r="M205" i="17"/>
  <c r="N205" i="17" s="1"/>
  <c r="M206" i="17"/>
  <c r="N206" i="17" s="1"/>
  <c r="M207" i="17"/>
  <c r="N207" i="17" s="1"/>
  <c r="M208" i="17"/>
  <c r="N208" i="17" s="1"/>
  <c r="M209" i="17"/>
  <c r="N209" i="17" s="1"/>
  <c r="M210" i="17"/>
  <c r="N210" i="17" s="1"/>
  <c r="M211" i="17"/>
  <c r="N211" i="17" s="1"/>
  <c r="M212" i="17"/>
  <c r="N212" i="17" s="1"/>
  <c r="M213" i="17"/>
  <c r="N213" i="17" s="1"/>
  <c r="M214" i="17"/>
  <c r="N214" i="17" s="1"/>
  <c r="M215" i="17"/>
  <c r="N215" i="17" s="1"/>
  <c r="M216" i="17"/>
  <c r="N216" i="17" s="1"/>
  <c r="M217" i="17"/>
  <c r="N217" i="17" s="1"/>
  <c r="M218" i="17"/>
  <c r="N218" i="17" s="1"/>
  <c r="M219" i="17"/>
  <c r="N219" i="17" s="1"/>
  <c r="M220" i="17"/>
  <c r="N220" i="17" s="1"/>
  <c r="M221" i="17"/>
  <c r="N221" i="17" s="1"/>
  <c r="M222" i="17"/>
  <c r="N222" i="17" s="1"/>
  <c r="M223" i="17"/>
  <c r="N223" i="17" s="1"/>
  <c r="M224" i="17"/>
  <c r="N224" i="17" s="1"/>
  <c r="M225" i="17"/>
  <c r="N225" i="17" s="1"/>
  <c r="M226" i="17"/>
  <c r="N226" i="17" s="1"/>
  <c r="M227" i="17"/>
  <c r="N227" i="17" s="1"/>
  <c r="M228" i="17"/>
  <c r="N228" i="17" s="1"/>
  <c r="M229" i="17"/>
  <c r="N229" i="17" s="1"/>
  <c r="M230" i="17"/>
  <c r="N230" i="17" s="1"/>
  <c r="M231" i="17"/>
  <c r="N231" i="17" s="1"/>
  <c r="M232" i="17"/>
  <c r="N232" i="17" s="1"/>
  <c r="M233" i="17"/>
  <c r="N233" i="17" s="1"/>
  <c r="M234" i="17"/>
  <c r="N234" i="17" s="1"/>
  <c r="M235" i="17"/>
  <c r="N235" i="17" s="1"/>
  <c r="M236" i="17"/>
  <c r="N236" i="17" s="1"/>
  <c r="M237" i="17"/>
  <c r="N237" i="17" s="1"/>
  <c r="M238" i="17"/>
  <c r="N238" i="17" s="1"/>
  <c r="M239" i="17"/>
  <c r="N239" i="17" s="1"/>
  <c r="M240" i="17"/>
  <c r="N240" i="17" s="1"/>
  <c r="M241" i="17"/>
  <c r="M242" i="17"/>
  <c r="N242" i="17" s="1"/>
  <c r="M243" i="17"/>
  <c r="N243" i="17" s="1"/>
  <c r="M244" i="17"/>
  <c r="N244" i="17" s="1"/>
  <c r="M245" i="17"/>
  <c r="N245" i="17" s="1"/>
  <c r="M246" i="17"/>
  <c r="N246" i="17" s="1"/>
  <c r="M247" i="17"/>
  <c r="N247" i="17" s="1"/>
  <c r="M248" i="17"/>
  <c r="N248" i="17" s="1"/>
  <c r="M249" i="17"/>
  <c r="N249" i="17" s="1"/>
  <c r="M250" i="17"/>
  <c r="N250" i="17" s="1"/>
  <c r="M251" i="17"/>
  <c r="N251" i="17" s="1"/>
  <c r="M252" i="17"/>
  <c r="N252" i="17" s="1"/>
  <c r="M253" i="17"/>
  <c r="N253" i="17" s="1"/>
  <c r="M254" i="17"/>
  <c r="N254" i="17" s="1"/>
  <c r="M255" i="17"/>
  <c r="N255" i="17" s="1"/>
  <c r="M256" i="17"/>
  <c r="N256" i="17" s="1"/>
  <c r="M257" i="17"/>
  <c r="M258" i="17"/>
  <c r="M259" i="17"/>
  <c r="N259" i="17" s="1"/>
  <c r="M260" i="17"/>
  <c r="N260" i="17" s="1"/>
  <c r="M261" i="17"/>
  <c r="N261" i="17" s="1"/>
  <c r="M262" i="17"/>
  <c r="N262" i="17" s="1"/>
  <c r="M263" i="17"/>
  <c r="N263" i="17" s="1"/>
  <c r="M264" i="17"/>
  <c r="N264" i="17" s="1"/>
  <c r="M265" i="17"/>
  <c r="N265" i="17" s="1"/>
  <c r="M266" i="17"/>
  <c r="N266" i="17" s="1"/>
  <c r="M267" i="17"/>
  <c r="N267" i="17" s="1"/>
  <c r="M268" i="17"/>
  <c r="N268" i="17" s="1"/>
  <c r="M269" i="17"/>
  <c r="N269" i="17" s="1"/>
  <c r="M270" i="17"/>
  <c r="N270" i="17" s="1"/>
  <c r="M271" i="17"/>
  <c r="N271" i="17" s="1"/>
  <c r="M272" i="17"/>
  <c r="N272" i="17" s="1"/>
  <c r="M273" i="17"/>
  <c r="N273" i="17" s="1"/>
  <c r="M274" i="17"/>
  <c r="N274" i="17" s="1"/>
  <c r="M275" i="17"/>
  <c r="N275" i="17" s="1"/>
  <c r="M276" i="17"/>
  <c r="N276" i="17" s="1"/>
  <c r="M277" i="17"/>
  <c r="N277" i="17" s="1"/>
  <c r="M278" i="17"/>
  <c r="N278" i="17" s="1"/>
  <c r="M279" i="17"/>
  <c r="N279" i="17" s="1"/>
  <c r="M280" i="17"/>
  <c r="N280" i="17" s="1"/>
  <c r="M281" i="17"/>
  <c r="N281" i="17" s="1"/>
  <c r="M282" i="17"/>
  <c r="N282" i="17" s="1"/>
  <c r="M283" i="17"/>
  <c r="N283" i="17" s="1"/>
  <c r="M284" i="17"/>
  <c r="N284" i="17" s="1"/>
  <c r="M285" i="17"/>
  <c r="N285" i="17" s="1"/>
  <c r="M286" i="17"/>
  <c r="N286" i="17" s="1"/>
  <c r="M287" i="17"/>
  <c r="N287" i="17" s="1"/>
  <c r="M288" i="17"/>
  <c r="N288" i="17" s="1"/>
  <c r="M289" i="17"/>
  <c r="N289" i="17" s="1"/>
  <c r="M290" i="17"/>
  <c r="N290" i="17" s="1"/>
  <c r="M291" i="17"/>
  <c r="N291" i="17" s="1"/>
  <c r="M292" i="17"/>
  <c r="N292" i="17" s="1"/>
  <c r="M293" i="17"/>
  <c r="N293" i="17" s="1"/>
  <c r="M294" i="17"/>
  <c r="N294" i="17" s="1"/>
  <c r="M295" i="17"/>
  <c r="N295" i="17" s="1"/>
  <c r="M296" i="17"/>
  <c r="N296" i="17" s="1"/>
  <c r="M297" i="17"/>
  <c r="N297" i="17" s="1"/>
  <c r="M298" i="17"/>
  <c r="N298" i="17" s="1"/>
  <c r="M299" i="17"/>
  <c r="N299" i="17" s="1"/>
  <c r="M300" i="17"/>
  <c r="N300" i="17" s="1"/>
  <c r="M301" i="17"/>
  <c r="N301" i="17" s="1"/>
  <c r="M302" i="17"/>
  <c r="N302" i="17" s="1"/>
  <c r="M303" i="17"/>
  <c r="N303" i="17" s="1"/>
  <c r="M304" i="17"/>
  <c r="N304" i="17" s="1"/>
  <c r="M305" i="17"/>
  <c r="N305" i="17" s="1"/>
  <c r="M306" i="17"/>
  <c r="N306" i="17" s="1"/>
  <c r="M307" i="17"/>
  <c r="N307" i="17" s="1"/>
  <c r="M308" i="17"/>
  <c r="N308" i="17" s="1"/>
  <c r="M309" i="17"/>
  <c r="N309" i="17" s="1"/>
  <c r="M310" i="17"/>
  <c r="N310" i="17" s="1"/>
  <c r="M311" i="17"/>
  <c r="N311" i="17" s="1"/>
  <c r="M312" i="17"/>
  <c r="N312" i="17" s="1"/>
  <c r="M313" i="17"/>
  <c r="N313" i="17" s="1"/>
  <c r="M314" i="17"/>
  <c r="N314" i="17" s="1"/>
  <c r="M315" i="17"/>
  <c r="N315" i="17" s="1"/>
  <c r="M316" i="17"/>
  <c r="N316" i="17" s="1"/>
  <c r="M317" i="17"/>
  <c r="N317" i="17" s="1"/>
  <c r="M318" i="17"/>
  <c r="N318" i="17" s="1"/>
  <c r="M319" i="17"/>
  <c r="N319" i="17" s="1"/>
  <c r="M320" i="17"/>
  <c r="N320" i="17" s="1"/>
  <c r="M321" i="17"/>
  <c r="N321" i="17" s="1"/>
  <c r="M322" i="17"/>
  <c r="N322" i="17" s="1"/>
  <c r="M323" i="17"/>
  <c r="N323" i="17" s="1"/>
  <c r="M324" i="17"/>
  <c r="N324" i="17" s="1"/>
  <c r="M325" i="17"/>
  <c r="N325" i="17" s="1"/>
  <c r="M326" i="17"/>
  <c r="N326" i="17" s="1"/>
  <c r="M327" i="17"/>
  <c r="N327" i="17" s="1"/>
  <c r="M328" i="17"/>
  <c r="N328" i="17" s="1"/>
  <c r="M329" i="17"/>
  <c r="N329" i="17" s="1"/>
  <c r="M330" i="17"/>
  <c r="N330" i="17" s="1"/>
  <c r="M331" i="17"/>
  <c r="N331" i="17" s="1"/>
  <c r="M332" i="17"/>
  <c r="N332" i="17" s="1"/>
  <c r="M333" i="17"/>
  <c r="N333" i="17" s="1"/>
  <c r="M334" i="17"/>
  <c r="N334" i="17" s="1"/>
  <c r="M335" i="17"/>
  <c r="N335" i="17" s="1"/>
  <c r="M336" i="17"/>
  <c r="N336" i="17" s="1"/>
  <c r="M337" i="17"/>
  <c r="N337" i="17" s="1"/>
  <c r="M338" i="17"/>
  <c r="N338" i="17" s="1"/>
  <c r="M339" i="17"/>
  <c r="N339" i="17" s="1"/>
  <c r="M340" i="17"/>
  <c r="N340" i="17" s="1"/>
  <c r="M341" i="17"/>
  <c r="N341" i="17" s="1"/>
  <c r="M342" i="17"/>
  <c r="N342" i="17" s="1"/>
  <c r="M343" i="17"/>
  <c r="N343" i="17" s="1"/>
  <c r="M344" i="17"/>
  <c r="N344" i="17" s="1"/>
  <c r="M345" i="17"/>
  <c r="N345" i="17" s="1"/>
  <c r="M346" i="17"/>
  <c r="N346" i="17" s="1"/>
  <c r="M347" i="17"/>
  <c r="N347" i="17" s="1"/>
  <c r="M348" i="17"/>
  <c r="N348" i="17" s="1"/>
  <c r="M349" i="17"/>
  <c r="N349" i="17" s="1"/>
  <c r="M350" i="17"/>
  <c r="N350" i="17" s="1"/>
  <c r="M351" i="17"/>
  <c r="N351" i="17" s="1"/>
  <c r="M352" i="17"/>
  <c r="N352" i="17" s="1"/>
  <c r="M353" i="17"/>
  <c r="N353" i="17" s="1"/>
  <c r="M354" i="17"/>
  <c r="N354" i="17" s="1"/>
  <c r="M355" i="17"/>
  <c r="N355" i="17" s="1"/>
  <c r="M356" i="17"/>
  <c r="N356" i="17" s="1"/>
  <c r="M357" i="17"/>
  <c r="N357" i="17" s="1"/>
  <c r="M358" i="17"/>
  <c r="N358" i="17" s="1"/>
  <c r="M359" i="17"/>
  <c r="N359" i="17" s="1"/>
  <c r="M360" i="17"/>
  <c r="N360" i="17" s="1"/>
  <c r="M361" i="17"/>
  <c r="N361" i="17" s="1"/>
  <c r="M362" i="17"/>
  <c r="N362" i="17" s="1"/>
  <c r="M363" i="17"/>
  <c r="N363" i="17" s="1"/>
  <c r="M364" i="17"/>
  <c r="N364" i="17" s="1"/>
  <c r="M365" i="17"/>
  <c r="N365" i="17" s="1"/>
  <c r="M366" i="17"/>
  <c r="N366" i="17" s="1"/>
  <c r="M367" i="17"/>
  <c r="N367" i="17" s="1"/>
  <c r="M368" i="17"/>
  <c r="N368" i="17" s="1"/>
  <c r="M369" i="17"/>
  <c r="N369" i="17" s="1"/>
  <c r="M370" i="17"/>
  <c r="N370" i="17" s="1"/>
  <c r="M371" i="17"/>
  <c r="N371" i="17" s="1"/>
  <c r="M372" i="17"/>
  <c r="N372" i="17" s="1"/>
  <c r="M373" i="17"/>
  <c r="N373" i="17" s="1"/>
  <c r="M374" i="17"/>
  <c r="N374" i="17" s="1"/>
  <c r="M375" i="17"/>
  <c r="N375" i="17" s="1"/>
  <c r="M376" i="17"/>
  <c r="N376" i="17" s="1"/>
  <c r="M377" i="17"/>
  <c r="N377" i="17" s="1"/>
  <c r="M378" i="17"/>
  <c r="N378" i="17" s="1"/>
  <c r="M379" i="17"/>
  <c r="N379" i="17" s="1"/>
  <c r="M380" i="17"/>
  <c r="N380" i="17" s="1"/>
  <c r="M381" i="17"/>
  <c r="N381" i="17" s="1"/>
  <c r="M382" i="17"/>
  <c r="N382" i="17" s="1"/>
  <c r="M383" i="17"/>
  <c r="N383" i="17" s="1"/>
  <c r="M384" i="17"/>
  <c r="N384" i="17" s="1"/>
  <c r="M385" i="17"/>
  <c r="N385" i="17" s="1"/>
  <c r="M386" i="17"/>
  <c r="N386" i="17" s="1"/>
  <c r="M387" i="17"/>
  <c r="N387" i="17" s="1"/>
  <c r="M388" i="17"/>
  <c r="N388" i="17" s="1"/>
  <c r="M389" i="17"/>
  <c r="N389" i="17" s="1"/>
  <c r="M390" i="17"/>
  <c r="N390" i="17" s="1"/>
  <c r="M391" i="17"/>
  <c r="N391" i="17" s="1"/>
  <c r="M392" i="17"/>
  <c r="N392" i="17" s="1"/>
  <c r="M393" i="17"/>
  <c r="N393" i="17" s="1"/>
  <c r="M394" i="17"/>
  <c r="N394" i="17" s="1"/>
  <c r="M395" i="17"/>
  <c r="N395" i="17" s="1"/>
  <c r="M396" i="17"/>
  <c r="N396" i="17" s="1"/>
  <c r="M397" i="17"/>
  <c r="N397" i="17" s="1"/>
  <c r="M398" i="17"/>
  <c r="N398" i="17" s="1"/>
  <c r="M399" i="17"/>
  <c r="N399" i="17" s="1"/>
  <c r="M400" i="17"/>
  <c r="N400" i="17" s="1"/>
  <c r="M401" i="17"/>
  <c r="N401" i="17" s="1"/>
  <c r="M402" i="17"/>
  <c r="N402" i="17" s="1"/>
  <c r="M403" i="17"/>
  <c r="N403" i="17" s="1"/>
  <c r="M404" i="17"/>
  <c r="N404" i="17" s="1"/>
  <c r="M405" i="17"/>
  <c r="N405" i="17" s="1"/>
  <c r="M406" i="17"/>
  <c r="N406" i="17" s="1"/>
  <c r="M407" i="17"/>
  <c r="N407" i="17" s="1"/>
  <c r="M408" i="17"/>
  <c r="N408" i="17" s="1"/>
  <c r="M409" i="17"/>
  <c r="N409" i="17" s="1"/>
  <c r="M410" i="17"/>
  <c r="N410" i="17" s="1"/>
  <c r="M411" i="17"/>
  <c r="N411" i="17" s="1"/>
  <c r="M412" i="17"/>
  <c r="N412" i="17" s="1"/>
  <c r="M413" i="17"/>
  <c r="N413" i="17" s="1"/>
  <c r="M414" i="17"/>
  <c r="N414" i="17" s="1"/>
  <c r="M415" i="17"/>
  <c r="N415" i="17" s="1"/>
  <c r="M416" i="17"/>
  <c r="N416" i="17" s="1"/>
  <c r="M417" i="17"/>
  <c r="M418" i="17"/>
  <c r="N418" i="17" s="1"/>
  <c r="M419" i="17"/>
  <c r="N419" i="17" s="1"/>
  <c r="M420" i="17"/>
  <c r="N420" i="17" s="1"/>
  <c r="M421" i="17"/>
  <c r="N421" i="17" s="1"/>
  <c r="M422" i="17"/>
  <c r="N422" i="17" s="1"/>
  <c r="M423" i="17"/>
  <c r="N423" i="17" s="1"/>
  <c r="M424" i="17"/>
  <c r="N424" i="17" s="1"/>
  <c r="M425" i="17"/>
  <c r="N425" i="17" s="1"/>
  <c r="M426" i="17"/>
  <c r="N426" i="17" s="1"/>
  <c r="M427" i="17"/>
  <c r="N427" i="17" s="1"/>
  <c r="M428" i="17"/>
  <c r="N428" i="17" s="1"/>
  <c r="M429" i="17"/>
  <c r="N429" i="17" s="1"/>
  <c r="M430" i="17"/>
  <c r="N430" i="17" s="1"/>
  <c r="M431" i="17"/>
  <c r="N431" i="17" s="1"/>
  <c r="M432" i="17"/>
  <c r="N432" i="17" s="1"/>
  <c r="M433" i="17"/>
  <c r="N433" i="17" s="1"/>
  <c r="M434" i="17"/>
  <c r="N434" i="17" s="1"/>
  <c r="M435" i="17"/>
  <c r="N435" i="17" s="1"/>
  <c r="M436" i="17"/>
  <c r="N436" i="17" s="1"/>
  <c r="M437" i="17"/>
  <c r="N437" i="17" s="1"/>
  <c r="M438" i="17"/>
  <c r="N438" i="17" s="1"/>
  <c r="M439" i="17"/>
  <c r="N439" i="17" s="1"/>
  <c r="M440" i="17"/>
  <c r="N440" i="17" s="1"/>
  <c r="M441" i="17"/>
  <c r="N441" i="17" s="1"/>
  <c r="M442" i="17"/>
  <c r="N442" i="17" s="1"/>
  <c r="M443" i="17"/>
  <c r="N443" i="17" s="1"/>
  <c r="M444" i="17"/>
  <c r="N444" i="17" s="1"/>
  <c r="M445" i="17"/>
  <c r="N445" i="17" s="1"/>
  <c r="M446" i="17"/>
  <c r="N446" i="17" s="1"/>
  <c r="M447" i="17"/>
  <c r="N447" i="17" s="1"/>
  <c r="M448" i="17"/>
  <c r="N448" i="17" s="1"/>
  <c r="M449" i="17"/>
  <c r="M450" i="17"/>
  <c r="N450" i="17" s="1"/>
  <c r="M451" i="17"/>
  <c r="N451" i="17" s="1"/>
  <c r="M452" i="17"/>
  <c r="N452" i="17" s="1"/>
  <c r="M453" i="17"/>
  <c r="N453" i="17" s="1"/>
  <c r="M454" i="17"/>
  <c r="N454" i="17" s="1"/>
  <c r="M455" i="17"/>
  <c r="N455" i="17" s="1"/>
  <c r="M456" i="17"/>
  <c r="N456" i="17" s="1"/>
  <c r="M457" i="17"/>
  <c r="N457" i="17" s="1"/>
  <c r="M458" i="17"/>
  <c r="N458" i="17" s="1"/>
  <c r="M459" i="17"/>
  <c r="N459" i="17" s="1"/>
  <c r="M460" i="17"/>
  <c r="N460" i="17" s="1"/>
  <c r="M461" i="17"/>
  <c r="N461" i="17" s="1"/>
  <c r="M462" i="17"/>
  <c r="N462" i="17" s="1"/>
  <c r="M463" i="17"/>
  <c r="N463" i="17" s="1"/>
  <c r="M464" i="17"/>
  <c r="N464" i="17" s="1"/>
  <c r="M465" i="17"/>
  <c r="M466" i="17"/>
  <c r="N466" i="17" s="1"/>
  <c r="M467" i="17"/>
  <c r="N467" i="17" s="1"/>
  <c r="M468" i="17"/>
  <c r="N468" i="17" s="1"/>
  <c r="M469" i="17"/>
  <c r="N469" i="17" s="1"/>
  <c r="M470" i="17"/>
  <c r="N470" i="17" s="1"/>
  <c r="M471" i="17"/>
  <c r="N471" i="17" s="1"/>
  <c r="M472" i="17"/>
  <c r="N472" i="17" s="1"/>
  <c r="M473" i="17"/>
  <c r="N473" i="17" s="1"/>
  <c r="M474" i="17"/>
  <c r="N474" i="17" s="1"/>
  <c r="M475" i="17"/>
  <c r="N475" i="17" s="1"/>
  <c r="M476" i="17"/>
  <c r="N476" i="17" s="1"/>
  <c r="M477" i="17"/>
  <c r="N477" i="17" s="1"/>
  <c r="M478" i="17"/>
  <c r="N478" i="17" s="1"/>
  <c r="M479" i="17"/>
  <c r="N479" i="17" s="1"/>
  <c r="M480" i="17"/>
  <c r="N480" i="17" s="1"/>
  <c r="M481" i="17"/>
  <c r="N481" i="17" s="1"/>
  <c r="M482" i="17"/>
  <c r="N482" i="17" s="1"/>
  <c r="M483" i="17"/>
  <c r="N483" i="17" s="1"/>
  <c r="M484" i="17"/>
  <c r="N484" i="17" s="1"/>
  <c r="M485" i="17"/>
  <c r="N485" i="17" s="1"/>
  <c r="M486" i="17"/>
  <c r="N486" i="17" s="1"/>
  <c r="M487" i="17"/>
  <c r="N487" i="17" s="1"/>
  <c r="M488" i="17"/>
  <c r="N488" i="17" s="1"/>
  <c r="M489" i="17"/>
  <c r="N489" i="17" s="1"/>
  <c r="M490" i="17"/>
  <c r="N490" i="17" s="1"/>
  <c r="M491" i="17"/>
  <c r="N491" i="17" s="1"/>
  <c r="M492" i="17"/>
  <c r="N492" i="17" s="1"/>
  <c r="M493" i="17"/>
  <c r="N493" i="17" s="1"/>
  <c r="M494" i="17"/>
  <c r="N494" i="17" s="1"/>
  <c r="M495" i="17"/>
  <c r="N495" i="17" s="1"/>
  <c r="M496" i="17"/>
  <c r="N496" i="17" s="1"/>
  <c r="M497" i="17"/>
  <c r="N497" i="17" s="1"/>
  <c r="M498" i="17"/>
  <c r="N498" i="17" s="1"/>
  <c r="M499" i="17"/>
  <c r="N499" i="17" s="1"/>
  <c r="M500" i="17"/>
  <c r="N500" i="17" s="1"/>
  <c r="M501" i="17"/>
  <c r="N501" i="17" s="1"/>
  <c r="M502" i="17"/>
  <c r="N502" i="17" s="1"/>
  <c r="M503" i="17"/>
  <c r="N503" i="17" s="1"/>
  <c r="M504" i="17"/>
  <c r="N504" i="17" s="1"/>
  <c r="M505" i="17"/>
  <c r="N505" i="17" s="1"/>
  <c r="M506" i="17"/>
  <c r="N506" i="17" s="1"/>
  <c r="M507" i="17"/>
  <c r="N507" i="17" s="1"/>
  <c r="M508" i="17"/>
  <c r="N508" i="17" s="1"/>
  <c r="M509" i="17"/>
  <c r="N509" i="17" s="1"/>
  <c r="M510" i="17"/>
  <c r="N510" i="17" s="1"/>
  <c r="M511" i="17"/>
  <c r="N511" i="17" s="1"/>
  <c r="M512" i="17"/>
  <c r="N512" i="17" s="1"/>
  <c r="M513" i="17"/>
  <c r="N513" i="17" s="1"/>
  <c r="M514" i="17"/>
  <c r="N514" i="17" s="1"/>
  <c r="M515" i="17"/>
  <c r="N515" i="17" s="1"/>
  <c r="M516" i="17"/>
  <c r="N516" i="17" s="1"/>
  <c r="M517" i="17"/>
  <c r="N517" i="17" s="1"/>
  <c r="M518" i="17"/>
  <c r="N518" i="17" s="1"/>
  <c r="M519" i="17"/>
  <c r="N519" i="17" s="1"/>
  <c r="M520" i="17"/>
  <c r="N520" i="17" s="1"/>
  <c r="M521" i="17"/>
  <c r="N521" i="17" s="1"/>
  <c r="M522" i="17"/>
  <c r="N522" i="17" s="1"/>
  <c r="M523" i="17"/>
  <c r="N523" i="17" s="1"/>
  <c r="M524" i="17"/>
  <c r="N524" i="17" s="1"/>
  <c r="M525" i="17"/>
  <c r="N525" i="17" s="1"/>
  <c r="M526" i="17"/>
  <c r="N526" i="17" s="1"/>
  <c r="M527" i="17"/>
  <c r="N527" i="17" s="1"/>
  <c r="M528" i="17"/>
  <c r="N528" i="17" s="1"/>
  <c r="M529" i="17"/>
  <c r="N529" i="17" s="1"/>
  <c r="M530" i="17"/>
  <c r="N530" i="17" s="1"/>
  <c r="M531" i="17"/>
  <c r="N531" i="17" s="1"/>
  <c r="M532" i="17"/>
  <c r="N532" i="17" s="1"/>
  <c r="M533" i="17"/>
  <c r="N533" i="17" s="1"/>
  <c r="M534" i="17"/>
  <c r="N534" i="17" s="1"/>
  <c r="M535" i="17"/>
  <c r="N535" i="17" s="1"/>
  <c r="M536" i="17"/>
  <c r="N536" i="17" s="1"/>
  <c r="M537" i="17"/>
  <c r="N537" i="17" s="1"/>
  <c r="M538" i="17"/>
  <c r="N538" i="17" s="1"/>
  <c r="M539" i="17"/>
  <c r="N539" i="17" s="1"/>
  <c r="M540" i="17"/>
  <c r="N540" i="17" s="1"/>
  <c r="M541" i="17"/>
  <c r="N541" i="17" s="1"/>
  <c r="M542" i="17"/>
  <c r="N542" i="17" s="1"/>
  <c r="M543" i="17"/>
  <c r="N543" i="17" s="1"/>
  <c r="M544" i="17"/>
  <c r="N544" i="17" s="1"/>
  <c r="M545" i="17"/>
  <c r="N545" i="17" s="1"/>
  <c r="M546" i="17"/>
  <c r="N546" i="17" s="1"/>
  <c r="M547" i="17"/>
  <c r="N547" i="17" s="1"/>
  <c r="M548" i="17"/>
  <c r="N548" i="17" s="1"/>
  <c r="M549" i="17"/>
  <c r="N549" i="17" s="1"/>
  <c r="M550" i="17"/>
  <c r="N550" i="17" s="1"/>
  <c r="M551" i="17"/>
  <c r="N551" i="17" s="1"/>
  <c r="M552" i="17"/>
  <c r="N552" i="17" s="1"/>
  <c r="M553" i="17"/>
  <c r="N553" i="17" s="1"/>
  <c r="M554" i="17"/>
  <c r="N554" i="17" s="1"/>
  <c r="M555" i="17"/>
  <c r="N555" i="17" s="1"/>
  <c r="M556" i="17"/>
  <c r="N556" i="17" s="1"/>
  <c r="M557" i="17"/>
  <c r="N557" i="17" s="1"/>
  <c r="M558" i="17"/>
  <c r="N558" i="17" s="1"/>
  <c r="M559" i="17"/>
  <c r="N559" i="17" s="1"/>
  <c r="M560" i="17"/>
  <c r="N560" i="17" s="1"/>
  <c r="M561" i="17"/>
  <c r="N561" i="17" s="1"/>
  <c r="M562" i="17"/>
  <c r="N562" i="17" s="1"/>
  <c r="M563" i="17"/>
  <c r="N563" i="17" s="1"/>
  <c r="M564" i="17"/>
  <c r="N564" i="17" s="1"/>
  <c r="M565" i="17"/>
  <c r="N565" i="17" s="1"/>
  <c r="M566" i="17"/>
  <c r="N566" i="17" s="1"/>
  <c r="M567" i="17"/>
  <c r="N567" i="17" s="1"/>
  <c r="M568" i="17"/>
  <c r="N568" i="17" s="1"/>
  <c r="M569" i="17"/>
  <c r="N569" i="17" s="1"/>
  <c r="M570" i="17"/>
  <c r="N570" i="17" s="1"/>
  <c r="M571" i="17"/>
  <c r="N571" i="17" s="1"/>
  <c r="M572" i="17"/>
  <c r="N572" i="17" s="1"/>
  <c r="M573" i="17"/>
  <c r="N573" i="17" s="1"/>
  <c r="M574" i="17"/>
  <c r="N574" i="17" s="1"/>
  <c r="M575" i="17"/>
  <c r="N575" i="17" s="1"/>
  <c r="M576" i="17"/>
  <c r="N576" i="17" s="1"/>
  <c r="M577" i="17"/>
  <c r="N577" i="17" s="1"/>
  <c r="M578" i="17"/>
  <c r="N578" i="17" s="1"/>
  <c r="M579" i="17"/>
  <c r="N579" i="17" s="1"/>
  <c r="M580" i="17"/>
  <c r="N580" i="17" s="1"/>
  <c r="M581" i="17"/>
  <c r="N581" i="17" s="1"/>
  <c r="M582" i="17"/>
  <c r="N582" i="17" s="1"/>
  <c r="M583" i="17"/>
  <c r="N583" i="17" s="1"/>
  <c r="M584" i="17"/>
  <c r="N584" i="17" s="1"/>
  <c r="M585" i="17"/>
  <c r="N585" i="17" s="1"/>
  <c r="M586" i="17"/>
  <c r="N586" i="17" s="1"/>
  <c r="M587" i="17"/>
  <c r="N587" i="17" s="1"/>
  <c r="M588" i="17"/>
  <c r="N588" i="17" s="1"/>
  <c r="M589" i="17"/>
  <c r="N589" i="17" s="1"/>
  <c r="M590" i="17"/>
  <c r="N590" i="17" s="1"/>
  <c r="M591" i="17"/>
  <c r="N591" i="17" s="1"/>
  <c r="M592" i="17"/>
  <c r="N592" i="17" s="1"/>
  <c r="M593" i="17"/>
  <c r="N593" i="17" s="1"/>
  <c r="M594" i="17"/>
  <c r="N594" i="17" s="1"/>
  <c r="M595" i="17"/>
  <c r="N595" i="17" s="1"/>
  <c r="M596" i="17"/>
  <c r="N596" i="17" s="1"/>
  <c r="M597" i="17"/>
  <c r="N597" i="17" s="1"/>
  <c r="M598" i="17"/>
  <c r="N598" i="17" s="1"/>
  <c r="M599" i="17"/>
  <c r="N599" i="17" s="1"/>
  <c r="M600" i="17"/>
  <c r="N600" i="17" s="1"/>
  <c r="M601" i="17"/>
  <c r="N601" i="17" s="1"/>
  <c r="M602" i="17"/>
  <c r="N602" i="17" s="1"/>
  <c r="M603" i="17"/>
  <c r="N603" i="17" s="1"/>
  <c r="M604" i="17"/>
  <c r="N604" i="17" s="1"/>
  <c r="M605" i="17"/>
  <c r="N605" i="17" s="1"/>
  <c r="M606" i="17"/>
  <c r="N606" i="17" s="1"/>
  <c r="M607" i="17"/>
  <c r="N607" i="17" s="1"/>
  <c r="M608" i="17"/>
  <c r="N608" i="17" s="1"/>
  <c r="M609" i="17"/>
  <c r="N609" i="17" s="1"/>
  <c r="M610" i="17"/>
  <c r="N610" i="17" s="1"/>
  <c r="M611" i="17"/>
  <c r="N611" i="17" s="1"/>
  <c r="M612" i="17"/>
  <c r="N612" i="17" s="1"/>
  <c r="M613" i="17"/>
  <c r="N613" i="17" s="1"/>
  <c r="M614" i="17"/>
  <c r="N614" i="17" s="1"/>
  <c r="M615" i="17"/>
  <c r="N615" i="17" s="1"/>
  <c r="M616" i="17"/>
  <c r="N616" i="17" s="1"/>
  <c r="M617" i="17"/>
  <c r="N617" i="17" s="1"/>
  <c r="M618" i="17"/>
  <c r="N618" i="17" s="1"/>
  <c r="M619" i="17"/>
  <c r="N619" i="17" s="1"/>
  <c r="M620" i="17"/>
  <c r="N620" i="17" s="1"/>
  <c r="M621" i="17"/>
  <c r="N621" i="17" s="1"/>
  <c r="M622" i="17"/>
  <c r="N622" i="17" s="1"/>
  <c r="M623" i="17"/>
  <c r="N623" i="17" s="1"/>
  <c r="M624" i="17"/>
  <c r="N624" i="17" s="1"/>
  <c r="M625" i="17"/>
  <c r="N625" i="17" s="1"/>
  <c r="M626" i="17"/>
  <c r="N626" i="17" s="1"/>
  <c r="M627" i="17"/>
  <c r="N627" i="17" s="1"/>
  <c r="M628" i="17"/>
  <c r="N628" i="17" s="1"/>
  <c r="M629" i="17"/>
  <c r="N629" i="17" s="1"/>
  <c r="M630" i="17"/>
  <c r="N630" i="17" s="1"/>
  <c r="M631" i="17"/>
  <c r="N631" i="17" s="1"/>
  <c r="M632" i="17"/>
  <c r="N632" i="17" s="1"/>
  <c r="M633" i="17"/>
  <c r="N633" i="17" s="1"/>
  <c r="M634" i="17"/>
  <c r="N634" i="17" s="1"/>
  <c r="M635" i="17"/>
  <c r="N635" i="17" s="1"/>
  <c r="M636" i="17"/>
  <c r="N636" i="17" s="1"/>
  <c r="M637" i="17"/>
  <c r="N637" i="17" s="1"/>
  <c r="M638" i="17"/>
  <c r="N638" i="17" s="1"/>
  <c r="M639" i="17"/>
  <c r="N639" i="17" s="1"/>
  <c r="M640" i="17"/>
  <c r="N640" i="17" s="1"/>
  <c r="M641" i="17"/>
  <c r="N641" i="17" s="1"/>
  <c r="M642" i="17"/>
  <c r="N642" i="17" s="1"/>
  <c r="M643" i="17"/>
  <c r="N643" i="17" s="1"/>
  <c r="M644" i="17"/>
  <c r="N644" i="17" s="1"/>
  <c r="M645" i="17"/>
  <c r="N645" i="17" s="1"/>
  <c r="M646" i="17"/>
  <c r="N646" i="17" s="1"/>
  <c r="M647" i="17"/>
  <c r="N647" i="17" s="1"/>
  <c r="M648" i="17"/>
  <c r="N648" i="17" s="1"/>
  <c r="M649" i="17"/>
  <c r="N649" i="17" s="1"/>
  <c r="M650" i="17"/>
  <c r="N650" i="17" s="1"/>
  <c r="M651" i="17"/>
  <c r="N651" i="17" s="1"/>
  <c r="M652" i="17"/>
  <c r="N652" i="17" s="1"/>
  <c r="M653" i="17"/>
  <c r="N653" i="17" s="1"/>
  <c r="M654" i="17"/>
  <c r="N654" i="17" s="1"/>
  <c r="M655" i="17"/>
  <c r="N655" i="17" s="1"/>
  <c r="M656" i="17"/>
  <c r="N656" i="17" s="1"/>
  <c r="M657" i="17"/>
  <c r="N657" i="17" s="1"/>
  <c r="M658" i="17"/>
  <c r="N658" i="17" s="1"/>
  <c r="M659" i="17"/>
  <c r="N659" i="17" s="1"/>
  <c r="M660" i="17"/>
  <c r="N660" i="17" s="1"/>
  <c r="M661" i="17"/>
  <c r="N661" i="17" s="1"/>
  <c r="M662" i="17"/>
  <c r="N662" i="17" s="1"/>
  <c r="M663" i="17"/>
  <c r="N663" i="17" s="1"/>
  <c r="M664" i="17"/>
  <c r="N664" i="17" s="1"/>
  <c r="M665" i="17"/>
  <c r="N665" i="17" s="1"/>
  <c r="M666" i="17"/>
  <c r="N666" i="17" s="1"/>
  <c r="M667" i="17"/>
  <c r="N667" i="17" s="1"/>
  <c r="M668" i="17"/>
  <c r="N668" i="17" s="1"/>
  <c r="M669" i="17"/>
  <c r="N669" i="17" s="1"/>
  <c r="M670" i="17"/>
  <c r="N670" i="17" s="1"/>
  <c r="M671" i="17"/>
  <c r="N671" i="17" s="1"/>
  <c r="M672" i="17"/>
  <c r="N672" i="17" s="1"/>
  <c r="M673" i="17"/>
  <c r="N673" i="17" s="1"/>
  <c r="M674" i="17"/>
  <c r="N674" i="17" s="1"/>
  <c r="M675" i="17"/>
  <c r="N675" i="17" s="1"/>
  <c r="M676" i="17"/>
  <c r="N676" i="17" s="1"/>
  <c r="M677" i="17"/>
  <c r="N677" i="17" s="1"/>
  <c r="M678" i="17"/>
  <c r="N678" i="17" s="1"/>
  <c r="M679" i="17"/>
  <c r="N679" i="17" s="1"/>
  <c r="M680" i="17"/>
  <c r="N680" i="17" s="1"/>
  <c r="M681" i="17"/>
  <c r="N681" i="17" s="1"/>
  <c r="M682" i="17"/>
  <c r="N682" i="17" s="1"/>
  <c r="M683" i="17"/>
  <c r="N683" i="17" s="1"/>
  <c r="M684" i="17"/>
  <c r="N684" i="17" s="1"/>
  <c r="M685" i="17"/>
  <c r="N685" i="17" s="1"/>
  <c r="M686" i="17"/>
  <c r="N686" i="17" s="1"/>
  <c r="M687" i="17"/>
  <c r="N687" i="17" s="1"/>
  <c r="M688" i="17"/>
  <c r="N688" i="17" s="1"/>
  <c r="M689" i="17"/>
  <c r="N689" i="17" s="1"/>
  <c r="M690" i="17"/>
  <c r="N690" i="17" s="1"/>
  <c r="M691" i="17"/>
  <c r="N691" i="17" s="1"/>
  <c r="M692" i="17"/>
  <c r="N692" i="17" s="1"/>
  <c r="M693" i="17"/>
  <c r="N693" i="17" s="1"/>
  <c r="M694" i="17"/>
  <c r="N694" i="17" s="1"/>
  <c r="M695" i="17"/>
  <c r="N695" i="17" s="1"/>
  <c r="M696" i="17"/>
  <c r="N696" i="17" s="1"/>
  <c r="M697" i="17"/>
  <c r="N697" i="17" s="1"/>
  <c r="M698" i="17"/>
  <c r="N698" i="17" s="1"/>
  <c r="M699" i="17"/>
  <c r="N699" i="17" s="1"/>
  <c r="M700" i="17"/>
  <c r="N700" i="17" s="1"/>
  <c r="M701" i="17"/>
  <c r="N701" i="17" s="1"/>
  <c r="M702" i="17"/>
  <c r="N702" i="17" s="1"/>
  <c r="M703" i="17"/>
  <c r="N703" i="17" s="1"/>
  <c r="M704" i="17"/>
  <c r="N704" i="17" s="1"/>
  <c r="M705" i="17"/>
  <c r="M706" i="17"/>
  <c r="N706" i="17" s="1"/>
  <c r="M707" i="17"/>
  <c r="N707" i="17" s="1"/>
  <c r="M708" i="17"/>
  <c r="N708" i="17" s="1"/>
  <c r="M709" i="17"/>
  <c r="N709" i="17" s="1"/>
  <c r="M710" i="17"/>
  <c r="N710" i="17" s="1"/>
  <c r="M711" i="17"/>
  <c r="N711" i="17" s="1"/>
  <c r="M712" i="17"/>
  <c r="N712" i="17" s="1"/>
  <c r="M713" i="17"/>
  <c r="N713" i="17" s="1"/>
  <c r="M714" i="17"/>
  <c r="N714" i="17" s="1"/>
  <c r="M715" i="17"/>
  <c r="N715" i="17" s="1"/>
  <c r="M716" i="17"/>
  <c r="N716" i="17" s="1"/>
  <c r="M717" i="17"/>
  <c r="N717" i="17" s="1"/>
  <c r="M718" i="17"/>
  <c r="N718" i="17" s="1"/>
  <c r="M719" i="17"/>
  <c r="N719" i="17" s="1"/>
  <c r="M720" i="17"/>
  <c r="N720" i="17" s="1"/>
  <c r="M721" i="17"/>
  <c r="M722" i="17"/>
  <c r="N722" i="17" s="1"/>
  <c r="M723" i="17"/>
  <c r="N723" i="17" s="1"/>
  <c r="M724" i="17"/>
  <c r="N724" i="17" s="1"/>
  <c r="M725" i="17"/>
  <c r="N725" i="17" s="1"/>
  <c r="M726" i="17"/>
  <c r="N726" i="17" s="1"/>
  <c r="M727" i="17"/>
  <c r="N727" i="17" s="1"/>
  <c r="M728" i="17"/>
  <c r="N728" i="17" s="1"/>
  <c r="M729" i="17"/>
  <c r="N729" i="17" s="1"/>
  <c r="M730" i="17"/>
  <c r="N730" i="17" s="1"/>
  <c r="M731" i="17"/>
  <c r="N731" i="17" s="1"/>
  <c r="M732" i="17"/>
  <c r="N732" i="17" s="1"/>
  <c r="M733" i="17"/>
  <c r="N733" i="17" s="1"/>
  <c r="M734" i="17"/>
  <c r="N734" i="17" s="1"/>
  <c r="M735" i="17"/>
  <c r="N735" i="17" s="1"/>
  <c r="M736" i="17"/>
  <c r="N736" i="17" s="1"/>
  <c r="M737" i="17"/>
  <c r="N737" i="17" s="1"/>
  <c r="M738" i="17"/>
  <c r="N738" i="17" s="1"/>
  <c r="M739" i="17"/>
  <c r="N739" i="17" s="1"/>
  <c r="M740" i="17"/>
  <c r="N740" i="17" s="1"/>
  <c r="M741" i="17"/>
  <c r="N741" i="17" s="1"/>
  <c r="M742" i="17"/>
  <c r="N742" i="17" s="1"/>
  <c r="M743" i="17"/>
  <c r="N743" i="17" s="1"/>
  <c r="M744" i="17"/>
  <c r="N744" i="17" s="1"/>
  <c r="M745" i="17"/>
  <c r="N745" i="17" s="1"/>
  <c r="M746" i="17"/>
  <c r="N746" i="17" s="1"/>
  <c r="M747" i="17"/>
  <c r="N747" i="17" s="1"/>
  <c r="M748" i="17"/>
  <c r="N748" i="17" s="1"/>
  <c r="M749" i="17"/>
  <c r="N749" i="17" s="1"/>
  <c r="M750" i="17"/>
  <c r="N750" i="17" s="1"/>
  <c r="M751" i="17"/>
  <c r="N751" i="17" s="1"/>
  <c r="M752" i="17"/>
  <c r="N752" i="17" s="1"/>
  <c r="M753" i="17"/>
  <c r="N753" i="17" s="1"/>
  <c r="M754" i="17"/>
  <c r="N754" i="17" s="1"/>
  <c r="M755" i="17"/>
  <c r="N755" i="17" s="1"/>
  <c r="M756" i="17"/>
  <c r="N756" i="17" s="1"/>
  <c r="M757" i="17"/>
  <c r="N757" i="17" s="1"/>
  <c r="M758" i="17"/>
  <c r="N758" i="17" s="1"/>
  <c r="M759" i="17"/>
  <c r="N759" i="17" s="1"/>
  <c r="M760" i="17"/>
  <c r="N760" i="17" s="1"/>
  <c r="M761" i="17"/>
  <c r="N761" i="17" s="1"/>
  <c r="M762" i="17"/>
  <c r="N762" i="17" s="1"/>
  <c r="M763" i="17"/>
  <c r="N763" i="17" s="1"/>
  <c r="M764" i="17"/>
  <c r="N764" i="17" s="1"/>
  <c r="M765" i="17"/>
  <c r="N765" i="17" s="1"/>
  <c r="M766" i="17"/>
  <c r="N766" i="17" s="1"/>
  <c r="M767" i="17"/>
  <c r="N767" i="17" s="1"/>
  <c r="M768" i="17"/>
  <c r="N768" i="17" s="1"/>
  <c r="M769" i="17"/>
  <c r="N769" i="17" s="1"/>
  <c r="M770" i="17"/>
  <c r="N770" i="17" s="1"/>
  <c r="M771" i="17"/>
  <c r="N771" i="17" s="1"/>
  <c r="M772" i="17"/>
  <c r="N772" i="17" s="1"/>
  <c r="M773" i="17"/>
  <c r="N773" i="17" s="1"/>
  <c r="M774" i="17"/>
  <c r="N774" i="17" s="1"/>
  <c r="M775" i="17"/>
  <c r="N775" i="17" s="1"/>
  <c r="M776" i="17"/>
  <c r="N776" i="17" s="1"/>
  <c r="M777" i="17"/>
  <c r="N777" i="17" s="1"/>
  <c r="M778" i="17"/>
  <c r="N778" i="17" s="1"/>
  <c r="M779" i="17"/>
  <c r="N779" i="17" s="1"/>
  <c r="M780" i="17"/>
  <c r="N780" i="17" s="1"/>
  <c r="M781" i="17"/>
  <c r="N781" i="17" s="1"/>
  <c r="M782" i="17"/>
  <c r="N782" i="17" s="1"/>
  <c r="M783" i="17"/>
  <c r="N783" i="17" s="1"/>
  <c r="M784" i="17"/>
  <c r="N784" i="17" s="1"/>
  <c r="M785" i="17"/>
  <c r="N785" i="17" s="1"/>
  <c r="M786" i="17"/>
  <c r="N786" i="17" s="1"/>
  <c r="M787" i="17"/>
  <c r="N787" i="17" s="1"/>
  <c r="M788" i="17"/>
  <c r="N788" i="17" s="1"/>
  <c r="M789" i="17"/>
  <c r="N789" i="17" s="1"/>
  <c r="M790" i="17"/>
  <c r="N790" i="17" s="1"/>
  <c r="M791" i="17"/>
  <c r="N791" i="17" s="1"/>
  <c r="M792" i="17"/>
  <c r="N792" i="17" s="1"/>
  <c r="M793" i="17"/>
  <c r="N793" i="17" s="1"/>
  <c r="M794" i="17"/>
  <c r="N794" i="17" s="1"/>
  <c r="M795" i="17"/>
  <c r="N795" i="17" s="1"/>
  <c r="M796" i="17"/>
  <c r="N796" i="17" s="1"/>
  <c r="M797" i="17"/>
  <c r="N797" i="17" s="1"/>
  <c r="M798" i="17"/>
  <c r="N798" i="17" s="1"/>
  <c r="M799" i="17"/>
  <c r="N799" i="17" s="1"/>
  <c r="M800" i="17"/>
  <c r="N800" i="17" s="1"/>
  <c r="M801" i="17"/>
  <c r="N801" i="17" s="1"/>
  <c r="M802" i="17"/>
  <c r="N802" i="17" s="1"/>
  <c r="M803" i="17"/>
  <c r="N803" i="17" s="1"/>
  <c r="M804" i="17"/>
  <c r="N804" i="17" s="1"/>
  <c r="M805" i="17"/>
  <c r="N805" i="17" s="1"/>
  <c r="M806" i="17"/>
  <c r="N806" i="17" s="1"/>
  <c r="M807" i="17"/>
  <c r="N807" i="17" s="1"/>
  <c r="M808" i="17"/>
  <c r="N808" i="17" s="1"/>
  <c r="M809" i="17"/>
  <c r="N809" i="17" s="1"/>
  <c r="M810" i="17"/>
  <c r="N810" i="17" s="1"/>
  <c r="M811" i="17"/>
  <c r="N811" i="17" s="1"/>
  <c r="M812" i="17"/>
  <c r="N812" i="17" s="1"/>
  <c r="M813" i="17"/>
  <c r="N813" i="17" s="1"/>
  <c r="M814" i="17"/>
  <c r="N814" i="17" s="1"/>
  <c r="M815" i="17"/>
  <c r="N815" i="17" s="1"/>
  <c r="M816" i="17"/>
  <c r="N816" i="17" s="1"/>
  <c r="M817" i="17"/>
  <c r="N817" i="17" s="1"/>
  <c r="M818" i="17"/>
  <c r="N818" i="17" s="1"/>
  <c r="M819" i="17"/>
  <c r="N819" i="17" s="1"/>
  <c r="M820" i="17"/>
  <c r="N820" i="17" s="1"/>
  <c r="M821" i="17"/>
  <c r="N821" i="17" s="1"/>
  <c r="M822" i="17"/>
  <c r="N822" i="17" s="1"/>
  <c r="M823" i="17"/>
  <c r="N823" i="17" s="1"/>
  <c r="M824" i="17"/>
  <c r="N824" i="17" s="1"/>
  <c r="M825" i="17"/>
  <c r="N825" i="17" s="1"/>
  <c r="M826" i="17"/>
  <c r="N826" i="17" s="1"/>
  <c r="M827" i="17"/>
  <c r="N827" i="17" s="1"/>
  <c r="M828" i="17"/>
  <c r="N828" i="17" s="1"/>
  <c r="M829" i="17"/>
  <c r="N829" i="17" s="1"/>
  <c r="M830" i="17"/>
  <c r="N830" i="17" s="1"/>
  <c r="M831" i="17"/>
  <c r="N831" i="17" s="1"/>
  <c r="M832" i="17"/>
  <c r="N832" i="17" s="1"/>
  <c r="M833" i="17"/>
  <c r="N833" i="17" s="1"/>
  <c r="M834" i="17"/>
  <c r="N834" i="17" s="1"/>
  <c r="M835" i="17"/>
  <c r="N835" i="17" s="1"/>
  <c r="M836" i="17"/>
  <c r="N836" i="17" s="1"/>
  <c r="M837" i="17"/>
  <c r="N837" i="17" s="1"/>
  <c r="M838" i="17"/>
  <c r="N838" i="17" s="1"/>
  <c r="M839" i="17"/>
  <c r="N839" i="17" s="1"/>
  <c r="M840" i="17"/>
  <c r="N840" i="17" s="1"/>
  <c r="M841" i="17"/>
  <c r="N841" i="17" s="1"/>
  <c r="M842" i="17"/>
  <c r="N842" i="17" s="1"/>
  <c r="M843" i="17"/>
  <c r="N843" i="17" s="1"/>
  <c r="M844" i="17"/>
  <c r="N844" i="17" s="1"/>
  <c r="M845" i="17"/>
  <c r="N845" i="17" s="1"/>
  <c r="M846" i="17"/>
  <c r="N846" i="17" s="1"/>
  <c r="M847" i="17"/>
  <c r="N847" i="17" s="1"/>
  <c r="M848" i="17"/>
  <c r="N848" i="17" s="1"/>
  <c r="M849" i="17"/>
  <c r="N849" i="17" s="1"/>
  <c r="M850" i="17"/>
  <c r="N850" i="17" s="1"/>
  <c r="M851" i="17"/>
  <c r="N851" i="17" s="1"/>
  <c r="M852" i="17"/>
  <c r="N852" i="17" s="1"/>
  <c r="M853" i="17"/>
  <c r="N853" i="17" s="1"/>
  <c r="M854" i="17"/>
  <c r="N854" i="17" s="1"/>
  <c r="M855" i="17"/>
  <c r="N855" i="17" s="1"/>
  <c r="M856" i="17"/>
  <c r="N856" i="17" s="1"/>
  <c r="M857" i="17"/>
  <c r="N857" i="17" s="1"/>
  <c r="M858" i="17"/>
  <c r="N858" i="17" s="1"/>
  <c r="M859" i="17"/>
  <c r="N859" i="17" s="1"/>
  <c r="M860" i="17"/>
  <c r="N860" i="17" s="1"/>
  <c r="M861" i="17"/>
  <c r="N861" i="17" s="1"/>
  <c r="M862" i="17"/>
  <c r="N862" i="17" s="1"/>
  <c r="M863" i="17"/>
  <c r="N863" i="17" s="1"/>
  <c r="M864" i="17"/>
  <c r="N864" i="17" s="1"/>
  <c r="M865" i="17"/>
  <c r="N865" i="17" s="1"/>
  <c r="M866" i="17"/>
  <c r="N866" i="17" s="1"/>
  <c r="M867" i="17"/>
  <c r="N867" i="17" s="1"/>
  <c r="M868" i="17"/>
  <c r="N868" i="17" s="1"/>
  <c r="M869" i="17"/>
  <c r="N869" i="17" s="1"/>
  <c r="M870" i="17"/>
  <c r="N870" i="17" s="1"/>
  <c r="M871" i="17"/>
  <c r="N871" i="17" s="1"/>
  <c r="M872" i="17"/>
  <c r="N872" i="17" s="1"/>
  <c r="M873" i="17"/>
  <c r="N873" i="17" s="1"/>
  <c r="M874" i="17"/>
  <c r="N874" i="17" s="1"/>
  <c r="M875" i="17"/>
  <c r="N875" i="17" s="1"/>
  <c r="M876" i="17"/>
  <c r="N876" i="17" s="1"/>
  <c r="M877" i="17"/>
  <c r="N877" i="17" s="1"/>
  <c r="M878" i="17"/>
  <c r="N878" i="17" s="1"/>
  <c r="M879" i="17"/>
  <c r="N879" i="17" s="1"/>
  <c r="M880" i="17"/>
  <c r="N880" i="17" s="1"/>
  <c r="M881" i="17"/>
  <c r="N881" i="17" s="1"/>
  <c r="M882" i="17"/>
  <c r="N882" i="17" s="1"/>
  <c r="M883" i="17"/>
  <c r="N883" i="17" s="1"/>
  <c r="M884" i="17"/>
  <c r="N884" i="17" s="1"/>
  <c r="M885" i="17"/>
  <c r="N885" i="17" s="1"/>
  <c r="M886" i="17"/>
  <c r="N886" i="17" s="1"/>
  <c r="M887" i="17"/>
  <c r="N887" i="17" s="1"/>
  <c r="M888" i="17"/>
  <c r="N888" i="17" s="1"/>
  <c r="M889" i="17"/>
  <c r="N889" i="17" s="1"/>
  <c r="M890" i="17"/>
  <c r="N890" i="17" s="1"/>
  <c r="M891" i="17"/>
  <c r="N891" i="17" s="1"/>
  <c r="M892" i="17"/>
  <c r="N892" i="17" s="1"/>
  <c r="M893" i="17"/>
  <c r="N893" i="17" s="1"/>
  <c r="M894" i="17"/>
  <c r="N894" i="17" s="1"/>
  <c r="M895" i="17"/>
  <c r="N895" i="17" s="1"/>
  <c r="M896" i="17"/>
  <c r="N896" i="17" s="1"/>
  <c r="M897" i="17"/>
  <c r="N897" i="17" s="1"/>
  <c r="M898" i="17"/>
  <c r="N898" i="17" s="1"/>
  <c r="M899" i="17"/>
  <c r="N899" i="17" s="1"/>
  <c r="M900" i="17"/>
  <c r="N900" i="17" s="1"/>
  <c r="M901" i="17"/>
  <c r="N901" i="17" s="1"/>
  <c r="M902" i="17"/>
  <c r="N902" i="17" s="1"/>
  <c r="M903" i="17"/>
  <c r="N903" i="17" s="1"/>
  <c r="M904" i="17"/>
  <c r="N904" i="17" s="1"/>
  <c r="M905" i="17"/>
  <c r="N905" i="17" s="1"/>
  <c r="M906" i="17"/>
  <c r="N906" i="17" s="1"/>
  <c r="M907" i="17"/>
  <c r="N907" i="17" s="1"/>
  <c r="M908" i="17"/>
  <c r="N908" i="17" s="1"/>
  <c r="M909" i="17"/>
  <c r="N909" i="17" s="1"/>
  <c r="M910" i="17"/>
  <c r="N910" i="17" s="1"/>
  <c r="M911" i="17"/>
  <c r="N911" i="17" s="1"/>
  <c r="M912" i="17"/>
  <c r="N912" i="17" s="1"/>
  <c r="M913" i="17"/>
  <c r="N913" i="17" s="1"/>
  <c r="M914" i="17"/>
  <c r="N914" i="17" s="1"/>
  <c r="M915" i="17"/>
  <c r="N915" i="17" s="1"/>
  <c r="M916" i="17"/>
  <c r="N916" i="17" s="1"/>
  <c r="M917" i="17"/>
  <c r="N917" i="17" s="1"/>
  <c r="M918" i="17"/>
  <c r="N918" i="17" s="1"/>
  <c r="M919" i="17"/>
  <c r="N919" i="17" s="1"/>
  <c r="M920" i="17"/>
  <c r="N920" i="17" s="1"/>
  <c r="M921" i="17"/>
  <c r="N921" i="17" s="1"/>
  <c r="M922" i="17"/>
  <c r="N922" i="17" s="1"/>
  <c r="M923" i="17"/>
  <c r="N923" i="17" s="1"/>
  <c r="M924" i="17"/>
  <c r="N924" i="17" s="1"/>
  <c r="M925" i="17"/>
  <c r="N925" i="17" s="1"/>
  <c r="M926" i="17"/>
  <c r="N926" i="17" s="1"/>
  <c r="M927" i="17"/>
  <c r="N927" i="17" s="1"/>
  <c r="M928" i="17"/>
  <c r="N928" i="17" s="1"/>
  <c r="M929" i="17"/>
  <c r="N929" i="17" s="1"/>
  <c r="M930" i="17"/>
  <c r="N930" i="17" s="1"/>
  <c r="M931" i="17"/>
  <c r="N931" i="17" s="1"/>
  <c r="M932" i="17"/>
  <c r="N932" i="17" s="1"/>
  <c r="M933" i="17"/>
  <c r="N933" i="17" s="1"/>
  <c r="M934" i="17"/>
  <c r="N934" i="17" s="1"/>
  <c r="M935" i="17"/>
  <c r="N935" i="17" s="1"/>
  <c r="M936" i="17"/>
  <c r="N936" i="17" s="1"/>
  <c r="M937" i="17"/>
  <c r="N937" i="17" s="1"/>
  <c r="M938" i="17"/>
  <c r="N938" i="17" s="1"/>
  <c r="M939" i="17"/>
  <c r="N939" i="17" s="1"/>
  <c r="M940" i="17"/>
  <c r="N940" i="17" s="1"/>
  <c r="M941" i="17"/>
  <c r="N941" i="17" s="1"/>
  <c r="M942" i="17"/>
  <c r="N942" i="17" s="1"/>
  <c r="M943" i="17"/>
  <c r="N943" i="17" s="1"/>
  <c r="M944" i="17"/>
  <c r="N944" i="17" s="1"/>
  <c r="M945" i="17"/>
  <c r="N945" i="17" s="1"/>
  <c r="M946" i="17"/>
  <c r="N946" i="17" s="1"/>
  <c r="M947" i="17"/>
  <c r="N947" i="17" s="1"/>
  <c r="M948" i="17"/>
  <c r="N948" i="17" s="1"/>
  <c r="M949" i="17"/>
  <c r="N949" i="17" s="1"/>
  <c r="M950" i="17"/>
  <c r="N950" i="17" s="1"/>
  <c r="M951" i="17"/>
  <c r="N951" i="17" s="1"/>
  <c r="M952" i="17"/>
  <c r="N952" i="17" s="1"/>
  <c r="M953" i="17"/>
  <c r="N953" i="17" s="1"/>
  <c r="M954" i="17"/>
  <c r="N954" i="17" s="1"/>
  <c r="M955" i="17"/>
  <c r="N955" i="17" s="1"/>
  <c r="M956" i="17"/>
  <c r="N956" i="17" s="1"/>
  <c r="M957" i="17"/>
  <c r="N957" i="17" s="1"/>
  <c r="M958" i="17"/>
  <c r="N958" i="17" s="1"/>
  <c r="M959" i="17"/>
  <c r="N959" i="17" s="1"/>
  <c r="M960" i="17"/>
  <c r="N960" i="17" s="1"/>
  <c r="M961" i="17"/>
  <c r="M962" i="17"/>
  <c r="N962" i="17" s="1"/>
  <c r="M963" i="17"/>
  <c r="N963" i="17" s="1"/>
  <c r="M964" i="17"/>
  <c r="N964" i="17" s="1"/>
  <c r="M965" i="17"/>
  <c r="N965" i="17" s="1"/>
  <c r="M966" i="17"/>
  <c r="N966" i="17" s="1"/>
  <c r="M967" i="17"/>
  <c r="N967" i="17" s="1"/>
  <c r="M968" i="17"/>
  <c r="N968" i="17" s="1"/>
  <c r="M969" i="17"/>
  <c r="N969" i="17" s="1"/>
  <c r="M970" i="17"/>
  <c r="N970" i="17" s="1"/>
  <c r="M971" i="17"/>
  <c r="N971" i="17" s="1"/>
  <c r="M972" i="17"/>
  <c r="N972" i="17" s="1"/>
  <c r="M973" i="17"/>
  <c r="N973" i="17" s="1"/>
  <c r="M974" i="17"/>
  <c r="N974" i="17" s="1"/>
  <c r="M975" i="17"/>
  <c r="N975" i="17" s="1"/>
  <c r="M976" i="17"/>
  <c r="N976" i="17" s="1"/>
  <c r="M977" i="17"/>
  <c r="M978" i="17"/>
  <c r="N978" i="17" s="1"/>
  <c r="M979" i="17"/>
  <c r="N979" i="17" s="1"/>
  <c r="M980" i="17"/>
  <c r="N980" i="17" s="1"/>
  <c r="M981" i="17"/>
  <c r="N981" i="17" s="1"/>
  <c r="M982" i="17"/>
  <c r="N982" i="17" s="1"/>
  <c r="M983" i="17"/>
  <c r="N983" i="17" s="1"/>
  <c r="M984" i="17"/>
  <c r="N984" i="17" s="1"/>
  <c r="M985" i="17"/>
  <c r="N985" i="17" s="1"/>
  <c r="M986" i="17"/>
  <c r="N986" i="17" s="1"/>
  <c r="M987" i="17"/>
  <c r="N987" i="17" s="1"/>
  <c r="M988" i="17"/>
  <c r="N988" i="17" s="1"/>
  <c r="M989" i="17"/>
  <c r="N989" i="17" s="1"/>
  <c r="M990" i="17"/>
  <c r="N990" i="17" s="1"/>
  <c r="M991" i="17"/>
  <c r="N991" i="17" s="1"/>
  <c r="M992" i="17"/>
  <c r="N992" i="17" s="1"/>
  <c r="M993" i="17"/>
  <c r="N993" i="17" s="1"/>
  <c r="M994" i="17"/>
  <c r="N994" i="17" s="1"/>
  <c r="M995" i="17"/>
  <c r="N995" i="17" s="1"/>
  <c r="M996" i="17"/>
  <c r="N996" i="17" s="1"/>
  <c r="M997" i="17"/>
  <c r="N997" i="17" s="1"/>
  <c r="M998" i="17"/>
  <c r="N998" i="17" s="1"/>
  <c r="M999" i="17"/>
  <c r="N999" i="17" s="1"/>
  <c r="M1000" i="17"/>
  <c r="N1000" i="17" s="1"/>
  <c r="M1001" i="17"/>
  <c r="N1001" i="17" s="1"/>
  <c r="M1002" i="17"/>
  <c r="N1002" i="17" s="1"/>
  <c r="M1003" i="17"/>
  <c r="N1003" i="17" s="1"/>
  <c r="M1004" i="17"/>
  <c r="N1004" i="17" s="1"/>
  <c r="M1005" i="17"/>
  <c r="N1005" i="17" s="1"/>
  <c r="M1006" i="17"/>
  <c r="N1006" i="17" s="1"/>
  <c r="M1007" i="17"/>
  <c r="N1007" i="17" s="1"/>
  <c r="M1008" i="17"/>
  <c r="N1008" i="17" s="1"/>
  <c r="M1009" i="17"/>
  <c r="N1009" i="17" s="1"/>
  <c r="M1010" i="17"/>
  <c r="N1010" i="17" s="1"/>
  <c r="M1011" i="17"/>
  <c r="N1011" i="17" s="1"/>
  <c r="M1012" i="17"/>
  <c r="N1012" i="17" s="1"/>
  <c r="M1013" i="17"/>
  <c r="N1013" i="17" s="1"/>
  <c r="M1014" i="17"/>
  <c r="N1014" i="17" s="1"/>
  <c r="M1015" i="17"/>
  <c r="N1015" i="17" s="1"/>
  <c r="M1016" i="17"/>
  <c r="N1016" i="17" s="1"/>
  <c r="M1017" i="17"/>
  <c r="N1017" i="17" s="1"/>
  <c r="M1018" i="17"/>
  <c r="N1018" i="17" s="1"/>
  <c r="M1019" i="17"/>
  <c r="N1019" i="17" s="1"/>
  <c r="M1020" i="17"/>
  <c r="N1020" i="17" s="1"/>
  <c r="M1021" i="17"/>
  <c r="N1021" i="17" s="1"/>
  <c r="M1022" i="17"/>
  <c r="N1022" i="17" s="1"/>
  <c r="M1023" i="17"/>
  <c r="N1023" i="17" s="1"/>
  <c r="M1024" i="17"/>
  <c r="N1024" i="17" s="1"/>
  <c r="M1025" i="17"/>
  <c r="N1025" i="17" s="1"/>
  <c r="M1026" i="17"/>
  <c r="N1026" i="17" s="1"/>
  <c r="M1027" i="17"/>
  <c r="N1027" i="17" s="1"/>
  <c r="M1028" i="17"/>
  <c r="N1028" i="17" s="1"/>
  <c r="M1029" i="17"/>
  <c r="N1029" i="17" s="1"/>
  <c r="M1030" i="17"/>
  <c r="N1030" i="17" s="1"/>
  <c r="M1031" i="17"/>
  <c r="N1031" i="17" s="1"/>
  <c r="M1032" i="17"/>
  <c r="N1032" i="17" s="1"/>
  <c r="M1033" i="17"/>
  <c r="N1033" i="17" s="1"/>
  <c r="M1034" i="17"/>
  <c r="N1034" i="17" s="1"/>
  <c r="M1035" i="17"/>
  <c r="N1035" i="17" s="1"/>
  <c r="M1036" i="17"/>
  <c r="N1036" i="17" s="1"/>
  <c r="M1037" i="17"/>
  <c r="N1037" i="17" s="1"/>
  <c r="M1038" i="17"/>
  <c r="N1038" i="17" s="1"/>
  <c r="M1039" i="17"/>
  <c r="N1039" i="17" s="1"/>
  <c r="M1040" i="17"/>
  <c r="N1040" i="17" s="1"/>
  <c r="M1041" i="17"/>
  <c r="N1041" i="17" s="1"/>
  <c r="M1042" i="17"/>
  <c r="N1042" i="17" s="1"/>
  <c r="M1043" i="17"/>
  <c r="N1043" i="17" s="1"/>
  <c r="M1044" i="17"/>
  <c r="N1044" i="17" s="1"/>
  <c r="M1045" i="17"/>
  <c r="N1045" i="17" s="1"/>
  <c r="M1046" i="17"/>
  <c r="N1046" i="17" s="1"/>
  <c r="M1047" i="17"/>
  <c r="N1047" i="17" s="1"/>
  <c r="M1048" i="17"/>
  <c r="N1048" i="17" s="1"/>
  <c r="M1049" i="17"/>
  <c r="N1049" i="17" s="1"/>
  <c r="M1050" i="17"/>
  <c r="N1050" i="17" s="1"/>
  <c r="M1051" i="17"/>
  <c r="N1051" i="17" s="1"/>
  <c r="M1052" i="17"/>
  <c r="N1052" i="17" s="1"/>
  <c r="M1053" i="17"/>
  <c r="N1053" i="17" s="1"/>
  <c r="M1054" i="17"/>
  <c r="N1054" i="17" s="1"/>
  <c r="M1055" i="17"/>
  <c r="N1055" i="17" s="1"/>
  <c r="M1056" i="17"/>
  <c r="N1056" i="17" s="1"/>
  <c r="M1057" i="17"/>
  <c r="N1057" i="17" s="1"/>
  <c r="M1058" i="17"/>
  <c r="N1058" i="17" s="1"/>
  <c r="M1059" i="17"/>
  <c r="N1059" i="17" s="1"/>
  <c r="M1060" i="17"/>
  <c r="N1060" i="17" s="1"/>
  <c r="M1061" i="17"/>
  <c r="N1061" i="17" s="1"/>
  <c r="M1062" i="17"/>
  <c r="N1062" i="17" s="1"/>
  <c r="M1063" i="17"/>
  <c r="N1063" i="17" s="1"/>
  <c r="M1064" i="17"/>
  <c r="N1064" i="17" s="1"/>
  <c r="M1065" i="17"/>
  <c r="N1065" i="17" s="1"/>
  <c r="M1066" i="17"/>
  <c r="N1066" i="17" s="1"/>
  <c r="M1067" i="17"/>
  <c r="N1067" i="17" s="1"/>
  <c r="M1068" i="17"/>
  <c r="N1068" i="17" s="1"/>
  <c r="M1069" i="17"/>
  <c r="N1069" i="17" s="1"/>
  <c r="M1070" i="17"/>
  <c r="N1070" i="17" s="1"/>
  <c r="M1071" i="17"/>
  <c r="N1071" i="17" s="1"/>
  <c r="M1072" i="17"/>
  <c r="N1072" i="17" s="1"/>
  <c r="M1073" i="17"/>
  <c r="N1073" i="17" s="1"/>
  <c r="M1074" i="17"/>
  <c r="N1074" i="17" s="1"/>
  <c r="M1075" i="17"/>
  <c r="N1075" i="17" s="1"/>
  <c r="M1076" i="17"/>
  <c r="N1076" i="17" s="1"/>
  <c r="M1077" i="17"/>
  <c r="N1077" i="17" s="1"/>
  <c r="M1078" i="17"/>
  <c r="N1078" i="17" s="1"/>
  <c r="M1079" i="17"/>
  <c r="N1079" i="17" s="1"/>
  <c r="M1080" i="17"/>
  <c r="N1080" i="17" s="1"/>
  <c r="M1081" i="17"/>
  <c r="N1081" i="17" s="1"/>
  <c r="M1082" i="17"/>
  <c r="N1082" i="17" s="1"/>
  <c r="M1083" i="17"/>
  <c r="N1083" i="17" s="1"/>
  <c r="M1084" i="17"/>
  <c r="N1084" i="17" s="1"/>
  <c r="M1085" i="17"/>
  <c r="N1085" i="17" s="1"/>
  <c r="M1086" i="17"/>
  <c r="N1086" i="17" s="1"/>
  <c r="M1087" i="17"/>
  <c r="N1087" i="17" s="1"/>
  <c r="M1088" i="17"/>
  <c r="N1088" i="17" s="1"/>
  <c r="M1089" i="17"/>
  <c r="N1089" i="17" s="1"/>
  <c r="M1090" i="17"/>
  <c r="N1090" i="17" s="1"/>
  <c r="M1091" i="17"/>
  <c r="N1091" i="17" s="1"/>
  <c r="M1092" i="17"/>
  <c r="N1092" i="17" s="1"/>
  <c r="M1093" i="17"/>
  <c r="N1093" i="17" s="1"/>
  <c r="M1094" i="17"/>
  <c r="N1094" i="17" s="1"/>
  <c r="M1095" i="17"/>
  <c r="N1095" i="17" s="1"/>
  <c r="M1096" i="17"/>
  <c r="N1096" i="17" s="1"/>
  <c r="M1097" i="17"/>
  <c r="N1097" i="17" s="1"/>
  <c r="M1098" i="17"/>
  <c r="N1098" i="17" s="1"/>
  <c r="M1099" i="17"/>
  <c r="N1099" i="17" s="1"/>
  <c r="M1100" i="17"/>
  <c r="N1100" i="17" s="1"/>
  <c r="M1101" i="17"/>
  <c r="N1101" i="17" s="1"/>
  <c r="M1102" i="17"/>
  <c r="N1102" i="17" s="1"/>
  <c r="M1103" i="17"/>
  <c r="N1103" i="17" s="1"/>
  <c r="M1104" i="17"/>
  <c r="N1104" i="17" s="1"/>
  <c r="M1105" i="17"/>
  <c r="N1105" i="17" s="1"/>
  <c r="M1106" i="17"/>
  <c r="N1106" i="17" s="1"/>
  <c r="M1107" i="17"/>
  <c r="N1107" i="17" s="1"/>
  <c r="M1108" i="17"/>
  <c r="N1108" i="17" s="1"/>
  <c r="M1109" i="17"/>
  <c r="N1109" i="17" s="1"/>
  <c r="M1110" i="17"/>
  <c r="N1110" i="17" s="1"/>
  <c r="M1111" i="17"/>
  <c r="N1111" i="17" s="1"/>
  <c r="M1112" i="17"/>
  <c r="N1112" i="17" s="1"/>
  <c r="M1113" i="17"/>
  <c r="N1113" i="17" s="1"/>
  <c r="M1114" i="17"/>
  <c r="N1114" i="17" s="1"/>
  <c r="M1115" i="17"/>
  <c r="N1115" i="17" s="1"/>
  <c r="M1116" i="17"/>
  <c r="N1116" i="17" s="1"/>
  <c r="M1117" i="17"/>
  <c r="N1117" i="17" s="1"/>
  <c r="M1118" i="17"/>
  <c r="N1118" i="17" s="1"/>
  <c r="M2" i="17"/>
  <c r="N2" i="17" s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<sst xmlns="http://schemas.openxmlformats.org/spreadsheetml/2006/main" count="4984" uniqueCount="1067">
  <si>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</si>
  <si>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</si>
  <si>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</si>
  <si>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</si>
  <si>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</si>
  <si>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</si>
  <si>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</si>
  <si>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</si>
  <si>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</si>
  <si>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</si>
  <si>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</si>
  <si>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</si>
  <si>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</si>
  <si>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</si>
  <si>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</si>
  <si>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</si>
  <si>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</si>
  <si>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</si>
  <si>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</si>
  <si>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</si>
  <si>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</si>
  <si>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</si>
  <si>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</si>
  <si>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</si>
  <si>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</si>
  <si>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</si>
  <si>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</si>
  <si>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</si>
  <si>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</si>
  <si>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</si>
  <si>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</si>
  <si>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</si>
  <si>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</si>
  <si>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</si>
  <si>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</si>
  <si>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</si>
  <si>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</si>
  <si>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</si>
  <si>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</si>
  <si>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</si>
  <si>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</si>
  <si>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</si>
  <si>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</si>
  <si>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</si>
  <si>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</si>
  <si>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</si>
  <si>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</si>
  <si>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</si>
  <si>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</si>
  <si>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</si>
  <si>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</si>
  <si>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</si>
  <si>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</si>
  <si>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</si>
  <si>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</si>
  <si>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</si>
  <si>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</si>
  <si>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</si>
  <si>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</si>
  <si>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</si>
  <si>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</si>
  <si>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</si>
  <si>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</si>
  <si>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</si>
  <si>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</si>
  <si>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</si>
  <si>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</si>
  <si>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</si>
  <si>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</si>
  <si>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</si>
  <si>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</si>
  <si>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</si>
  <si>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</si>
  <si>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</si>
  <si>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</si>
  <si>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</si>
  <si>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</si>
  <si>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</si>
  <si>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</si>
  <si>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</si>
  <si>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</si>
  <si>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</si>
  <si>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</si>
  <si>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</si>
  <si>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</si>
  <si>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</si>
  <si>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</si>
  <si>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</si>
  <si>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</si>
  <si>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</si>
  <si>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</si>
  <si>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</si>
  <si>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</si>
  <si>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</si>
  <si>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</si>
  <si>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</si>
  <si>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</si>
  <si>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</si>
  <si>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</si>
  <si>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</si>
  <si>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</si>
  <si>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</si>
  <si>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</si>
  <si>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</si>
  <si>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</si>
  <si>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</si>
  <si>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</si>
  <si>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</si>
  <si>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</si>
  <si>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</si>
  <si>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</si>
  <si>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</si>
  <si>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</si>
  <si>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</si>
  <si>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</si>
  <si>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</si>
  <si>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</si>
  <si>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</si>
  <si>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</si>
  <si>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</si>
  <si>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</si>
  <si>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</si>
  <si>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</si>
  <si>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</si>
  <si>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</si>
  <si>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</si>
  <si>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</si>
  <si>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</si>
  <si>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</si>
  <si>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</si>
  <si>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</si>
  <si>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</si>
  <si>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</si>
  <si>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</si>
  <si>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</si>
  <si>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</si>
  <si>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</si>
  <si>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</si>
  <si>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</si>
  <si>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</si>
  <si>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</si>
  <si>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</si>
  <si>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</si>
  <si>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</si>
  <si>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</si>
  <si>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</si>
  <si>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</si>
  <si>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</si>
  <si>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</si>
  <si>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</si>
  <si>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</si>
  <si>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</si>
  <si>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</si>
  <si>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</si>
  <si>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</si>
  <si>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</si>
  <si>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</si>
  <si>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</si>
  <si>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</si>
  <si>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</si>
  <si>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</si>
  <si>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</si>
  <si>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</si>
  <si>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</si>
  <si>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</si>
  <si>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</si>
  <si>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</si>
  <si>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</si>
  <si>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</si>
  <si>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</si>
  <si>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</si>
  <si>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</si>
  <si>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</si>
  <si>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</si>
  <si>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</si>
  <si>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</si>
  <si>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</si>
  <si>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</si>
  <si>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</si>
  <si>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</si>
  <si>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</si>
  <si>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</si>
  <si>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</si>
  <si>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</si>
  <si>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</si>
  <si>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</si>
  <si>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</si>
  <si>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</si>
  <si>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</si>
  <si>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</si>
  <si>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</si>
  <si>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</si>
  <si>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</si>
  <si>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</si>
  <si>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</si>
  <si>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</si>
  <si>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</si>
  <si>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</si>
  <si>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</si>
  <si>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</si>
  <si>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</si>
  <si>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</si>
  <si>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</si>
  <si>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</si>
  <si>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</si>
  <si>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</si>
  <si>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</si>
  <si>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</si>
  <si>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</si>
  <si>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</si>
  <si>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</si>
  <si>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</si>
  <si>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</si>
  <si>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</si>
  <si>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</si>
  <si>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</si>
  <si>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</si>
  <si>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</si>
  <si>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</si>
  <si>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</si>
  <si>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</si>
  <si>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</si>
  <si>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</si>
  <si>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</si>
  <si>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</si>
  <si>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</si>
  <si>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</si>
  <si>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</si>
  <si>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</si>
  <si>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</si>
  <si>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</si>
  <si>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</si>
  <si>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</si>
  <si>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</si>
  <si>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</si>
  <si>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</si>
  <si>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</si>
  <si>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</si>
  <si>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</si>
  <si>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</si>
  <si>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</si>
  <si>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</si>
  <si>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</si>
  <si>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</si>
  <si>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</si>
  <si>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</si>
  <si>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</si>
  <si>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</si>
  <si>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</si>
  <si>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</si>
  <si>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</si>
  <si>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</si>
  <si>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</si>
  <si>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</si>
  <si>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</si>
  <si>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</si>
  <si>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</si>
  <si>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</si>
  <si>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</si>
  <si>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</si>
  <si>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</si>
  <si>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</si>
  <si>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</si>
  <si>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</si>
  <si>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</si>
  <si>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</si>
  <si>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</si>
  <si>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</si>
  <si>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</si>
  <si>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</si>
  <si>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</si>
  <si>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</si>
  <si>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</si>
  <si>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</si>
  <si>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</si>
  <si>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</si>
  <si>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</si>
  <si>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</si>
  <si>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</si>
  <si>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</si>
  <si>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</si>
  <si>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</si>
  <si>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</si>
  <si>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</si>
  <si>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</si>
  <si>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</si>
  <si>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</si>
  <si>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</si>
  <si>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</si>
  <si>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</si>
  <si>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</si>
  <si>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</si>
  <si>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</si>
  <si>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</si>
  <si>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</si>
  <si>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</si>
  <si>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</si>
  <si>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</si>
  <si>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</si>
  <si>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</si>
  <si>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</si>
  <si>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</si>
  <si>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</si>
  <si>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</si>
  <si>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</si>
  <si>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</si>
  <si>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</si>
  <si>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</si>
  <si>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</si>
  <si>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</si>
  <si>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</si>
  <si>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</si>
  <si>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</si>
  <si>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</si>
  <si>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</si>
  <si>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</si>
  <si>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</si>
  <si>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</si>
  <si>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</si>
  <si>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</si>
  <si>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</si>
  <si>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</si>
  <si>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</si>
  <si>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</si>
  <si>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</si>
  <si>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</si>
  <si>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</si>
  <si>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</si>
  <si>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</si>
  <si>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</si>
  <si>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</si>
  <si>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</si>
  <si>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</si>
  <si>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</si>
  <si>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</si>
  <si>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</si>
  <si>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</si>
  <si>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</si>
  <si>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</si>
  <si>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</si>
  <si>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</si>
  <si>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</si>
  <si>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</si>
  <si>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</si>
  <si>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</si>
  <si>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</si>
  <si>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</si>
  <si>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</si>
  <si>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</si>
  <si>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</si>
  <si>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</si>
  <si>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</si>
  <si>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</si>
  <si>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</si>
  <si>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</si>
  <si>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</si>
  <si>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</si>
  <si>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</si>
  <si>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</si>
  <si>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</si>
  <si>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</si>
  <si>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</si>
  <si>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</si>
  <si>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</si>
  <si>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</si>
  <si>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</si>
  <si>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</si>
  <si>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</si>
  <si>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</si>
  <si>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</si>
  <si>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</si>
  <si>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</si>
  <si>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</si>
  <si>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</si>
  <si>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</si>
  <si>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</si>
  <si>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</si>
  <si>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</si>
  <si>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</si>
  <si>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</si>
  <si>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</si>
  <si>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</si>
  <si>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</si>
  <si>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</si>
  <si>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</si>
  <si>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</si>
  <si>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</si>
  <si>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</si>
  <si>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</si>
  <si>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</si>
  <si>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</si>
  <si>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</si>
  <si>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</si>
  <si>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</si>
  <si>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</si>
  <si>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</si>
  <si>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</si>
  <si>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</si>
  <si>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</si>
  <si>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</si>
  <si>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</si>
  <si>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</si>
  <si>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</si>
  <si>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</si>
  <si>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</si>
  <si>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</si>
  <si>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</si>
  <si>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</si>
  <si>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</si>
  <si>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</si>
  <si>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</si>
  <si>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</si>
  <si>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</si>
  <si>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</si>
  <si>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</si>
  <si>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</si>
  <si>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</si>
  <si>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</si>
  <si>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</si>
  <si>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</si>
  <si>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</si>
  <si>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</si>
  <si>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</si>
  <si>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</si>
  <si>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</si>
  <si>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</si>
  <si>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</si>
  <si>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</si>
  <si>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</si>
  <si>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</si>
  <si>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</si>
  <si>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</si>
  <si>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</si>
  <si>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</si>
  <si>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</si>
  <si>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</si>
  <si>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</si>
  <si>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</si>
  <si>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</si>
  <si>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</si>
  <si>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</si>
  <si>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</si>
  <si>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</si>
  <si>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</si>
  <si>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</si>
  <si>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</si>
  <si>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</si>
  <si>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</si>
  <si>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</si>
  <si>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</si>
  <si>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</si>
  <si>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</si>
  <si>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</si>
  <si>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</si>
  <si>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</si>
  <si>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</si>
  <si>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</si>
  <si>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</si>
  <si>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</si>
  <si>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</si>
  <si>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</si>
  <si>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</si>
  <si>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</si>
  <si>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</si>
  <si>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</si>
  <si>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</si>
  <si>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</si>
  <si>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</si>
  <si>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</si>
  <si>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</si>
  <si>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</si>
  <si>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</si>
  <si>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</si>
  <si>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</si>
  <si>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</si>
  <si>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</si>
  <si>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</si>
  <si>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</si>
  <si>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</si>
  <si>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</si>
  <si>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</si>
  <si>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</si>
  <si>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</si>
  <si>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</si>
  <si>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</si>
  <si>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</si>
  <si>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</si>
  <si>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</si>
  <si>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</si>
  <si>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</si>
  <si>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</si>
  <si>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</si>
  <si>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</si>
  <si>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</si>
  <si>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</si>
  <si>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</si>
  <si>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</si>
  <si>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</si>
  <si>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</si>
  <si>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</si>
  <si>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</si>
  <si>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</si>
  <si>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</si>
  <si>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</si>
  <si>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</si>
  <si>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</si>
  <si>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</si>
  <si>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</si>
  <si>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</si>
  <si>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</si>
  <si>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</si>
  <si>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</si>
  <si>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</si>
  <si>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</si>
  <si>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</si>
  <si>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</si>
  <si>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</si>
  <si>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</si>
  <si>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</si>
  <si>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</si>
  <si>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</si>
  <si>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</si>
  <si>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</si>
  <si>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</si>
  <si>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</si>
  <si>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</si>
  <si>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</si>
  <si>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</si>
  <si>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</si>
  <si>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</si>
  <si>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</si>
  <si>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</si>
  <si>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</si>
  <si>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</si>
  <si>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</si>
  <si>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</si>
  <si>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</si>
  <si>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</si>
  <si>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</si>
  <si>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</si>
  <si>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</si>
  <si>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</si>
  <si>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</si>
  <si>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</si>
  <si>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</si>
  <si>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</si>
  <si>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</si>
  <si>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</si>
  <si>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</si>
  <si>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</si>
  <si>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</si>
  <si>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</si>
  <si>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</si>
  <si>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</si>
  <si>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</si>
  <si>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</si>
  <si>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</si>
  <si>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</si>
  <si>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</si>
  <si>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</si>
  <si>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</si>
  <si>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</si>
  <si>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</si>
  <si>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</si>
  <si>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</si>
  <si>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</si>
  <si>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</si>
  <si>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</si>
  <si>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</si>
  <si>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</si>
  <si>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</si>
  <si>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</si>
  <si>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</si>
  <si>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</si>
  <si>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</si>
  <si>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</si>
  <si>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</si>
  <si>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</si>
  <si>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</si>
  <si>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</si>
  <si>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</si>
  <si>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</si>
  <si>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</si>
  <si>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</si>
  <si>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</si>
  <si>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</si>
  <si>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</si>
  <si>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</si>
  <si>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</si>
  <si>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</si>
  <si>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</si>
  <si>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</si>
  <si>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</si>
  <si>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</si>
  <si>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</si>
  <si>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</si>
  <si>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</si>
  <si>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</si>
  <si>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</si>
  <si>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</si>
  <si>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</si>
  <si>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</si>
  <si>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</si>
  <si>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</si>
  <si>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</si>
  <si>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</si>
  <si>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</si>
  <si>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</si>
  <si>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</si>
  <si>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</si>
  <si>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</si>
  <si>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</si>
  <si>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</si>
  <si>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</si>
  <si>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</si>
  <si>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</si>
  <si>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</si>
  <si>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</si>
  <si>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</si>
  <si>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</si>
  <si>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</si>
  <si>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</si>
  <si>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</si>
  <si>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</si>
  <si>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</si>
  <si>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</si>
  <si>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</si>
  <si>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</si>
  <si>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</si>
  <si>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</si>
  <si>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</si>
  <si>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</si>
  <si>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</si>
  <si>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</si>
  <si>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</si>
  <si>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</si>
  <si>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</si>
  <si>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</si>
  <si>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</si>
  <si>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</si>
  <si>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</si>
  <si>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</si>
  <si>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</si>
  <si>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</si>
  <si>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</si>
  <si>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</si>
  <si>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</si>
  <si>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</si>
  <si>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</si>
  <si>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</si>
  <si>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</si>
  <si>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</si>
  <si>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</si>
  <si>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</si>
  <si>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</si>
  <si>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</si>
  <si>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</si>
  <si>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</si>
  <si>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</si>
  <si>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</si>
  <si>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</si>
  <si>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</si>
  <si>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</si>
  <si>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</si>
  <si>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</si>
  <si>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</si>
  <si>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</si>
  <si>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</si>
  <si>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</si>
  <si>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</si>
  <si>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</si>
  <si>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</si>
  <si>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</si>
  <si>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</si>
  <si>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</si>
  <si>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</si>
  <si>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</si>
  <si>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</si>
  <si>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</si>
  <si>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</si>
  <si>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</si>
  <si>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</si>
  <si>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</si>
  <si>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</si>
  <si>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</si>
  <si>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</si>
  <si>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</si>
  <si>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</si>
  <si>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</si>
  <si>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</si>
  <si>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</si>
  <si>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</si>
  <si>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</si>
  <si>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</si>
  <si>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</si>
  <si>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</si>
  <si>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</si>
  <si>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</si>
  <si>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</si>
  <si>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</si>
  <si>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</si>
  <si>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</si>
  <si>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</si>
  <si>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</si>
  <si>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</si>
  <si>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</si>
  <si>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</si>
  <si>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</si>
  <si>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</si>
  <si>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</si>
  <si>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</si>
  <si>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</si>
  <si>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</si>
  <si>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</si>
  <si>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</si>
  <si>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</si>
  <si>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</si>
  <si>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</si>
  <si>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</si>
  <si>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</si>
  <si>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</si>
  <si>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</si>
  <si>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</si>
  <si>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</si>
  <si>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</si>
  <si>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</si>
  <si>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</si>
  <si>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</si>
  <si>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</si>
  <si>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</si>
  <si>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</si>
  <si>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</si>
  <si>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</si>
  <si>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</si>
  <si>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</si>
  <si>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</si>
  <si>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</si>
  <si>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</si>
  <si>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</si>
  <si>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</si>
  <si>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</si>
  <si>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</si>
  <si>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</si>
  <si>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</si>
  <si>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</si>
  <si>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</si>
  <si>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</si>
  <si>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</si>
  <si>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</si>
  <si>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</si>
  <si>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</si>
  <si>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</si>
  <si>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</si>
  <si>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</si>
  <si>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</si>
  <si>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</si>
  <si>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</si>
  <si>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</si>
  <si>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</si>
  <si>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</si>
  <si>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</si>
  <si>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</si>
  <si>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</si>
  <si>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</si>
  <si>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</si>
  <si>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</si>
  <si>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</si>
  <si>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</si>
  <si>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</si>
  <si>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</si>
  <si>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</si>
  <si>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</si>
  <si>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</si>
  <si>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</si>
  <si>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</si>
  <si>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</si>
  <si>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</si>
  <si>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</si>
  <si>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</si>
  <si>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</si>
  <si>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</si>
  <si>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</si>
  <si>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</si>
  <si>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</si>
  <si>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</si>
  <si>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</si>
  <si>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</si>
  <si>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</si>
  <si>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</si>
  <si>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</si>
  <si>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</si>
  <si>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</si>
  <si>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</si>
  <si>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</si>
  <si>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</si>
  <si>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</si>
  <si>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</si>
  <si>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</si>
  <si>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</si>
  <si>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</si>
  <si>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</si>
  <si>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</si>
  <si>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</si>
  <si>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</si>
  <si>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</si>
  <si>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</si>
  <si>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</si>
  <si>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</si>
  <si>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</si>
  <si>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</si>
  <si>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</si>
  <si>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</si>
  <si>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</si>
  <si>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</si>
  <si>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</si>
  <si>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</si>
  <si>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</si>
  <si>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</si>
  <si>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</si>
  <si>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</si>
  <si>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</si>
  <si>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</si>
  <si>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</si>
  <si>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</si>
  <si>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</si>
  <si>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</si>
  <si>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</si>
  <si>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</si>
  <si>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</si>
  <si>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</si>
  <si>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</si>
  <si>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</si>
  <si>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</si>
  <si>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</si>
  <si>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</si>
  <si>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</si>
  <si>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</si>
  <si>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</si>
  <si>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</si>
  <si>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</si>
  <si>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</si>
  <si>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</si>
  <si>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</si>
  <si>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</si>
  <si>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</si>
  <si>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</si>
  <si>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</si>
  <si>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</si>
  <si>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</si>
  <si>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</si>
  <si>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</si>
  <si>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</si>
  <si>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</si>
  <si>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</si>
  <si>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</si>
  <si>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</si>
  <si>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</si>
  <si>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</si>
  <si>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</si>
  <si>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</si>
  <si>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</si>
  <si>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</si>
  <si>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</si>
  <si>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</si>
  <si>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</si>
  <si>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</si>
  <si>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</si>
  <si>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</si>
  <si>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</si>
  <si>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</si>
  <si>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</si>
  <si>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</si>
  <si>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</si>
  <si>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</si>
  <si>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</si>
  <si>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</si>
  <si>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</si>
  <si>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</si>
  <si>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</si>
  <si>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</si>
  <si>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</si>
  <si>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</si>
  <si>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</si>
  <si>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</si>
  <si>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</si>
  <si>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</si>
  <si>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</si>
  <si>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</si>
  <si>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</si>
  <si>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</si>
  <si>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</si>
  <si>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</si>
  <si>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</si>
  <si>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</si>
  <si>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</si>
  <si>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</si>
  <si>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</si>
  <si>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</si>
  <si>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</si>
  <si>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</si>
  <si>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</si>
  <si>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</si>
  <si>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</si>
  <si>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</si>
  <si>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</si>
  <si>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</si>
  <si>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</si>
  <si>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</si>
  <si>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</si>
  <si>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</si>
  <si>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</si>
  <si>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</si>
  <si>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</si>
  <si>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</si>
  <si>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</si>
  <si>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</si>
  <si>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</si>
  <si>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</si>
  <si>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</si>
  <si>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</si>
  <si>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</si>
  <si>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</si>
  <si>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</si>
  <si>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</si>
  <si>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</si>
  <si>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</si>
  <si>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</si>
  <si>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</si>
  <si>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</si>
  <si>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</si>
  <si>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</si>
  <si>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</si>
  <si>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</si>
  <si>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</si>
  <si>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</si>
  <si>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</si>
  <si>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</si>
  <si>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</si>
  <si>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</si>
  <si>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</si>
  <si>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</si>
  <si>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</si>
  <si>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</si>
  <si>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</si>
  <si>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</si>
  <si>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</si>
  <si>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</si>
  <si>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</si>
  <si>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</si>
  <si>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</si>
  <si>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</si>
  <si>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</si>
  <si>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</si>
  <si>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</si>
  <si>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</si>
  <si>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</si>
  <si>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</si>
  <si>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</si>
  <si>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</si>
  <si>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</si>
  <si>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</si>
  <si>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</si>
  <si>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</si>
  <si>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</si>
  <si>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</si>
  <si>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</si>
  <si>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</si>
  <si>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</si>
  <si>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</si>
  <si>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</si>
  <si>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</si>
  <si>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</si>
  <si>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</si>
  <si>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</si>
  <si>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</si>
  <si>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</si>
  <si>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</si>
  <si>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</si>
  <si>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</si>
  <si>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</si>
  <si>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</si>
  <si>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</si>
  <si>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</si>
  <si>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</si>
  <si>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</si>
  <si>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</si>
  <si>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</si>
  <si>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</si>
  <si>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</si>
  <si>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</si>
  <si>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</si>
  <si>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</si>
  <si>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</si>
  <si>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</si>
  <si>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</si>
  <si>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</si>
  <si>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</si>
  <si>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</si>
  <si>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</si>
  <si>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</si>
  <si>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</si>
  <si>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</si>
  <si>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</si>
  <si>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</si>
  <si>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</si>
  <si>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</si>
  <si>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</si>
  <si>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</si>
  <si>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</si>
  <si>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</si>
  <si>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</si>
  <si>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</si>
  <si>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</si>
  <si>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</si>
  <si>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</si>
  <si>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</si>
  <si>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</si>
  <si>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</si>
  <si>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</si>
  <si>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</si>
  <si>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</si>
  <si>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</si>
  <si>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</si>
  <si>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</si>
  <si>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</si>
  <si>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</si>
  <si>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</si>
  <si>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</si>
  <si>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</si>
  <si>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</si>
  <si>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</si>
  <si>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</si>
  <si>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</si>
  <si>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</si>
  <si>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</si>
  <si>
    <t>Pipe</t>
  </si>
  <si>
    <t>SUS304</t>
  </si>
  <si>
    <t>M</t>
  </si>
  <si>
    <t>素材類</t>
  </si>
  <si>
    <t>A53Gr.B</t>
  </si>
  <si>
    <t>A36/SS400</t>
  </si>
  <si>
    <t>PC</t>
  </si>
  <si>
    <t>鋼板類</t>
  </si>
  <si>
    <t>EXP.BOLT</t>
  </si>
  <si>
    <t>SET</t>
  </si>
  <si>
    <t>螺絲類</t>
  </si>
  <si>
    <t>Plate_b_需鑽孔</t>
  </si>
  <si>
    <t>MACHINE BOLT</t>
  </si>
  <si>
    <t>A307Gr.B(熱浸鋅)</t>
  </si>
  <si>
    <t>Error</t>
  </si>
  <si>
    <t>列標籤</t>
  </si>
  <si>
    <t>總計</t>
  </si>
  <si>
    <t>加總 - 重量合計</t>
  </si>
  <si>
    <t>SUPPORT_NO</t>
  </si>
  <si>
    <t>資料驗證</t>
    <phoneticPr fontId="19" type="noConversion"/>
  </si>
  <si>
    <t>比對</t>
    <phoneticPr fontId="19" type="noConversion"/>
  </si>
  <si>
    <t>4"*STD</t>
  </si>
  <si>
    <t>PLATE_Type87_Top</t>
  </si>
  <si>
    <t>3"*STD</t>
  </si>
  <si>
    <t>PLATE_Type87_buttom</t>
  </si>
  <si>
    <t>1.5"*215L</t>
  </si>
  <si>
    <t>Lock Nut</t>
  </si>
  <si>
    <t>96mm Nut dimeter</t>
  </si>
  <si>
    <t>A283-C GALV.</t>
  </si>
  <si>
    <t>ADJUT Nut</t>
  </si>
  <si>
    <t>1"*190L</t>
  </si>
  <si>
    <t>72mm Nut dimeter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</si>
</sst>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71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426.33651134259" createdVersion="8" refreshedVersion="8" minRefreshableVersion="3" recordCount="2018" xr:uid="{574D8558-CB36-4819-94D5-67A60230541E}">
  <cacheSource type="worksheet">
    <worksheetSource ref="A1:Q2019" sheet="Weight_Analysis"/>
  </cacheSource>
  <cacheFields count="17">
    <cacheField name="管支撐型號" numFmtId="0">
      <sharedItems containsBlank="1" count="591">
        <s v="01-10B-08K-A"/>
        <s v="01-10B-08K-G"/>
        <s v="01-10B-09H"/>
        <s v="01-12B-03C"/>
        <s v="01-12B-06C"/>
        <s v="01-14B-02C"/>
        <s v="01-2B-02F-G"/>
        <s v="01-2B-05E-F"/>
        <s v="01-2B-05E-G"/>
        <s v="01-2B-05F-G"/>
        <s v="01-2B-07E-A"/>
        <s v="01-2B-07E-G"/>
        <s v="01-2B-08B"/>
        <s v="01-2B-10E-A"/>
        <s v="01-2B-10E-G"/>
        <s v="01-3B-02F-A"/>
        <s v="01-3B-02F-G"/>
        <s v="01-3B-03F-G"/>
        <s v="01-3B-05E-A"/>
        <s v="01-3B-05E-F"/>
        <s v="01-3B-05E-G"/>
        <s v="01-3B-06C"/>
        <s v="01-3B-08B"/>
        <s v="01-3B-08E-G"/>
        <s v="01-3B-10B"/>
        <s v="01-4B-01C"/>
        <s v="01-4B-02F-G"/>
        <s v="01-4B-04H"/>
        <s v="01-4B-05E-A"/>
        <s v="01-4B-05E-G"/>
        <s v="01-4B-07B"/>
        <s v="01-4B-07E-A"/>
        <s v="01-4B-07E-G"/>
        <s v="01-4B-08E-A"/>
        <s v="01-6B-02F-G"/>
        <s v="01-6B-04F-G"/>
        <s v="01-6B-05G"/>
        <s v="01-6B-06K-A"/>
        <s v="01-6B-07E-A"/>
        <s v="01-6B-07E-G"/>
        <s v="01-6B-08E-A"/>
        <s v="01-6B-08E-G"/>
        <s v="01-8B-02C"/>
        <s v="01-8B-05B"/>
        <s v="01-8B-05C"/>
        <s v="01-8B-05E-A"/>
        <s v="01-8B-05E-G"/>
        <s v="01-8B-05R"/>
        <s v="01-8B-06C"/>
        <s v="01-8B-06F-A"/>
        <s v="01-8B-06F-G"/>
        <s v="01-8B-06S-F"/>
        <s v="01-8B-07B"/>
        <s v="01-8B-07E-A"/>
        <s v="01-8B-07E-G"/>
        <s v="01-8B-08H"/>
        <s v="01-8B-08K-G"/>
        <s v="08-4B-0515G"/>
        <s v="09-2B-06B"/>
        <s v="09-3B-13B"/>
        <s v="09-3B-15B"/>
        <s v="09-4B-03C"/>
        <s v="09-4B-07B"/>
        <s v="09-4B-08B"/>
        <s v="102-12B-B"/>
        <s v="102-4B-B"/>
        <s v="103-2-B"/>
        <s v="103-3-A"/>
        <s v="103-3-B"/>
        <s v="103-4-B"/>
        <s v="103-4-C"/>
        <s v="103-5-A"/>
        <s v="103-5-C"/>
        <s v="11-3B-07G-88"/>
        <s v="11-3B-13G-88"/>
        <s v="11-4B-10G-88"/>
        <s v="15-12B-0615"/>
        <s v="15-4B-0404"/>
        <s v="15-4B-0524"/>
        <s v="15-4B-1024"/>
        <s v="15-8B-0406"/>
        <s v="16-14B-12"/>
        <s v="16-16B-13"/>
        <s v="16-2B-02"/>
        <s v="16-2B-03"/>
        <s v="16-3B-02"/>
        <s v="16-3B-03"/>
        <s v="16-3B-04"/>
        <s v="16-3B-07"/>
        <s v="16-4B-03"/>
        <s v="16-4B-06"/>
        <s v="16-4B-08"/>
        <s v="16-4B-14"/>
        <s v="16-4B-15"/>
        <s v="16-6B-03"/>
        <s v="16-6B-05"/>
        <s v="16-6B-06"/>
        <s v="16-8B-04"/>
        <s v="16-8B-05"/>
        <s v="16-8B-06"/>
        <s v="16-8B-11-02"/>
        <s v="20-C125-08A"/>
        <s v="20-L50-04A"/>
        <s v="20-L50-05A"/>
        <s v="20-L50-05B"/>
        <s v="20-L50-06A"/>
        <s v="20-L50-08A"/>
        <s v="20-L50-10B"/>
        <s v="20-L75-05A"/>
        <s v="20-L75-06A"/>
        <s v="20-L75-06B"/>
        <s v="20-L75-07A"/>
        <s v="20-L75-08A"/>
        <s v="20-L75-09A"/>
        <s v="20-L75-10A"/>
        <s v="20-L75-11A"/>
        <s v="20-L75-12A"/>
        <s v="20-L75-14A"/>
        <s v="21-L50-02B"/>
        <s v="21-L50-04A"/>
        <s v="21-L50-05A"/>
        <s v="21-L50-05B"/>
        <s v="21-L50-06A"/>
        <s v="21-L50-06B"/>
        <s v="21-L50-07A"/>
        <s v="21-L50-09A"/>
        <s v="21-L50-10A"/>
        <s v="21-L75-03A"/>
        <s v="21-L75-03B"/>
        <s v="21-L75-03C-07"/>
        <s v="21-L75-04A"/>
        <s v="21-L75-04C-06"/>
        <s v="21-L75-04C-07"/>
        <s v="21-L75-04C-08"/>
        <s v="21-L75-05A"/>
        <s v="21-L75-05B"/>
        <s v="21-L75-05C-08"/>
        <s v="21-L75-06A"/>
        <s v="21-L75-06B"/>
        <s v="21-L75-07A"/>
        <s v="21-L75-07B"/>
        <s v="21-L75-07C-07"/>
        <s v="21-L75-08A"/>
        <s v="21-L75-08B"/>
        <s v="21-L75-08C-08"/>
        <s v="21-L75-09A"/>
        <s v="21-L75-10A"/>
        <s v="21-L75-10B"/>
        <s v="21-L75-11A"/>
        <s v="21-L75-12B"/>
        <s v="21-L75-14A"/>
        <s v="21-L75-14B"/>
        <s v="21-L75-15A"/>
        <s v="21-L75-16A"/>
        <s v="21-L75-16B"/>
        <s v="22-L50-02A-L"/>
        <s v="22-L50-03A-L"/>
        <s v="22-L50-04A-L"/>
        <s v="22-L50-05A-L"/>
        <s v="22-L50-07A-L"/>
        <s v="22-L50-08A-L"/>
        <s v="22-L50-08B-L"/>
        <s v="22-L50-09A-L"/>
        <s v="22-L50-10A-L"/>
        <s v="22-L75-03A-L"/>
        <s v="22-L75-04A-L"/>
        <s v="22-L75-08B-L"/>
        <s v="22-L75-09A-L"/>
        <s v="22-L75-10A-L"/>
        <s v="22-L75-10B-L"/>
        <s v="22-L75-11A-L"/>
        <s v="22-L75-13A-L"/>
        <s v="22-L75-14B-L"/>
        <s v="22-L75-15A-L"/>
        <s v="23-L50-02A"/>
        <s v="23-L50-03A"/>
        <s v="23-L50-03B"/>
        <s v="23-L50-04A"/>
        <s v="23-L50-04B"/>
        <s v="23-L50-05A"/>
        <s v="23-L50-06A"/>
        <s v="23-L50-06B"/>
        <s v="23-L50-07A"/>
        <s v="23-L50-09A"/>
        <s v="23-L50-09B"/>
        <s v="23-L75-01A"/>
        <s v="23-L75-03A"/>
        <s v="23-L75-03B"/>
        <s v="23-L75-03C-07"/>
        <s v="23-L75-04A"/>
        <s v="23-L75-04B"/>
        <s v="23-L75-04C-06"/>
        <s v="23-L75-04C-07"/>
        <s v="23-L75-04C-08"/>
        <s v="23-L75-05A"/>
        <s v="23-L75-05B"/>
        <s v="23-L75-05C-07"/>
        <s v="23-L75-06A"/>
        <s v="23-L75-06B"/>
        <s v="23-L75-06C-07"/>
        <s v="23-L75-07A"/>
        <s v="23-L75-08A"/>
        <s v="23-L75-08C-07"/>
        <s v="23-L75-09A"/>
        <s v="23-L75-10A"/>
        <s v="23-L75-12A"/>
        <s v="23-L75-14A"/>
        <s v="23-L75-14C-06"/>
        <s v="23-L75-15A"/>
        <s v="23-L75-17B"/>
        <s v="23-L75-20A"/>
        <s v="23-L75-20C-06"/>
        <s v="23-L75-21A"/>
        <s v="23-L75-24A"/>
        <s v="23-L75-24B"/>
        <s v="23-L75-25A"/>
        <s v="25-L50-0108A"/>
        <s v="25-L50-0201A"/>
        <s v="25-L50-0202A"/>
        <s v="25-L50-0204A"/>
        <s v="25-L50-0205A"/>
        <s v="25-L50-0206A"/>
        <s v="25-L50-0207A"/>
        <s v="25-L50-0308A"/>
        <s v="25-L50-0402A-0301"/>
        <s v="25-L50-0404A"/>
        <s v="25-L50-0404A-0301"/>
        <s v="25-L50-0502A"/>
        <s v="25-L50-0502A-0401"/>
        <s v="25-L75-0308A"/>
        <s v="25-L75-0309A"/>
        <s v="25-L75-0403A-0301"/>
        <s v="25-L75-0404A"/>
        <s v="25-L75-0505A"/>
        <s v="25-L75-0507A"/>
        <s v="25-L75-0507A-0401"/>
        <s v="25-L75-0509A"/>
        <s v="25-L75-0603A"/>
        <s v="25-L75-0604A"/>
        <s v="25-L75-0605A"/>
        <s v="25-L75-0607A-0402"/>
        <s v="25-L75-0609A-0105"/>
        <s v="25-L75-0710A-0106"/>
        <s v="25-L75-0805A-0503"/>
        <s v="25-L75-0907A"/>
        <s v="26-L75-0503A"/>
        <s v="26-L75-0507A"/>
        <s v="26-L75-0704A"/>
        <s v="26-L75-0804A"/>
        <s v="26-L75-0807A"/>
        <s v="26-L75-0904A"/>
        <s v="26-L75-0906A"/>
        <s v="27-H125-0215L"/>
        <s v="27-H125-0303T"/>
        <s v="27-H150-0304L"/>
        <s v="27-H150-0306L"/>
        <s v="27-H150-0405L"/>
        <s v="27-H150-0505T"/>
        <s v="27-L50-0202L"/>
        <s v="27-L50-0304L"/>
        <s v="27-L50-0403L-0301"/>
        <s v="27-L50-0405L"/>
        <s v="27-L75-0303L"/>
        <s v="27-L75-0307L"/>
        <s v="27-L75-0313L"/>
        <s v="28-C125-1413L"/>
        <s v="28-L75-0915L"/>
        <s v="30-C125-0512A-0401"/>
        <s v="30-C125-1008B-0901"/>
        <s v="30-C150-0311A"/>
        <s v="30-C150-0515A"/>
        <s v="30-C150-0815A-0701"/>
        <s v="30-C150-0904B-0801"/>
        <s v="30-L50-0202A"/>
        <s v="30-L50-0203A"/>
        <s v="30-L50-0303A"/>
        <s v="30-L50-0305A"/>
        <s v="30-L50-0403A-0301"/>
        <s v="30-L75-0203A"/>
        <s v="30-L75-0205A"/>
        <s v="30-L75-0208A"/>
        <s v="30-L75-0302A"/>
        <s v="30-L75-0303A"/>
        <s v="30-L75-0305A"/>
        <s v="30-L75-0310A"/>
        <s v="30-L75-0311A"/>
        <s v="30-L75-0402A"/>
        <s v="30-L75-0403A"/>
        <s v="30-L75-0405A"/>
        <s v="30-L75-0405A-0301"/>
        <s v="30-L75-0409A-0301"/>
        <s v="30-L75-0504A-0401"/>
        <s v="30-L75-0505A"/>
        <s v="30-L75-0505A-0401"/>
        <s v="30-L75-0506A-0401"/>
        <s v="30-L75-0605B"/>
        <s v="30-L75-0606B"/>
        <s v="30-L75-0608A"/>
        <s v="30-L75-0611A-0501"/>
        <s v="30-L75-0705A-0601"/>
        <s v="30-L75-0806A"/>
        <s v="30-L75-0809A"/>
        <s v="30-L75-0814A"/>
        <s v="30-L75-0816A"/>
        <s v="30-L75-0820A"/>
        <s v="30-L75-0825A"/>
        <s v="31-C150-0407"/>
        <s v="31-C150-0505"/>
        <s v="31-C150-0509"/>
        <s v="31-C150-0707"/>
        <s v="31-L50-0405"/>
        <s v="31-L75-0405"/>
        <s v="31-L75-0503"/>
        <s v="31-L75-0511"/>
        <s v="31-L75-0604"/>
        <s v="31-L75-0804"/>
        <s v="31-L75-0904"/>
        <s v="32-C125-0507"/>
        <s v="32-C125-0610"/>
        <s v="32-C125-0612"/>
        <s v="32-C125-0705"/>
        <s v="32-C125-0707"/>
        <s v="32-C125-0716"/>
        <s v="32-C125-0717"/>
        <s v="32-C125-1007"/>
        <s v="32-C125-1009"/>
        <s v="32-C150-0617"/>
        <s v="32-C150-0705"/>
        <s v="32-C150-1114"/>
        <s v="32-L50-0405"/>
        <s v="32-L50-0506"/>
        <s v="32-L50-0605"/>
        <s v="32-L50-0803"/>
        <s v="32-L75-0405"/>
        <s v="32-L75-0505"/>
        <s v="32-L75-0506"/>
        <s v="32-L75-0507"/>
        <s v="32-L75-0511"/>
        <s v="32-L75-0606"/>
        <s v="32-L75-0705"/>
        <s v="32-L75-0708"/>
        <s v="32-L75-0806"/>
        <s v="32-L75-0904"/>
        <s v="32-L75-0905"/>
        <s v="32-L75-0918"/>
        <s v="32-L75-1005"/>
        <s v="32-L75-1118"/>
        <s v="32-L75-1206"/>
        <s v="32-L75-1207"/>
        <s v="33-C125-0605"/>
        <s v="33-C150-1004"/>
        <s v="33-C150-1005"/>
        <s v="34-C150-0808"/>
        <s v="35-C100-04A"/>
        <s v="35-C100-05A"/>
        <s v="35-C100-06A"/>
        <s v="35-C100-07A"/>
        <s v="35-C100-08A"/>
        <s v="35-C100-09A"/>
        <s v="35-C100-10A"/>
        <s v="35-C100-11A"/>
        <s v="35-C100-12A"/>
        <s v="35-C100-13A"/>
        <s v="35-C125-02A"/>
        <s v="35-C125-05A"/>
        <s v="35-C125-06A"/>
        <s v="35-C125-07A"/>
        <s v="35-C125-08A"/>
        <s v="35-C125-09A"/>
        <s v="35-C150-03A"/>
        <s v="35-C150-04A"/>
        <s v="35-C150-05A"/>
        <s v="35-C150-06A"/>
        <s v="35-C150-07A"/>
        <s v="35-C150-08A"/>
        <s v="35-C150-10A"/>
        <s v="35-C150-17A"/>
        <s v="35-L50-02A"/>
        <s v="35-L50-03A"/>
        <s v="35-L50-04A"/>
        <s v="35-L50-05A"/>
        <s v="35-L50-06A"/>
        <s v="35-L75-02A"/>
        <s v="35-L75-03A"/>
        <s v="35-L75-04A"/>
        <s v="35-L75-05A"/>
        <s v="35-L75-06A"/>
        <s v="35-L75-07A"/>
        <s v="35-L75-08A"/>
        <s v="37-C100-350B"/>
        <s v="37-C125-1000A"/>
        <s v="37-C125-400A-08"/>
        <s v="37-C125-600A"/>
        <s v="37-C125-775A"/>
        <s v="37-C125-900A"/>
        <s v="37-H100-1500A"/>
        <s v="37-H100-1553B"/>
        <s v="37-H100-350B"/>
        <s v="37-H100-525B"/>
        <s v="37-H100-575A-03"/>
        <s v="37-H100-593A-03"/>
        <s v="37-H100-690A-03"/>
        <s v="37-H100-700A-03"/>
        <s v="37-H100-800A-03"/>
        <s v="37-H100-913A-03"/>
        <s v="37-H125-700B"/>
        <s v="37-H125-725A"/>
        <s v="37-H150-725B"/>
        <s v="37-L75-1285A"/>
        <s v="37-L75-250B"/>
        <s v="37-L75-300B"/>
        <s v="37-L75-400A"/>
        <s v="39-C100-800A"/>
        <s v="48-1 1/2B"/>
        <s v="48-1B"/>
        <s v="48-3/4B"/>
        <s v="51-8B"/>
        <s v="52-1 1/2B"/>
        <s v="52-1 1/2B-(S)"/>
        <s v="52-1 1/2B-A-120-150"/>
        <s v="52-1 1/2B-A-134-150"/>
        <s v="52-1/2B"/>
        <s v="52-1/2B- -100-100"/>
        <s v="52-1/2B- -74-150"/>
        <s v="52-1/2B- -75-150"/>
        <s v="52-1/2B- -81-150"/>
        <s v="52-1/2B- -93-150"/>
        <s v="52-1/2B--81-150"/>
        <s v="52-10B"/>
        <s v="52-10B-B-200-300"/>
        <s v="52-12B"/>
        <s v="52-12B-A(S)"/>
        <s v="52-12B-A-124-300"/>
        <s v="52-1B"/>
        <s v="52-1B- -100-100"/>
        <s v="52-1B- -94-150"/>
        <s v="52-1B- -96-150"/>
        <s v="52-1B-(N)"/>
        <s v="52-1B-(S)"/>
        <s v="52-1B-A-107-150"/>
        <s v="52-1B-A-113-150"/>
        <s v="52-2B"/>
        <s v="52-2B-(N)"/>
        <s v="52-2B-(S)"/>
        <s v="52-2B-A-150-150"/>
        <s v="52-2B-B"/>
        <s v="52-3/4B"/>
        <s v="52-3/4B-(S)"/>
        <s v="52-3/4B-A(S)"/>
        <s v="52-3/4B-A-104-150"/>
        <s v="52-3/4B-A-120-150"/>
        <s v="52-3/4B-A-131-150"/>
        <s v="52-3B"/>
        <s v="52-3B- -100-150"/>
        <s v="52-3B-(S)"/>
        <s v="52-3B-A-120-250"/>
        <s v="52-3B-B-178-250"/>
        <s v="52-4B"/>
        <s v="52-4B- -87-250"/>
        <s v="52-4B-(S)"/>
        <s v="52-4B-A(S)"/>
        <s v="52-4B-A-120-250"/>
        <s v="52-4B-B-200-250"/>
        <s v="52-6B"/>
        <s v="52-6B-A"/>
        <s v="52-6B-A(A)"/>
        <s v="52-6B-A(S)"/>
        <s v="52-8B"/>
        <s v="52-8B-(A)"/>
        <s v="52-8B-A(A)"/>
        <s v="52-8B-A(S)-140-403"/>
        <s v="53-1 1/2B"/>
        <s v="53-10B"/>
        <s v="53-10B-A(S)"/>
        <s v="53-12B-A"/>
        <s v="53-12B-A(S)"/>
        <s v="53-14B-A"/>
        <s v="53-16B-(N)"/>
        <s v="53-16B-A(S)"/>
        <s v="53-1B"/>
        <s v="53-1B-(S)"/>
        <s v="53-20B-A"/>
        <s v="53-28B-A"/>
        <s v="53-2B"/>
        <s v="53-3/4B"/>
        <s v="53-3B"/>
        <s v="53-4B"/>
        <s v="53-6B"/>
        <s v="53-6B-(S)"/>
        <s v="53-6B-A(A)"/>
        <s v="53-6B-A(S)-150-300"/>
        <s v="53-8B"/>
        <s v="53-8B-A(A)"/>
        <s v="53-8B-A(S)-150-300"/>
        <s v="54-1 1/2B"/>
        <s v="54-1/2B"/>
        <s v="54-2B"/>
        <s v="54-3B"/>
        <s v="55-1 1/2B"/>
        <s v="57-1 1/2B-A"/>
        <s v="57-1/2B-A"/>
        <s v="57-1B-A"/>
        <s v="57-1B-B"/>
        <s v="57-2B-A"/>
        <s v="57-3/4B-A"/>
        <s v="59-1 1/2B-A"/>
        <s v="59-1 1/2B-A(S)"/>
        <s v="59-1/2B-A"/>
        <s v="59-1B-A"/>
        <s v="59-1B-A(N)"/>
        <s v="59-1B-A(S)"/>
        <s v="59-1B-B"/>
        <s v="59-2B-A"/>
        <s v="59-2B-A(N)"/>
        <s v="59-3/4B-A"/>
        <s v="59-3/4B-A(S)"/>
        <s v="59-3/4B-B"/>
        <s v="59-3B-A"/>
        <s v="59-3B-A(S)"/>
        <s v="59-4B-A"/>
        <s v="59-6B-A"/>
        <s v="59-6B-A(S)"/>
        <s v="61-2B-T1-03"/>
        <s v="61-2B-T1-04"/>
        <s v="61-3B-T1-06"/>
        <s v="61-3B-T1-07(P4)"/>
        <s v="61-4B-T1-04"/>
        <s v="61-4B-T1-05"/>
        <s v="61-4B-T1-07(P6)"/>
        <s v="61-4B-T1-08"/>
        <s v="61-8B-T1-04"/>
        <s v="61-8B-T1-06"/>
        <s v="61-8B-T2-06"/>
        <s v="66-1 1/2B"/>
        <s v="66-1 1/2B-(S)"/>
        <s v="66-1/2B"/>
        <s v="66-10B"/>
        <s v="66-10B-(N)-69-300"/>
        <s v="66-10B-A(S)"/>
        <s v="66-10B-A(S)-112-300"/>
        <s v="66-10B-A(S)-150-350"/>
        <s v="66-12B"/>
        <s v="66-12B-(N)"/>
        <s v="66-12B-(N)-100-300"/>
        <s v="66-12B-A"/>
        <s v="66-12B-A(S)"/>
        <s v="66-12B-C(N)-210-300"/>
        <s v="66-14B-(S)"/>
        <s v="66-14B-A"/>
        <s v="66-16B"/>
        <s v="66-16B-(N)"/>
        <s v="66-1B"/>
        <s v="66-1B-(S)"/>
        <s v="66-20B-A"/>
        <s v="66-28B-A"/>
        <s v="66-2B"/>
        <s v="66-2B-(N)"/>
        <s v="66-2B-(S)"/>
        <s v="66-2B-B"/>
        <s v="66-3/4B"/>
        <s v="66-3/4B-(S)"/>
        <s v="66-3/4B-(S)-100-100"/>
        <s v="66-3/4B-A(S)"/>
        <s v="66-3B"/>
        <s v="66-3B-(S)"/>
        <s v="66-3B-A-150-250"/>
        <s v="66-4B"/>
        <s v="66-4B(P)"/>
        <s v="66-4B-(S)"/>
        <s v="66-4B-A"/>
        <s v="66-4B-A(S)"/>
        <s v="66-4B-B-175-400"/>
        <s v="66-6B"/>
        <s v="66-6B(P)"/>
        <s v="66-6B-A"/>
        <s v="66-6B-A(A)"/>
        <s v="66-6B-A(A)-150-350"/>
        <s v="66-6B-A(S)"/>
        <s v="66-6B-B-175-250"/>
        <s v="66-6B-C-239-300"/>
        <s v="66-8B"/>
        <s v="66-8B-(N)"/>
        <s v="66-8B(P)"/>
        <s v="66-8B-A(A)"/>
        <s v="66-8B-A(S)"/>
        <s v="66-8B-A(S)-140-403"/>
        <s v="67-1/2B"/>
        <s v="67-1B"/>
        <s v="67-1B-A"/>
        <s v="67-2B"/>
        <m u="1"/>
      </sharedItems>
    </cacheField>
    <cacheField name="項次" numFmtId="0">
      <sharedItems containsMixedTypes="1" containsNumber="1" containsInteger="1" minValue="1" maxValue="7"/>
    </cacheField>
    <cacheField name="品名" numFmtId="0">
      <sharedItems containsBlank="1"/>
    </cacheField>
    <cacheField name="尺寸/厚度" numFmtId="0">
      <sharedItems containsBlank="1" containsMixedTypes="1" containsNumber="1" containsInteger="1" minValue="6" maxValue="19"/>
    </cacheField>
    <cacheField name="長度" numFmtId="0">
      <sharedItems containsString="0" containsBlank="1" containsNumber="1" minValue="-384" maxValue="4700"/>
    </cacheField>
    <cacheField name="寬度" numFmtId="0">
      <sharedItems containsString="0" containsBlank="1" containsNumber="1" containsInteger="1" minValue="70" maxValue="500"/>
    </cacheField>
    <cacheField name="材質" numFmtId="0">
      <sharedItems containsBlank="1"/>
    </cacheField>
    <cacheField name="數量" numFmtId="0">
      <sharedItems containsString="0" containsBlank="1" containsNumber="1" containsInteger="1" minValue="1" maxValue="4"/>
    </cacheField>
    <cacheField name="每米重" numFmtId="0">
      <sharedItems containsString="0" containsBlank="1" containsNumber="1" minValue="2.95" maxValue="73.86"/>
    </cacheField>
    <cacheField name="單重" numFmtId="0">
      <sharedItems containsString="0" containsBlank="1" containsNumber="1" minValue="-2.8723200000000002" maxValue="96"/>
    </cacheField>
    <cacheField name="重量小計" numFmtId="0">
      <sharedItems containsString="0" containsBlank="1" containsNumber="1" minValue="-2.8723200000000002" maxValue="96"/>
    </cacheField>
    <cacheField name="單位" numFmtId="0">
      <sharedItems containsBlank="1"/>
    </cacheField>
    <cacheField name="組數" numFmtId="0">
      <sharedItems containsString="0" containsBlank="1" containsNumber="1" containsInteger="1" minValue="1" maxValue="1"/>
    </cacheField>
    <cacheField name="長度小計" numFmtId="0">
      <sharedItems containsString="0" containsBlank="1" containsNumber="1" minValue="-0.38400000000000001" maxValue="4.7"/>
    </cacheField>
    <cacheField name="數量小計" numFmtId="0">
      <sharedItems containsString="0" containsBlank="1" containsNumber="1" containsInteger="1" minValue="1" maxValue="4"/>
    </cacheField>
    <cacheField name="重量合計" numFmtId="0">
      <sharedItems containsString="0" containsBlank="1" containsNumber="1" minValue="-2.8723200000000002" maxValue="96"/>
    </cacheField>
    <cacheField name="屬性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8">
  <r>
    <x v="0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0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0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0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2"/>
    <n v="2"/>
    <s v="Pipe"/>
    <s v="8&quot;*SCH.40"/>
    <n v="800"/>
    <m/>
    <s v="A53Gr.B"/>
    <n v="1"/>
    <n v="42.55"/>
    <n v="34.04"/>
    <n v="34.04"/>
    <s v="M"/>
    <n v="1"/>
    <n v="0.8"/>
    <m/>
    <n v="34.04"/>
    <s v="素材類"/>
  </r>
  <r>
    <x v="2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3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</r>
  <r>
    <x v="3"/>
    <n v="2"/>
    <s v="Pipe"/>
    <s v="8&quot;*SCH.40"/>
    <n v="200"/>
    <m/>
    <s v="A53Gr.B"/>
    <n v="1"/>
    <n v="42.55"/>
    <n v="8.51"/>
    <n v="8.51"/>
    <s v="M"/>
    <n v="1"/>
    <n v="0.2"/>
    <m/>
    <n v="8.51"/>
    <s v="素材類"/>
  </r>
  <r>
    <x v="3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4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</r>
  <r>
    <x v="4"/>
    <n v="2"/>
    <s v="Pipe"/>
    <s v="8&quot;*SCH.40"/>
    <n v="500"/>
    <m/>
    <s v="A53Gr.B"/>
    <n v="1"/>
    <n v="42.55"/>
    <n v="21.274999999999999"/>
    <n v="21.274999999999999"/>
    <s v="M"/>
    <n v="1"/>
    <n v="0.5"/>
    <m/>
    <n v="21.274999999999999"/>
    <s v="素材類"/>
  </r>
  <r>
    <x v="4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5"/>
    <n v="1"/>
    <s v="Pipe"/>
    <s v="10&quot;*SCH.40"/>
    <n v="573"/>
    <m/>
    <s v="SUS304"/>
    <n v="1"/>
    <n v="60.29"/>
    <n v="34.546169999999996"/>
    <n v="34.546169999999996"/>
    <s v="M"/>
    <n v="1"/>
    <n v="0.57299999999999995"/>
    <m/>
    <n v="34.546169999999996"/>
    <s v="素材類"/>
  </r>
  <r>
    <x v="5"/>
    <n v="2"/>
    <s v="Pipe"/>
    <s v="10&quot;*SCH.40"/>
    <n v="100"/>
    <m/>
    <s v="A53Gr.B"/>
    <n v="1"/>
    <n v="60.29"/>
    <n v="6.0289999999999999"/>
    <n v="6.0289999999999999"/>
    <s v="M"/>
    <n v="1"/>
    <n v="0.1"/>
    <m/>
    <n v="6.0289999999999999"/>
    <s v="素材類"/>
  </r>
  <r>
    <x v="5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6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6"/>
    <n v="2"/>
    <s v="Pipe"/>
    <s v="1.5&quot;*SCH.80"/>
    <n v="100"/>
    <m/>
    <s v="A53Gr.B"/>
    <n v="1"/>
    <n v="5.41"/>
    <n v="0.54100000000000004"/>
    <n v="0.54100000000000004"/>
    <s v="M"/>
    <n v="1"/>
    <n v="0.1"/>
    <m/>
    <n v="0.54100000000000004"/>
    <s v="素材類"/>
  </r>
  <r>
    <x v="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7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7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7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7"/>
    <n v="5"/>
    <s v="EXP.BOLT"/>
    <s v="5/8&quot;"/>
    <m/>
    <m/>
    <s v="SUS304"/>
    <n v="4"/>
    <m/>
    <n v="1"/>
    <n v="4"/>
    <s v="SET"/>
    <n v="1"/>
    <m/>
    <n v="4"/>
    <n v="4"/>
    <s v="螺絲類"/>
  </r>
  <r>
    <x v="7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8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8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8"/>
    <n v="5"/>
    <s v="EXP.BOLT"/>
    <s v="5/8&quot;"/>
    <m/>
    <m/>
    <s v="SUS304"/>
    <n v="4"/>
    <m/>
    <n v="1"/>
    <n v="4"/>
    <s v="SET"/>
    <n v="1"/>
    <m/>
    <n v="4"/>
    <n v="4"/>
    <s v="螺絲類"/>
  </r>
  <r>
    <x v="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9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9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9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0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0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</r>
  <r>
    <x v="1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0"/>
    <n v="5"/>
    <s v="EXP.BOLT"/>
    <s v="5/8&quot;"/>
    <m/>
    <m/>
    <s v="SUS304"/>
    <n v="4"/>
    <m/>
    <n v="1"/>
    <n v="4"/>
    <s v="SET"/>
    <n v="1"/>
    <m/>
    <n v="4"/>
    <n v="4"/>
    <s v="螺絲類"/>
  </r>
  <r>
    <x v="1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1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1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</r>
  <r>
    <x v="1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1"/>
    <n v="5"/>
    <s v="EXP.BOLT"/>
    <s v="5/8&quot;"/>
    <m/>
    <m/>
    <s v="SUS304"/>
    <n v="4"/>
    <m/>
    <n v="1"/>
    <n v="4"/>
    <s v="SET"/>
    <n v="1"/>
    <m/>
    <n v="4"/>
    <n v="4"/>
    <s v="螺絲類"/>
  </r>
  <r>
    <x v="1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2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2"/>
    <n v="2"/>
    <s v="Pipe"/>
    <s v="1.5&quot;*SCH.80"/>
    <n v="700"/>
    <m/>
    <s v="A53Gr.B"/>
    <n v="1"/>
    <n v="5.41"/>
    <n v="3.7869999999999999"/>
    <n v="3.7869999999999999"/>
    <s v="M"/>
    <n v="1"/>
    <n v="0.7"/>
    <m/>
    <n v="3.7869999999999999"/>
    <s v="素材類"/>
  </r>
  <r>
    <x v="1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2"/>
    <n v="5"/>
    <s v="EXP.BOLT"/>
    <s v="5/8&quot;"/>
    <m/>
    <m/>
    <s v="SUS304"/>
    <n v="4"/>
    <m/>
    <n v="1"/>
    <n v="4"/>
    <s v="SET"/>
    <n v="1"/>
    <m/>
    <n v="4"/>
    <n v="4"/>
    <s v="螺絲類"/>
  </r>
  <r>
    <x v="13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3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</r>
  <r>
    <x v="1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3"/>
    <n v="5"/>
    <s v="EXP.BOLT"/>
    <s v="5/8&quot;"/>
    <m/>
    <m/>
    <s v="SUS304"/>
    <n v="4"/>
    <m/>
    <n v="1"/>
    <n v="4"/>
    <s v="SET"/>
    <n v="1"/>
    <m/>
    <n v="4"/>
    <n v="4"/>
    <s v="螺絲類"/>
  </r>
  <r>
    <x v="1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4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4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</r>
  <r>
    <x v="14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4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4"/>
    <n v="5"/>
    <s v="EXP.BOLT"/>
    <s v="5/8&quot;"/>
    <m/>
    <m/>
    <s v="SUS304"/>
    <n v="4"/>
    <m/>
    <n v="1"/>
    <n v="4"/>
    <s v="SET"/>
    <n v="1"/>
    <m/>
    <n v="4"/>
    <n v="4"/>
    <s v="螺絲類"/>
  </r>
  <r>
    <x v="14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5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5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</r>
  <r>
    <x v="15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6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6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</r>
  <r>
    <x v="1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7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7"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</r>
  <r>
    <x v="1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7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8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8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1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8"/>
    <n v="5"/>
    <s v="EXP.BOLT"/>
    <s v="5/8&quot;"/>
    <m/>
    <m/>
    <s v="SUS304"/>
    <n v="4"/>
    <m/>
    <n v="1"/>
    <n v="4"/>
    <s v="SET"/>
    <n v="1"/>
    <m/>
    <n v="4"/>
    <n v="4"/>
    <s v="螺絲類"/>
  </r>
  <r>
    <x v="1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9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9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1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9"/>
    <n v="5"/>
    <s v="EXP.BOLT"/>
    <s v="5/8&quot;"/>
    <m/>
    <m/>
    <s v="SUS304"/>
    <n v="4"/>
    <m/>
    <n v="1"/>
    <n v="4"/>
    <s v="SET"/>
    <n v="1"/>
    <m/>
    <n v="4"/>
    <n v="4"/>
    <s v="螺絲類"/>
  </r>
  <r>
    <x v="1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0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2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0"/>
    <n v="5"/>
    <s v="EXP.BOLT"/>
    <s v="5/8&quot;"/>
    <m/>
    <m/>
    <s v="SUS304"/>
    <n v="4"/>
    <m/>
    <n v="1"/>
    <n v="4"/>
    <s v="SET"/>
    <n v="1"/>
    <m/>
    <n v="4"/>
    <n v="4"/>
    <s v="螺絲類"/>
  </r>
  <r>
    <x v="2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0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2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0"/>
    <n v="5"/>
    <s v="EXP.BOLT"/>
    <s v="5/8&quot;"/>
    <m/>
    <m/>
    <s v="SUS304"/>
    <n v="4"/>
    <m/>
    <n v="1"/>
    <n v="4"/>
    <s v="SET"/>
    <n v="1"/>
    <m/>
    <n v="4"/>
    <n v="4"/>
    <s v="螺絲類"/>
  </r>
  <r>
    <x v="2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1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1"/>
    <n v="2"/>
    <s v="Pipe"/>
    <s v="2&quot;*SCH.40"/>
    <n v="500"/>
    <m/>
    <s v="A53Gr.B"/>
    <n v="1"/>
    <n v="5.44"/>
    <n v="2.72"/>
    <n v="2.72"/>
    <s v="M"/>
    <n v="1"/>
    <n v="0.5"/>
    <m/>
    <n v="2.72"/>
    <s v="素材類"/>
  </r>
  <r>
    <x v="2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2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2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2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3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3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3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4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4"/>
    <n v="2"/>
    <s v="Pipe"/>
    <s v="2&quot;*SCH.40"/>
    <n v="900"/>
    <m/>
    <s v="A53Gr.B"/>
    <n v="1"/>
    <n v="5.44"/>
    <n v="4.8960000000000008"/>
    <n v="4.8960000000000008"/>
    <s v="M"/>
    <n v="1"/>
    <n v="0.9"/>
    <m/>
    <n v="4.8960000000000008"/>
    <s v="素材類"/>
  </r>
  <r>
    <x v="24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4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4"/>
    <n v="5"/>
    <s v="EXP.BOLT"/>
    <s v="5/8&quot;"/>
    <m/>
    <m/>
    <s v="SUS304"/>
    <n v="4"/>
    <m/>
    <n v="1"/>
    <n v="4"/>
    <s v="SET"/>
    <n v="1"/>
    <m/>
    <n v="4"/>
    <n v="4"/>
    <s v="螺絲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6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6"/>
    <n v="2"/>
    <s v="Pipe"/>
    <s v="3&quot;*SCH.40"/>
    <n v="100"/>
    <m/>
    <s v="A53Gr.B"/>
    <n v="1"/>
    <n v="11.29"/>
    <n v="1.129"/>
    <n v="1.129"/>
    <s v="M"/>
    <n v="1"/>
    <n v="0.1"/>
    <m/>
    <n v="1.129"/>
    <s v="素材類"/>
  </r>
  <r>
    <x v="2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7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7"/>
    <n v="2"/>
    <s v="Pipe"/>
    <s v="3&quot;*SCH.40"/>
    <n v="300"/>
    <m/>
    <s v="A53Gr.B"/>
    <n v="1"/>
    <n v="11.29"/>
    <n v="3.3869999999999996"/>
    <n v="3.3869999999999996"/>
    <s v="M"/>
    <n v="1"/>
    <n v="0.3"/>
    <m/>
    <n v="3.3869999999999996"/>
    <s v="素材類"/>
  </r>
  <r>
    <x v="2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8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8"/>
    <n v="5"/>
    <s v="EXP.BOLT"/>
    <s v="5/8&quot;"/>
    <m/>
    <m/>
    <s v="SUS304"/>
    <n v="4"/>
    <m/>
    <n v="1"/>
    <n v="4"/>
    <s v="SET"/>
    <n v="1"/>
    <m/>
    <n v="4"/>
    <n v="4"/>
    <s v="螺絲類"/>
  </r>
  <r>
    <x v="2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8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8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8"/>
    <n v="5"/>
    <s v="EXP.BOLT"/>
    <s v="5/8&quot;"/>
    <m/>
    <m/>
    <s v="SUS304"/>
    <n v="4"/>
    <m/>
    <n v="1"/>
    <n v="4"/>
    <s v="SET"/>
    <n v="1"/>
    <m/>
    <n v="4"/>
    <n v="4"/>
    <s v="螺絲類"/>
  </r>
  <r>
    <x v="2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0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0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0"/>
    <n v="5"/>
    <s v="EXP.BOLT"/>
    <s v="5/8&quot;"/>
    <m/>
    <m/>
    <s v="SUS304"/>
    <n v="4"/>
    <m/>
    <n v="1"/>
    <n v="4"/>
    <s v="SET"/>
    <n v="1"/>
    <m/>
    <n v="4"/>
    <n v="4"/>
    <s v="螺絲類"/>
  </r>
  <r>
    <x v="31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1"/>
    <n v="5"/>
    <s v="EXP.BOLT"/>
    <s v="5/8&quot;"/>
    <m/>
    <m/>
    <s v="SUS304"/>
    <n v="4"/>
    <m/>
    <n v="1"/>
    <n v="4"/>
    <s v="SET"/>
    <n v="1"/>
    <m/>
    <n v="4"/>
    <n v="4"/>
    <s v="螺絲類"/>
  </r>
  <r>
    <x v="3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2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2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2"/>
    <n v="5"/>
    <s v="EXP.BOLT"/>
    <s v="5/8&quot;"/>
    <m/>
    <m/>
    <s v="SUS304"/>
    <n v="4"/>
    <m/>
    <n v="1"/>
    <n v="4"/>
    <s v="SET"/>
    <n v="1"/>
    <m/>
    <n v="4"/>
    <n v="4"/>
    <s v="螺絲類"/>
  </r>
  <r>
    <x v="32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2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2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2"/>
    <n v="5"/>
    <s v="EXP.BOLT"/>
    <s v="5/8&quot;"/>
    <m/>
    <m/>
    <s v="SUS304"/>
    <n v="4"/>
    <m/>
    <n v="1"/>
    <n v="4"/>
    <s v="SET"/>
    <n v="1"/>
    <m/>
    <n v="4"/>
    <n v="4"/>
    <s v="螺絲類"/>
  </r>
  <r>
    <x v="32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3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3"/>
    <n v="2"/>
    <s v="Pipe"/>
    <s v="3&quot;*SCH.40"/>
    <n v="700"/>
    <m/>
    <s v="A53Gr.B"/>
    <n v="1"/>
    <n v="11.29"/>
    <n v="7.9029999999999987"/>
    <n v="7.9029999999999987"/>
    <s v="M"/>
    <n v="1"/>
    <n v="0.7"/>
    <m/>
    <n v="7.9029999999999987"/>
    <s v="素材類"/>
  </r>
  <r>
    <x v="3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3"/>
    <n v="5"/>
    <s v="EXP.BOLT"/>
    <s v="5/8&quot;"/>
    <m/>
    <m/>
    <s v="SUS304"/>
    <n v="4"/>
    <m/>
    <n v="1"/>
    <n v="4"/>
    <s v="SET"/>
    <n v="1"/>
    <m/>
    <n v="4"/>
    <n v="4"/>
    <s v="螺絲類"/>
  </r>
  <r>
    <x v="3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4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4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</r>
  <r>
    <x v="3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4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4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4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</r>
  <r>
    <x v="3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4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5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</r>
  <r>
    <x v="3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5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</r>
  <r>
    <x v="3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6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6"/>
    <n v="2"/>
    <s v="Pipe"/>
    <s v="4&quot;*SCH.40"/>
    <n v="400"/>
    <m/>
    <s v="A53Gr.B"/>
    <n v="1"/>
    <n v="16.079999999999998"/>
    <n v="6.4319999999999995"/>
    <n v="6.4319999999999995"/>
    <s v="M"/>
    <n v="1"/>
    <n v="0.4"/>
    <m/>
    <n v="6.4319999999999995"/>
    <s v="素材類"/>
  </r>
  <r>
    <x v="36"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36"/>
    <n v="4"/>
    <s v="EXP.BOLT"/>
    <s v="5/8&quot;"/>
    <m/>
    <m/>
    <s v="SUS304"/>
    <n v="4"/>
    <m/>
    <n v="1"/>
    <n v="4"/>
    <s v="SET"/>
    <n v="1"/>
    <m/>
    <n v="4"/>
    <n v="4"/>
    <s v="螺絲類"/>
  </r>
  <r>
    <x v="37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7"/>
    <n v="2"/>
    <s v="Pipe"/>
    <s v="4&quot;*SCH.40"/>
    <n v="500"/>
    <m/>
    <s v="A53Gr.B"/>
    <n v="1"/>
    <n v="16.079999999999998"/>
    <n v="8.0399999999999991"/>
    <n v="8.0399999999999991"/>
    <s v="M"/>
    <n v="1"/>
    <n v="0.5"/>
    <m/>
    <n v="8.0399999999999991"/>
    <s v="素材類"/>
  </r>
  <r>
    <x v="37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7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8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8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</r>
  <r>
    <x v="38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8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38"/>
    <n v="5"/>
    <s v="EXP.BOLT"/>
    <s v="5/8&quot;"/>
    <m/>
    <m/>
    <s v="SUS304"/>
    <n v="4"/>
    <m/>
    <n v="1"/>
    <n v="4"/>
    <s v="SET"/>
    <n v="1"/>
    <m/>
    <n v="4"/>
    <n v="4"/>
    <s v="螺絲類"/>
  </r>
  <r>
    <x v="3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9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9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</r>
  <r>
    <x v="39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9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39"/>
    <n v="5"/>
    <s v="EXP.BOLT"/>
    <s v="5/8&quot;"/>
    <m/>
    <m/>
    <s v="SUS304"/>
    <n v="4"/>
    <m/>
    <n v="1"/>
    <n v="4"/>
    <s v="SET"/>
    <n v="1"/>
    <m/>
    <n v="4"/>
    <n v="4"/>
    <s v="螺絲類"/>
  </r>
  <r>
    <x v="3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0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40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</r>
  <r>
    <x v="40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0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0"/>
    <n v="5"/>
    <s v="EXP.BOLT"/>
    <s v="5/8&quot;"/>
    <m/>
    <m/>
    <s v="SUS304"/>
    <n v="4"/>
    <m/>
    <n v="1"/>
    <n v="4"/>
    <s v="SET"/>
    <n v="1"/>
    <m/>
    <n v="4"/>
    <n v="4"/>
    <s v="螺絲類"/>
  </r>
  <r>
    <x v="4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1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41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</r>
  <r>
    <x v="4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1"/>
    <n v="5"/>
    <s v="EXP.BOLT"/>
    <s v="5/8&quot;"/>
    <m/>
    <m/>
    <s v="SUS304"/>
    <n v="4"/>
    <m/>
    <n v="1"/>
    <n v="4"/>
    <s v="SET"/>
    <n v="1"/>
    <m/>
    <n v="4"/>
    <n v="4"/>
    <s v="螺絲類"/>
  </r>
  <r>
    <x v="4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2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2"/>
    <n v="2"/>
    <s v="Pipe"/>
    <s v="6&quot;*SCH.40"/>
    <n v="100"/>
    <m/>
    <s v="A53Gr.B"/>
    <n v="1"/>
    <n v="28.26"/>
    <n v="2.8260000000000005"/>
    <n v="2.8260000000000005"/>
    <s v="M"/>
    <n v="1"/>
    <n v="0.1"/>
    <m/>
    <n v="2.8260000000000005"/>
    <s v="素材類"/>
  </r>
  <r>
    <x v="42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3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3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3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3"/>
    <n v="5"/>
    <s v="EXP.BOLT"/>
    <s v="5/8&quot;"/>
    <m/>
    <m/>
    <s v="SUS304"/>
    <n v="4"/>
    <m/>
    <n v="1"/>
    <n v="4"/>
    <s v="SET"/>
    <n v="1"/>
    <m/>
    <n v="4"/>
    <n v="4"/>
    <s v="螺絲類"/>
  </r>
  <r>
    <x v="4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4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5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5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5"/>
    <n v="5"/>
    <s v="EXP.BOLT"/>
    <s v="5/8&quot;"/>
    <m/>
    <m/>
    <s v="SUS304"/>
    <n v="4"/>
    <m/>
    <n v="1"/>
    <n v="4"/>
    <s v="SET"/>
    <n v="1"/>
    <m/>
    <n v="4"/>
    <n v="4"/>
    <s v="螺絲類"/>
  </r>
  <r>
    <x v="45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6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6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6"/>
    <n v="5"/>
    <s v="EXP.BOLT"/>
    <s v="5/8&quot;"/>
    <m/>
    <m/>
    <s v="SUS304"/>
    <n v="4"/>
    <m/>
    <n v="1"/>
    <n v="4"/>
    <s v="SET"/>
    <n v="1"/>
    <m/>
    <n v="4"/>
    <n v="4"/>
    <s v="螺絲類"/>
  </r>
  <r>
    <x v="46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7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7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7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8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8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48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9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9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49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9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0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0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50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0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1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5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1"/>
    <n v="4"/>
    <s v="Plate_e_不需鑽孔"/>
    <n v="9"/>
    <n v="280"/>
    <n v="280"/>
    <s v="A36/SS400"/>
    <n v="1"/>
    <m/>
    <n v="5.5389599999999994"/>
    <n v="5.5389599999999994"/>
    <s v="PC"/>
    <n v="1"/>
    <m/>
    <n v="1"/>
    <n v="5.5389599999999994"/>
    <s v="鋼板類"/>
  </r>
  <r>
    <x v="51"/>
    <n v="5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2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2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2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2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2"/>
    <n v="5"/>
    <s v="EXP.BOLT"/>
    <s v="5/8&quot;"/>
    <m/>
    <m/>
    <s v="SUS304"/>
    <n v="4"/>
    <m/>
    <n v="1"/>
    <n v="4"/>
    <s v="SET"/>
    <n v="1"/>
    <m/>
    <n v="4"/>
    <n v="4"/>
    <s v="螺絲類"/>
  </r>
  <r>
    <x v="5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3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3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3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3"/>
    <n v="5"/>
    <s v="EXP.BOLT"/>
    <s v="5/8&quot;"/>
    <m/>
    <m/>
    <s v="SUS304"/>
    <n v="4"/>
    <m/>
    <n v="1"/>
    <n v="4"/>
    <s v="SET"/>
    <n v="1"/>
    <m/>
    <n v="4"/>
    <n v="4"/>
    <s v="螺絲類"/>
  </r>
  <r>
    <x v="5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4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4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4"/>
    <n v="5"/>
    <s v="EXP.BOLT"/>
    <s v="5/8&quot;"/>
    <m/>
    <m/>
    <s v="SUS304"/>
    <n v="4"/>
    <m/>
    <n v="1"/>
    <n v="4"/>
    <s v="SET"/>
    <n v="1"/>
    <m/>
    <n v="4"/>
    <n v="4"/>
    <s v="螺絲類"/>
  </r>
  <r>
    <x v="54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5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6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6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7"/>
    <n v="1"/>
    <s v="Pipe"/>
    <s v="4&quot;*SCH.40"/>
    <n v="1422.5"/>
    <m/>
    <s v="SUS304"/>
    <n v="1"/>
    <n v="16.079999999999998"/>
    <n v="22.873799999999999"/>
    <n v="22.873799999999999"/>
    <s v="M"/>
    <n v="1"/>
    <n v="1.4225000000000001"/>
    <m/>
    <n v="22.873799999999999"/>
    <s v="素材類"/>
  </r>
  <r>
    <x v="57"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57"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57"/>
    <n v="4"/>
    <s v="EXP.BOLT"/>
    <s v="5/8&quot;"/>
    <m/>
    <m/>
    <s v="SUS304"/>
    <n v="4"/>
    <m/>
    <n v="1"/>
    <n v="4"/>
    <s v="SET"/>
    <n v="1"/>
    <m/>
    <n v="4"/>
    <n v="4"/>
    <s v="螺絲類"/>
  </r>
  <r>
    <x v="57"/>
    <n v="5"/>
    <s v="Plate(STOPPER)_08Type"/>
    <n v="6"/>
    <n v="85"/>
    <n v="185"/>
    <s v="A36/SS400"/>
    <n v="1"/>
    <m/>
    <n v="0.74064750000000001"/>
    <n v="0.74064750000000001"/>
    <s v="PC"/>
    <n v="1"/>
    <m/>
    <n v="1"/>
    <n v="0.74064750000000001"/>
    <s v="鋼板類"/>
  </r>
  <r>
    <x v="57"/>
    <n v="6"/>
    <s v="Plate(TOP)_08Type"/>
    <n v="6"/>
    <n v="135"/>
    <n v="135"/>
    <s v="A36/SS400"/>
    <n v="1"/>
    <m/>
    <n v="0.85839749999999992"/>
    <n v="0.85839749999999992"/>
    <s v="PC"/>
    <n v="1"/>
    <m/>
    <n v="1"/>
    <n v="0.85839749999999992"/>
    <s v="鋼板類"/>
  </r>
  <r>
    <x v="58"/>
    <n v="1"/>
    <s v="Pipe"/>
    <s v="2&quot;*SCH.80"/>
    <n v="206"/>
    <m/>
    <s v="SUS304"/>
    <n v="1"/>
    <n v="7.48"/>
    <n v="1.54088"/>
    <n v="1.54088"/>
    <s v="M"/>
    <n v="1"/>
    <n v="0.20599999999999999"/>
    <m/>
    <n v="1.54088"/>
    <s v="素材類"/>
  </r>
  <r>
    <x v="58"/>
    <n v="2"/>
    <s v="Pipe"/>
    <s v="2&quot;*SCH.80"/>
    <n v="500"/>
    <m/>
    <s v="A53Gr.B"/>
    <n v="1"/>
    <n v="7.48"/>
    <n v="3.74"/>
    <n v="3.74"/>
    <s v="M"/>
    <n v="1"/>
    <n v="0.5"/>
    <m/>
    <n v="3.74"/>
    <s v="素材類"/>
  </r>
  <r>
    <x v="5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5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58"/>
    <n v="5"/>
    <s v="EXP.BOLT"/>
    <s v="5/8&quot;"/>
    <m/>
    <m/>
    <s v="SUS304"/>
    <n v="4"/>
    <m/>
    <n v="1"/>
    <n v="4"/>
    <s v="SET"/>
    <n v="1"/>
    <m/>
    <n v="4"/>
    <n v="4"/>
    <s v="螺絲類"/>
  </r>
  <r>
    <x v="58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59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59"/>
    <n v="2"/>
    <s v="Pipe"/>
    <s v="2&quot;*SCH.40"/>
    <n v="1200"/>
    <m/>
    <s v="A53Gr.B"/>
    <n v="1"/>
    <n v="5.44"/>
    <n v="6.5280000000000005"/>
    <n v="6.5280000000000005"/>
    <s v="M"/>
    <n v="1"/>
    <n v="1.2"/>
    <m/>
    <n v="6.5280000000000005"/>
    <s v="素材類"/>
  </r>
  <r>
    <x v="5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5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59"/>
    <n v="5"/>
    <s v="EXP.BOLT"/>
    <s v="5/8&quot;"/>
    <m/>
    <m/>
    <s v="SUS304"/>
    <n v="4"/>
    <m/>
    <n v="1"/>
    <n v="4"/>
    <s v="SET"/>
    <n v="1"/>
    <m/>
    <n v="4"/>
    <n v="4"/>
    <s v="螺絲類"/>
  </r>
  <r>
    <x v="59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60"/>
    <n v="2"/>
    <s v="Pipe"/>
    <s v="2&quot;*SCH.40"/>
    <n v="1400"/>
    <m/>
    <s v="A53Gr.B"/>
    <n v="1"/>
    <n v="5.44"/>
    <n v="7.6159999999999997"/>
    <n v="7.6159999999999997"/>
    <s v="M"/>
    <n v="1"/>
    <n v="1.4"/>
    <m/>
    <n v="7.6159999999999997"/>
    <s v="素材類"/>
  </r>
  <r>
    <x v="6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0"/>
    <n v="5"/>
    <s v="EXP.BOLT"/>
    <s v="5/8&quot;"/>
    <m/>
    <m/>
    <s v="SUS304"/>
    <n v="4"/>
    <m/>
    <n v="1"/>
    <n v="4"/>
    <s v="SET"/>
    <n v="1"/>
    <m/>
    <n v="4"/>
    <n v="4"/>
    <s v="螺絲類"/>
  </r>
  <r>
    <x v="60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1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1"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</r>
  <r>
    <x v="6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1"/>
    <n v="4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2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2"/>
    <n v="2"/>
    <s v="Pipe"/>
    <s v="2&quot;*SCH.40"/>
    <n v="600"/>
    <m/>
    <s v="A53Gr.B"/>
    <n v="1"/>
    <n v="5.44"/>
    <n v="3.2640000000000002"/>
    <n v="3.2640000000000002"/>
    <s v="M"/>
    <n v="1"/>
    <n v="0.6"/>
    <m/>
    <n v="3.2640000000000002"/>
    <s v="素材類"/>
  </r>
  <r>
    <x v="6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2"/>
    <n v="5"/>
    <s v="EXP.BOLT"/>
    <s v="5/8&quot;"/>
    <m/>
    <m/>
    <s v="SUS304"/>
    <n v="4"/>
    <m/>
    <n v="1"/>
    <n v="4"/>
    <s v="SET"/>
    <n v="1"/>
    <m/>
    <n v="4"/>
    <n v="4"/>
    <s v="螺絲類"/>
  </r>
  <r>
    <x v="62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3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6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3"/>
    <n v="5"/>
    <s v="EXP.BOLT"/>
    <s v="5/8&quot;"/>
    <m/>
    <m/>
    <s v="SUS304"/>
    <n v="4"/>
    <m/>
    <n v="1"/>
    <n v="4"/>
    <s v="SET"/>
    <n v="1"/>
    <m/>
    <n v="4"/>
    <n v="4"/>
    <s v="螺絲類"/>
  </r>
  <r>
    <x v="63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4"/>
    <s v="Error"/>
    <m/>
    <m/>
    <m/>
    <m/>
    <m/>
    <m/>
    <m/>
    <m/>
    <m/>
    <m/>
    <m/>
    <m/>
    <m/>
    <m/>
    <m/>
  </r>
  <r>
    <x v="65"/>
    <s v="Error"/>
    <m/>
    <m/>
    <m/>
    <m/>
    <m/>
    <m/>
    <m/>
    <m/>
    <m/>
    <m/>
    <m/>
    <m/>
    <m/>
    <m/>
    <m/>
  </r>
  <r>
    <x v="66"/>
    <s v="Error"/>
    <m/>
    <m/>
    <m/>
    <m/>
    <m/>
    <m/>
    <m/>
    <m/>
    <m/>
    <m/>
    <m/>
    <m/>
    <m/>
    <m/>
    <m/>
  </r>
  <r>
    <x v="67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9"/>
    <s v="Error"/>
    <m/>
    <m/>
    <m/>
    <m/>
    <m/>
    <m/>
    <m/>
    <m/>
    <m/>
    <m/>
    <m/>
    <m/>
    <m/>
    <m/>
    <m/>
  </r>
  <r>
    <x v="70"/>
    <s v="Error"/>
    <m/>
    <m/>
    <m/>
    <m/>
    <m/>
    <m/>
    <m/>
    <m/>
    <m/>
    <m/>
    <m/>
    <m/>
    <m/>
    <m/>
    <m/>
  </r>
  <r>
    <x v="71"/>
    <s v="Error"/>
    <m/>
    <m/>
    <m/>
    <m/>
    <m/>
    <m/>
    <m/>
    <m/>
    <m/>
    <m/>
    <m/>
    <m/>
    <m/>
    <m/>
    <m/>
  </r>
  <r>
    <x v="72"/>
    <s v="Error"/>
    <m/>
    <m/>
    <m/>
    <m/>
    <m/>
    <m/>
    <m/>
    <m/>
    <m/>
    <m/>
    <m/>
    <m/>
    <m/>
    <m/>
    <m/>
  </r>
  <r>
    <x v="73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</r>
  <r>
    <x v="73"/>
    <n v="2"/>
    <s v="Pipe"/>
    <s v="2&quot;*SCH.80"/>
    <n v="-384"/>
    <m/>
    <s v="A53Gr.B"/>
    <n v="1"/>
    <n v="7.48"/>
    <n v="-2.8723200000000002"/>
    <n v="-2.8723200000000002"/>
    <s v="M"/>
    <n v="1"/>
    <n v="-0.38400000000000001"/>
    <m/>
    <n v="-2.8723200000000002"/>
    <s v="素材類"/>
  </r>
  <r>
    <x v="73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3"/>
    <n v="4"/>
    <s v="EXP.BOLT"/>
    <s v="5/8&quot;"/>
    <m/>
    <m/>
    <s v="SUS304"/>
    <n v="4"/>
    <m/>
    <n v="1"/>
    <n v="4"/>
    <s v="SET"/>
    <n v="1"/>
    <m/>
    <n v="4"/>
    <n v="4"/>
    <s v="螺絲類"/>
  </r>
  <r>
    <x v="73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3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3"/>
    <n v="7"/>
    <s v="Spring"/>
    <s v="12W46ID"/>
    <m/>
    <m/>
    <s v="A229"/>
    <n v="2"/>
    <m/>
    <n v="1"/>
    <n v="2"/>
    <s v="SET"/>
    <n v="1"/>
    <m/>
    <n v="2"/>
    <n v="2"/>
    <s v="素材類"/>
  </r>
  <r>
    <x v="74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</r>
  <r>
    <x v="74"/>
    <n v="2"/>
    <s v="Pipe"/>
    <s v="2&quot;*SCH.80"/>
    <n v="-378"/>
    <m/>
    <s v="A53Gr.B"/>
    <n v="1"/>
    <n v="7.48"/>
    <n v="-2.8274400000000002"/>
    <n v="-2.8274400000000002"/>
    <s v="M"/>
    <n v="1"/>
    <n v="-0.378"/>
    <m/>
    <n v="-2.8274400000000002"/>
    <s v="素材類"/>
  </r>
  <r>
    <x v="74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4"/>
    <n v="4"/>
    <s v="EXP.BOLT"/>
    <s v="5/8&quot;"/>
    <m/>
    <m/>
    <s v="SUS304"/>
    <n v="4"/>
    <m/>
    <n v="1"/>
    <n v="4"/>
    <s v="SET"/>
    <n v="1"/>
    <m/>
    <n v="4"/>
    <n v="4"/>
    <s v="螺絲類"/>
  </r>
  <r>
    <x v="74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4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4"/>
    <n v="7"/>
    <s v="Spring"/>
    <s v="12W46ID"/>
    <m/>
    <m/>
    <s v="A229"/>
    <n v="2"/>
    <m/>
    <n v="1"/>
    <n v="2"/>
    <s v="SET"/>
    <n v="1"/>
    <m/>
    <n v="2"/>
    <n v="2"/>
    <s v="素材類"/>
  </r>
  <r>
    <x v="75"/>
    <n v="1"/>
    <s v="Pipe"/>
    <s v="1.5&quot;*SCH.80"/>
    <n v="197"/>
    <m/>
    <s v="SUS304"/>
    <n v="1"/>
    <n v="5.41"/>
    <n v="1.0657700000000001"/>
    <n v="1.0657700000000001"/>
    <s v="M"/>
    <n v="1"/>
    <n v="0.19700000000000001"/>
    <m/>
    <n v="1.0657700000000001"/>
    <s v="素材類"/>
  </r>
  <r>
    <x v="75"/>
    <n v="2"/>
    <s v="Pipe"/>
    <s v="2&quot;*SCH.80"/>
    <n v="-381"/>
    <m/>
    <s v="A53Gr.B"/>
    <n v="1"/>
    <n v="7.48"/>
    <n v="-2.8498800000000002"/>
    <n v="-2.8498800000000002"/>
    <s v="M"/>
    <n v="1"/>
    <n v="-0.38100000000000001"/>
    <m/>
    <n v="-2.8498800000000002"/>
    <s v="素材類"/>
  </r>
  <r>
    <x v="75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5"/>
    <n v="4"/>
    <s v="EXP.BOLT"/>
    <s v="5/8&quot;"/>
    <m/>
    <m/>
    <s v="SUS304"/>
    <n v="4"/>
    <m/>
    <n v="1"/>
    <n v="4"/>
    <s v="SET"/>
    <n v="1"/>
    <m/>
    <n v="4"/>
    <n v="4"/>
    <s v="螺絲類"/>
  </r>
  <r>
    <x v="75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5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5"/>
    <n v="7"/>
    <s v="Spring"/>
    <s v="12W46ID"/>
    <m/>
    <m/>
    <s v="A229"/>
    <n v="2"/>
    <m/>
    <n v="1"/>
    <n v="2"/>
    <s v="SET"/>
    <n v="1"/>
    <m/>
    <n v="2"/>
    <n v="2"/>
    <s v="素材類"/>
  </r>
  <r>
    <x v="76"/>
    <n v="1"/>
    <s v="Pipe"/>
    <s v="12&quot;*STD.WT"/>
    <n v="1262"/>
    <m/>
    <s v="SUS304"/>
    <n v="1"/>
    <n v="73.86"/>
    <n v="93.211320000000001"/>
    <n v="93.211320000000001"/>
    <s v="M"/>
    <n v="1"/>
    <n v="1.262"/>
    <m/>
    <n v="93.211320000000001"/>
    <s v="素材類"/>
  </r>
  <r>
    <x v="76"/>
    <n v="2"/>
    <s v="Channel"/>
    <s v="200*90*8"/>
    <n v="600"/>
    <m/>
    <s v="A36/SS400"/>
    <n v="1"/>
    <n v="30.3"/>
    <n v="18.18"/>
    <n v="18.18"/>
    <s v="M"/>
    <n v="1"/>
    <n v="0.6"/>
    <n v="1"/>
    <n v="18.18"/>
    <s v="素材類"/>
  </r>
  <r>
    <x v="76"/>
    <n v="3"/>
    <s v="Plate(wing)_15Type"/>
    <n v="19"/>
    <n v="240"/>
    <n v="190"/>
    <s v="A36/SS400"/>
    <n v="1"/>
    <m/>
    <n v="6.80124"/>
    <n v="6.80124"/>
    <s v="PC"/>
    <n v="1"/>
    <m/>
    <n v="1"/>
    <n v="6.80124"/>
    <s v="鋼板類"/>
  </r>
  <r>
    <x v="76"/>
    <n v="4"/>
    <s v="Plate(STOPPER)_15Type"/>
    <n v="6"/>
    <n v="260"/>
    <n v="250"/>
    <s v="A36/SS400"/>
    <n v="1"/>
    <m/>
    <n v="3.0614999999999997"/>
    <n v="3.0614999999999997"/>
    <s v="PC"/>
    <n v="1"/>
    <m/>
    <n v="1"/>
    <n v="3.0614999999999997"/>
    <s v="鋼板類"/>
  </r>
  <r>
    <x v="76"/>
    <n v="5"/>
    <s v="Plate(BASE PLATE)_15Type"/>
    <n v="19"/>
    <n v="500"/>
    <n v="500"/>
    <s v="A36/SS400"/>
    <n v="1"/>
    <m/>
    <n v="37.287500000000001"/>
    <n v="37.287500000000001"/>
    <s v="PC"/>
    <n v="1"/>
    <m/>
    <n v="1"/>
    <n v="37.287500000000001"/>
    <s v="鋼板類"/>
  </r>
  <r>
    <x v="76"/>
    <n v="6"/>
    <s v="Plate(TOP)_15Type"/>
    <n v="19"/>
    <n v="345"/>
    <n v="345"/>
    <s v="A36/SS400"/>
    <n v="1"/>
    <m/>
    <n v="17.752578749999998"/>
    <n v="17.752578749999998"/>
    <s v="PC"/>
    <n v="1"/>
    <m/>
    <n v="1"/>
    <n v="17.752578749999998"/>
    <s v="鋼板類"/>
  </r>
  <r>
    <x v="77"/>
    <n v="1"/>
    <s v="Pipe"/>
    <s v="4&quot;*SCH.40"/>
    <n v="251"/>
    <m/>
    <s v="SUS304"/>
    <n v="1"/>
    <n v="16.079999999999998"/>
    <n v="4.0360799999999992"/>
    <n v="4.0360799999999992"/>
    <s v="M"/>
    <n v="1"/>
    <n v="0.251"/>
    <m/>
    <n v="4.0360799999999992"/>
    <s v="素材類"/>
  </r>
  <r>
    <x v="77"/>
    <n v="2"/>
    <s v="Channel"/>
    <s v="125*65*6"/>
    <n v="400"/>
    <m/>
    <s v="A36/SS400"/>
    <n v="1"/>
    <n v="13.4"/>
    <n v="5.36"/>
    <n v="5.36"/>
    <s v="M"/>
    <n v="1"/>
    <n v="0.4"/>
    <n v="1"/>
    <n v="5.36"/>
    <s v="素材類"/>
  </r>
  <r>
    <x v="77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7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7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7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78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</r>
  <r>
    <x v="78"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78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8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8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8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79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</r>
  <r>
    <x v="79"/>
    <n v="2"/>
    <s v="Channel"/>
    <s v="125*65*6"/>
    <n v="1000"/>
    <m/>
    <s v="A36/SS400"/>
    <n v="1"/>
    <n v="13.4"/>
    <n v="13.4"/>
    <n v="13.4"/>
    <s v="M"/>
    <n v="1"/>
    <n v="1"/>
    <n v="1"/>
    <n v="13.4"/>
    <s v="素材類"/>
  </r>
  <r>
    <x v="79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9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9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9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80"/>
    <n v="1"/>
    <s v="Pipe"/>
    <s v="8&quot;*SCH.40"/>
    <n v="368"/>
    <m/>
    <s v="SUS304"/>
    <n v="1"/>
    <n v="42.55"/>
    <n v="15.658399999999999"/>
    <n v="15.658399999999999"/>
    <s v="M"/>
    <n v="1"/>
    <n v="0.36799999999999999"/>
    <m/>
    <n v="15.658399999999999"/>
    <s v="素材類"/>
  </r>
  <r>
    <x v="80"/>
    <n v="2"/>
    <s v="Channel"/>
    <s v="200*90*8"/>
    <n v="400"/>
    <m/>
    <s v="A36/SS400"/>
    <n v="1"/>
    <n v="30.3"/>
    <n v="12.120000000000001"/>
    <n v="12.120000000000001"/>
    <s v="M"/>
    <n v="1"/>
    <n v="0.4"/>
    <n v="1"/>
    <n v="12.120000000000001"/>
    <s v="素材類"/>
  </r>
  <r>
    <x v="80"/>
    <n v="3"/>
    <s v="Plate(wing)_15Type"/>
    <n v="16"/>
    <n v="210"/>
    <n v="150"/>
    <s v="A36/SS400"/>
    <n v="1"/>
    <m/>
    <n v="3.9563999999999999"/>
    <n v="3.9563999999999999"/>
    <s v="PC"/>
    <n v="1"/>
    <m/>
    <n v="1"/>
    <n v="3.9563999999999999"/>
    <s v="鋼板類"/>
  </r>
  <r>
    <x v="80"/>
    <n v="4"/>
    <s v="Plate(STOPPER)_15Type"/>
    <n v="6"/>
    <n v="260"/>
    <n v="110"/>
    <s v="A36/SS400"/>
    <n v="1"/>
    <m/>
    <n v="1.3470599999999999"/>
    <n v="1.3470599999999999"/>
    <s v="PC"/>
    <n v="1"/>
    <m/>
    <n v="1"/>
    <n v="1.3470599999999999"/>
    <s v="鋼板類"/>
  </r>
  <r>
    <x v="80"/>
    <n v="5"/>
    <s v="Plate(BASE PLATE)_15Type"/>
    <n v="16"/>
    <n v="380"/>
    <n v="380"/>
    <s v="A36/SS400"/>
    <n v="1"/>
    <m/>
    <n v="18.13664"/>
    <n v="18.13664"/>
    <s v="PC"/>
    <n v="1"/>
    <m/>
    <n v="1"/>
    <n v="18.13664"/>
    <s v="鋼板類"/>
  </r>
  <r>
    <x v="80"/>
    <n v="6"/>
    <s v="Plate(TOP)_15Type"/>
    <n v="16"/>
    <n v="240"/>
    <n v="240"/>
    <s v="A36/SS400"/>
    <n v="1"/>
    <m/>
    <n v="7.2345600000000001"/>
    <n v="7.2345600000000001"/>
    <s v="PC"/>
    <n v="1"/>
    <m/>
    <n v="1"/>
    <n v="7.2345600000000001"/>
    <s v="鋼板類"/>
  </r>
  <r>
    <x v="81"/>
    <n v="1"/>
    <s v="Pipe"/>
    <s v="12&quot;*STD.WT"/>
    <n v="811"/>
    <m/>
    <s v="SUS304"/>
    <n v="1"/>
    <n v="73.86"/>
    <n v="59.900460000000002"/>
    <n v="59.900460000000002"/>
    <s v="M"/>
    <n v="1"/>
    <n v="0.81100000000000005"/>
    <m/>
    <n v="59.900460000000002"/>
    <s v="素材類"/>
  </r>
  <r>
    <x v="81"/>
    <n v="2"/>
    <s v="Pipe"/>
    <s v="12&quot;*STD.WT"/>
    <n v="1222"/>
    <m/>
    <s v="A53Gr.B"/>
    <n v="1"/>
    <n v="73.86"/>
    <n v="90.256919999999994"/>
    <n v="90.256919999999994"/>
    <s v="M"/>
    <n v="1"/>
    <n v="1.222"/>
    <m/>
    <n v="90.256919999999994"/>
    <s v="素材類"/>
  </r>
  <r>
    <x v="81"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</r>
  <r>
    <x v="82"/>
    <n v="1"/>
    <s v="Pipe"/>
    <s v="12&quot;*STD.WT"/>
    <n v="913"/>
    <m/>
    <s v="SUS304"/>
    <n v="1"/>
    <n v="73.86"/>
    <n v="67.434179999999998"/>
    <n v="67.434179999999998"/>
    <s v="M"/>
    <n v="1"/>
    <n v="0.91300000000000003"/>
    <m/>
    <n v="67.434179999999998"/>
    <s v="素材類"/>
  </r>
  <r>
    <x v="82"/>
    <n v="2"/>
    <s v="Pipe"/>
    <s v="12&quot;*STD.WT"/>
    <n v="1297"/>
    <m/>
    <s v="A53Gr.B"/>
    <n v="1"/>
    <n v="73.86"/>
    <n v="95.796419999999998"/>
    <n v="95.796419999999998"/>
    <s v="M"/>
    <n v="1"/>
    <n v="1.2969999999999999"/>
    <m/>
    <n v="95.796419999999998"/>
    <s v="素材類"/>
  </r>
  <r>
    <x v="82"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</r>
  <r>
    <x v="8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3"/>
    <n v="2"/>
    <s v="Pipe"/>
    <s v="1.5&quot;*SCH.80"/>
    <n v="370"/>
    <m/>
    <s v="A53Gr.B"/>
    <n v="1"/>
    <n v="5.41"/>
    <n v="2.0017"/>
    <n v="2.0017"/>
    <s v="M"/>
    <n v="1"/>
    <n v="0.37"/>
    <m/>
    <n v="2.0017"/>
    <s v="素材類"/>
  </r>
  <r>
    <x v="83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4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4"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</r>
  <r>
    <x v="84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4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4"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</r>
  <r>
    <x v="84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5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5"/>
    <n v="2"/>
    <s v="Pipe"/>
    <s v="2&quot;*SCH.40"/>
    <n v="356"/>
    <m/>
    <s v="A53Gr.B"/>
    <n v="1"/>
    <n v="5.44"/>
    <n v="1.9366400000000001"/>
    <n v="1.9366400000000001"/>
    <s v="M"/>
    <n v="1"/>
    <n v="0.35599999999999998"/>
    <m/>
    <n v="1.9366400000000001"/>
    <s v="素材類"/>
  </r>
  <r>
    <x v="85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6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6"/>
    <n v="2"/>
    <s v="Pipe"/>
    <s v="2&quot;*SCH.40"/>
    <n v="456"/>
    <m/>
    <s v="A53Gr.B"/>
    <n v="1"/>
    <n v="5.44"/>
    <n v="2.4806400000000002"/>
    <n v="2.4806400000000002"/>
    <s v="M"/>
    <n v="1"/>
    <n v="0.45600000000000002"/>
    <m/>
    <n v="2.4806400000000002"/>
    <s v="素材類"/>
  </r>
  <r>
    <x v="86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7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7"/>
    <n v="2"/>
    <s v="Pipe"/>
    <s v="2&quot;*SCH.40"/>
    <n v="556"/>
    <m/>
    <s v="A53Gr.B"/>
    <n v="1"/>
    <n v="5.44"/>
    <n v="3.0246400000000007"/>
    <n v="3.0246400000000007"/>
    <s v="M"/>
    <n v="1"/>
    <n v="0.55600000000000005"/>
    <m/>
    <n v="3.0246400000000007"/>
    <s v="素材類"/>
  </r>
  <r>
    <x v="87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8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8"/>
    <n v="2"/>
    <s v="Pipe"/>
    <s v="2&quot;*SCH.40"/>
    <n v="856"/>
    <m/>
    <s v="A53Gr.B"/>
    <n v="1"/>
    <n v="5.44"/>
    <n v="4.6566400000000003"/>
    <n v="4.6566400000000003"/>
    <s v="M"/>
    <n v="1"/>
    <n v="0.85599999999999998"/>
    <m/>
    <n v="4.6566400000000003"/>
    <s v="素材類"/>
  </r>
  <r>
    <x v="88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9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89"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</r>
  <r>
    <x v="89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89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89"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</r>
  <r>
    <x v="89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0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0"/>
    <n v="2"/>
    <s v="Pipe"/>
    <s v="3&quot;*SCH.40"/>
    <n v="743"/>
    <m/>
    <s v="A53Gr.B"/>
    <n v="1"/>
    <n v="11.29"/>
    <n v="8.3884699999999999"/>
    <n v="8.3884699999999999"/>
    <s v="M"/>
    <n v="1"/>
    <n v="0.74299999999999999"/>
    <m/>
    <n v="8.3884699999999999"/>
    <s v="素材類"/>
  </r>
  <r>
    <x v="90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1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1"/>
    <n v="2"/>
    <s v="Pipe"/>
    <s v="3&quot;*SCH.40"/>
    <n v="943"/>
    <m/>
    <s v="A53Gr.B"/>
    <n v="1"/>
    <n v="11.29"/>
    <n v="10.646469999999999"/>
    <n v="10.646469999999999"/>
    <s v="M"/>
    <n v="1"/>
    <n v="0.94299999999999995"/>
    <m/>
    <n v="10.646469999999999"/>
    <s v="素材類"/>
  </r>
  <r>
    <x v="91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2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2"/>
    <n v="2"/>
    <s v="Pipe"/>
    <s v="3&quot;*SCH.40"/>
    <n v="1543"/>
    <m/>
    <s v="A53Gr.B"/>
    <n v="1"/>
    <n v="11.29"/>
    <n v="17.420469999999998"/>
    <n v="17.420469999999998"/>
    <s v="M"/>
    <n v="1"/>
    <n v="1.5429999999999999"/>
    <m/>
    <n v="17.420469999999998"/>
    <s v="素材類"/>
  </r>
  <r>
    <x v="92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3"/>
    <n v="2"/>
    <s v="Pipe"/>
    <s v="3&quot;*SCH.40"/>
    <n v="1643"/>
    <m/>
    <s v="A53Gr.B"/>
    <n v="1"/>
    <n v="11.29"/>
    <n v="18.549469999999999"/>
    <n v="18.549469999999999"/>
    <s v="M"/>
    <n v="1"/>
    <n v="1.643"/>
    <m/>
    <n v="18.549469999999999"/>
    <s v="素材類"/>
  </r>
  <r>
    <x v="93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4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4"/>
    <n v="2"/>
    <s v="Pipe"/>
    <s v="4&quot;*SCH.40"/>
    <n v="416"/>
    <m/>
    <s v="A53Gr.B"/>
    <n v="1"/>
    <n v="16.079999999999998"/>
    <n v="6.6892799999999992"/>
    <n v="6.6892799999999992"/>
    <s v="M"/>
    <n v="1"/>
    <n v="0.41599999999999998"/>
    <m/>
    <n v="6.6892799999999992"/>
    <s v="素材類"/>
  </r>
  <r>
    <x v="94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5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5"/>
    <n v="2"/>
    <s v="Pipe"/>
    <s v="4&quot;*SCH.40"/>
    <n v="616"/>
    <m/>
    <s v="A53Gr.B"/>
    <n v="1"/>
    <n v="16.079999999999998"/>
    <n v="9.9052799999999994"/>
    <n v="9.9052799999999994"/>
    <s v="M"/>
    <n v="1"/>
    <n v="0.61599999999999999"/>
    <m/>
    <n v="9.9052799999999994"/>
    <s v="素材類"/>
  </r>
  <r>
    <x v="95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6"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</r>
  <r>
    <x v="96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6"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</r>
  <r>
    <x v="96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7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7"/>
    <n v="2"/>
    <s v="Pipe"/>
    <s v="6&quot;*SCH.40"/>
    <n v="490"/>
    <m/>
    <s v="A53Gr.B"/>
    <n v="1"/>
    <n v="28.26"/>
    <n v="13.8474"/>
    <n v="13.8474"/>
    <s v="M"/>
    <n v="1"/>
    <n v="0.49"/>
    <m/>
    <n v="13.8474"/>
    <s v="素材類"/>
  </r>
  <r>
    <x v="97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98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8"/>
    <n v="2"/>
    <s v="Pipe"/>
    <s v="6&quot;*SCH.40"/>
    <n v="590"/>
    <m/>
    <s v="A53Gr.B"/>
    <n v="1"/>
    <n v="28.26"/>
    <n v="16.673400000000001"/>
    <n v="16.673400000000001"/>
    <s v="M"/>
    <n v="1"/>
    <n v="0.59"/>
    <m/>
    <n v="16.673400000000001"/>
    <s v="素材類"/>
  </r>
  <r>
    <x v="98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99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9"/>
    <n v="2"/>
    <s v="Pipe"/>
    <s v="6&quot;*SCH.40"/>
    <n v="690"/>
    <m/>
    <s v="A53Gr.B"/>
    <n v="1"/>
    <n v="28.26"/>
    <n v="19.499399999999998"/>
    <n v="19.499399999999998"/>
    <s v="M"/>
    <n v="1"/>
    <n v="0.69"/>
    <m/>
    <n v="19.499399999999998"/>
    <s v="素材類"/>
  </r>
  <r>
    <x v="99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100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100"/>
    <n v="2"/>
    <s v="Pipe"/>
    <s v="6&quot;*SCH.40"/>
    <n v="1190"/>
    <m/>
    <s v="A53Gr.B"/>
    <n v="1"/>
    <n v="28.26"/>
    <n v="33.629399999999997"/>
    <n v="33.629399999999997"/>
    <s v="M"/>
    <n v="1"/>
    <n v="1.19"/>
    <m/>
    <n v="33.629399999999997"/>
    <s v="素材類"/>
  </r>
  <r>
    <x v="100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101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0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7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09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10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13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14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15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16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17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1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1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2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2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3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3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4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24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5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2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5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2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6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2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8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29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9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0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1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3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6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6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37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8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9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4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5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4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7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7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8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4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4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4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0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5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1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51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2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5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2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5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3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</r>
  <r>
    <x v="15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4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</r>
  <r>
    <x v="15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5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5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5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5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8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58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8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8"/>
    <n v="4"/>
    <s v="EXP.BOLT"/>
    <s v="5/8&quot;"/>
    <m/>
    <m/>
    <s v="SUS304"/>
    <n v="4"/>
    <m/>
    <n v="1"/>
    <n v="4"/>
    <s v="SET"/>
    <n v="1"/>
    <m/>
    <n v="4"/>
    <n v="4"/>
    <s v="螺絲類"/>
  </r>
  <r>
    <x v="158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58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8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8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60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0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0"/>
    <n v="4"/>
    <s v="EXP.BOLT"/>
    <s v="5/8&quot;"/>
    <m/>
    <m/>
    <s v="SUS304"/>
    <n v="4"/>
    <m/>
    <n v="1"/>
    <n v="4"/>
    <s v="SET"/>
    <n v="1"/>
    <m/>
    <n v="4"/>
    <n v="4"/>
    <s v="螺絲類"/>
  </r>
  <r>
    <x v="160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0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0"/>
    <n v="4"/>
    <s v="EXP.BOLT"/>
    <s v="5/8&quot;"/>
    <m/>
    <m/>
    <s v="SUS304"/>
    <n v="4"/>
    <m/>
    <n v="1"/>
    <n v="4"/>
    <s v="SET"/>
    <n v="1"/>
    <m/>
    <n v="4"/>
    <n v="4"/>
    <s v="螺絲類"/>
  </r>
  <r>
    <x v="161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61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1"/>
    <n v="4"/>
    <s v="EXP.BOLT"/>
    <s v="5/8&quot;"/>
    <m/>
    <m/>
    <s v="SUS304"/>
    <n v="4"/>
    <m/>
    <n v="1"/>
    <n v="4"/>
    <s v="SET"/>
    <n v="1"/>
    <m/>
    <n v="4"/>
    <n v="4"/>
    <s v="螺絲類"/>
  </r>
  <r>
    <x v="162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6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2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2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4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4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4"/>
    <n v="4"/>
    <s v="EXP.BOLT"/>
    <s v="5/8&quot;"/>
    <m/>
    <m/>
    <s v="SUS304"/>
    <n v="4"/>
    <m/>
    <n v="1"/>
    <n v="4"/>
    <s v="SET"/>
    <n v="1"/>
    <m/>
    <n v="4"/>
    <n v="4"/>
    <s v="螺絲類"/>
  </r>
  <r>
    <x v="165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6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5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5"/>
    <n v="4"/>
    <s v="EXP.BOLT"/>
    <s v="5/8&quot;"/>
    <m/>
    <m/>
    <s v="SUS304"/>
    <n v="4"/>
    <m/>
    <n v="1"/>
    <n v="4"/>
    <s v="SET"/>
    <n v="1"/>
    <m/>
    <n v="4"/>
    <n v="4"/>
    <s v="螺絲類"/>
  </r>
  <r>
    <x v="165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6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5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5"/>
    <n v="4"/>
    <s v="EXP.BOLT"/>
    <s v="5/8&quot;"/>
    <m/>
    <m/>
    <s v="SUS304"/>
    <n v="4"/>
    <m/>
    <n v="1"/>
    <n v="4"/>
    <s v="SET"/>
    <n v="1"/>
    <m/>
    <n v="4"/>
    <n v="4"/>
    <s v="螺絲類"/>
  </r>
  <r>
    <x v="166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6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66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6"/>
    <n v="4"/>
    <s v="EXP.BOLT"/>
    <s v="5/8&quot;"/>
    <m/>
    <m/>
    <s v="SUS304"/>
    <n v="4"/>
    <m/>
    <n v="1"/>
    <n v="4"/>
    <s v="SET"/>
    <n v="1"/>
    <m/>
    <n v="4"/>
    <n v="4"/>
    <s v="螺絲類"/>
  </r>
  <r>
    <x v="167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6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7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7"/>
    <n v="4"/>
    <s v="EXP.BOLT"/>
    <s v="5/8&quot;"/>
    <m/>
    <m/>
    <s v="SUS304"/>
    <n v="4"/>
    <m/>
    <n v="1"/>
    <n v="4"/>
    <s v="SET"/>
    <n v="1"/>
    <m/>
    <n v="4"/>
    <n v="4"/>
    <s v="螺絲類"/>
  </r>
  <r>
    <x v="167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6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7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7"/>
    <n v="4"/>
    <s v="EXP.BOLT"/>
    <s v="5/8&quot;"/>
    <m/>
    <m/>
    <s v="SUS304"/>
    <n v="4"/>
    <m/>
    <n v="1"/>
    <n v="4"/>
    <s v="SET"/>
    <n v="1"/>
    <m/>
    <n v="4"/>
    <n v="4"/>
    <s v="螺絲類"/>
  </r>
  <r>
    <x v="168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8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8"/>
    <n v="4"/>
    <s v="EXP.BOLT"/>
    <s v="5/8&quot;"/>
    <m/>
    <m/>
    <s v="SUS304"/>
    <n v="4"/>
    <m/>
    <n v="1"/>
    <n v="4"/>
    <s v="SET"/>
    <n v="1"/>
    <m/>
    <n v="4"/>
    <n v="4"/>
    <s v="螺絲類"/>
  </r>
  <r>
    <x v="168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8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8"/>
    <n v="4"/>
    <s v="EXP.BOLT"/>
    <s v="5/8&quot;"/>
    <m/>
    <m/>
    <s v="SUS304"/>
    <n v="4"/>
    <m/>
    <n v="1"/>
    <n v="4"/>
    <s v="SET"/>
    <n v="1"/>
    <m/>
    <n v="4"/>
    <n v="4"/>
    <s v="螺絲類"/>
  </r>
  <r>
    <x v="169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69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9"/>
    <n v="4"/>
    <s v="EXP.BOLT"/>
    <s v="5/8&quot;"/>
    <m/>
    <m/>
    <s v="SUS304"/>
    <n v="4"/>
    <m/>
    <n v="1"/>
    <n v="4"/>
    <s v="SET"/>
    <n v="1"/>
    <m/>
    <n v="4"/>
    <n v="4"/>
    <s v="螺絲類"/>
  </r>
  <r>
    <x v="170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7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0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0"/>
    <n v="4"/>
    <s v="EXP.BOLT"/>
    <s v="5/8&quot;"/>
    <m/>
    <m/>
    <s v="SUS304"/>
    <n v="4"/>
    <m/>
    <n v="1"/>
    <n v="4"/>
    <s v="SET"/>
    <n v="1"/>
    <m/>
    <n v="4"/>
    <n v="4"/>
    <s v="螺絲類"/>
  </r>
  <r>
    <x v="17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17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1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1"/>
    <n v="4"/>
    <s v="EXP.BOLT"/>
    <s v="5/8&quot;"/>
    <m/>
    <m/>
    <s v="SUS304"/>
    <n v="4"/>
    <m/>
    <n v="1"/>
    <n v="4"/>
    <s v="SET"/>
    <n v="1"/>
    <m/>
    <n v="4"/>
    <n v="4"/>
    <s v="螺絲類"/>
  </r>
  <r>
    <x v="17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17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1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1"/>
    <n v="4"/>
    <s v="EXP.BOLT"/>
    <s v="5/8&quot;"/>
    <m/>
    <m/>
    <s v="SUS304"/>
    <n v="4"/>
    <m/>
    <n v="1"/>
    <n v="4"/>
    <s v="SET"/>
    <n v="1"/>
    <m/>
    <n v="4"/>
    <n v="4"/>
    <s v="螺絲類"/>
  </r>
  <r>
    <x v="172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72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72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2"/>
    <n v="4"/>
    <s v="EXP.BOLT"/>
    <s v="5/8&quot;"/>
    <m/>
    <m/>
    <s v="SUS304"/>
    <n v="4"/>
    <m/>
    <n v="1"/>
    <n v="4"/>
    <s v="SET"/>
    <n v="1"/>
    <m/>
    <n v="4"/>
    <n v="4"/>
    <s v="螺絲類"/>
  </r>
  <r>
    <x v="173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7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3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3"/>
    <n v="4"/>
    <s v="EXP.BOLT"/>
    <s v="5/8&quot;"/>
    <m/>
    <m/>
    <s v="SUS304"/>
    <n v="4"/>
    <m/>
    <n v="1"/>
    <n v="4"/>
    <s v="SET"/>
    <n v="1"/>
    <m/>
    <n v="4"/>
    <n v="4"/>
    <s v="螺絲類"/>
  </r>
  <r>
    <x v="173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7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3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3"/>
    <n v="4"/>
    <s v="EXP.BOLT"/>
    <s v="5/8&quot;"/>
    <m/>
    <m/>
    <s v="SUS304"/>
    <n v="4"/>
    <m/>
    <n v="1"/>
    <n v="4"/>
    <s v="SET"/>
    <n v="1"/>
    <m/>
    <n v="4"/>
    <n v="4"/>
    <s v="螺絲類"/>
  </r>
  <r>
    <x v="174"/>
    <n v="1"/>
    <s v="Angle"/>
    <s v="50*50*6"/>
    <n v="250"/>
    <m/>
    <s v="A36/SS400"/>
    <n v="1"/>
    <n v="4.43"/>
    <n v="1.1074999999999999"/>
    <n v="1.1074999999999999"/>
    <s v="M"/>
    <n v="1"/>
    <n v="0.25"/>
    <n v="1"/>
    <n v="1.1074999999999999"/>
    <s v="素材類"/>
  </r>
  <r>
    <x v="174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5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5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6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6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6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6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8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8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9"/>
    <n v="1"/>
    <s v="Angle"/>
    <s v="50*50*6"/>
    <n v="550"/>
    <m/>
    <s v="A36/SS400"/>
    <n v="1"/>
    <n v="4.43"/>
    <n v="2.4365000000000001"/>
    <n v="2.4365000000000001"/>
    <s v="M"/>
    <n v="1"/>
    <n v="0.55000000000000004"/>
    <n v="1"/>
    <n v="2.4365000000000001"/>
    <s v="素材類"/>
  </r>
  <r>
    <x v="17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1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82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</r>
  <r>
    <x v="18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2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</r>
  <r>
    <x v="18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3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</r>
  <r>
    <x v="18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4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</r>
  <r>
    <x v="184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85"/>
    <n v="1"/>
    <s v="Angle"/>
    <s v="75*75*9"/>
    <n v="175"/>
    <m/>
    <s v="A36/SS400"/>
    <n v="1"/>
    <n v="9.9600000000000009"/>
    <n v="1.7430000000000001"/>
    <n v="1.7430000000000001"/>
    <s v="M"/>
    <n v="1"/>
    <n v="0.17499999999999999"/>
    <n v="1"/>
    <n v="1.7430000000000001"/>
    <s v="素材類"/>
  </r>
  <r>
    <x v="18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6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7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88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8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89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8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9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8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0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1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92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93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93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6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6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9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9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2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03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</r>
  <r>
    <x v="20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3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</r>
  <r>
    <x v="20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4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</r>
  <r>
    <x v="20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4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</r>
  <r>
    <x v="20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5"/>
    <n v="1"/>
    <s v="Angle"/>
    <s v="75*75*9"/>
    <n v="1275"/>
    <m/>
    <s v="A36/SS400"/>
    <n v="1"/>
    <n v="9.9600000000000009"/>
    <n v="12.699"/>
    <n v="12.699"/>
    <s v="M"/>
    <n v="1"/>
    <n v="1.2749999999999999"/>
    <n v="1"/>
    <n v="12.699"/>
    <s v="素材類"/>
  </r>
  <r>
    <x v="20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6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</r>
  <r>
    <x v="20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7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</r>
  <r>
    <x v="207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08"/>
    <n v="1"/>
    <s v="Angle"/>
    <s v="75*75*9"/>
    <n v="1575"/>
    <m/>
    <s v="A36/SS400"/>
    <n v="1"/>
    <n v="9.9600000000000009"/>
    <n v="15.687000000000001"/>
    <n v="15.687000000000001"/>
    <s v="M"/>
    <n v="1"/>
    <n v="1.575"/>
    <n v="1"/>
    <n v="15.687000000000001"/>
    <s v="素材類"/>
  </r>
  <r>
    <x v="20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9"/>
    <n v="1"/>
    <s v="Angle"/>
    <s v="75*75*9"/>
    <n v="1775"/>
    <m/>
    <s v="A36/SS400"/>
    <n v="1"/>
    <n v="9.9600000000000009"/>
    <n v="17.679000000000002"/>
    <n v="17.679000000000002"/>
    <s v="M"/>
    <n v="1"/>
    <n v="1.7749999999999999"/>
    <n v="1"/>
    <n v="17.679000000000002"/>
    <s v="素材類"/>
  </r>
  <r>
    <x v="20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10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</r>
  <r>
    <x v="21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1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</r>
  <r>
    <x v="21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12"/>
    <n v="1"/>
    <s v="Angle"/>
    <s v="75*75*9"/>
    <n v="2175"/>
    <m/>
    <s v="A36/SS400"/>
    <n v="1"/>
    <n v="9.9600000000000009"/>
    <n v="21.663"/>
    <n v="21.663"/>
    <s v="M"/>
    <n v="1"/>
    <n v="2.1749999999999998"/>
    <n v="1"/>
    <n v="21.663"/>
    <s v="素材類"/>
  </r>
  <r>
    <x v="21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3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</r>
  <r>
    <x v="21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4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</r>
  <r>
    <x v="21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15"/>
    <n v="1"/>
    <s v="Angle"/>
    <s v="75*75*9"/>
    <n v="2575"/>
    <m/>
    <s v="A36/SS400"/>
    <n v="1"/>
    <n v="9.9600000000000009"/>
    <n v="25.647000000000006"/>
    <n v="25.647000000000006"/>
    <s v="M"/>
    <n v="1"/>
    <n v="2.5750000000000002"/>
    <n v="1"/>
    <n v="25.647000000000006"/>
    <s v="素材類"/>
  </r>
  <r>
    <x v="21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16"/>
    <n v="2"/>
    <s v="Angle"/>
    <s v="50*50*6"/>
    <n v="100"/>
    <m/>
    <s v="A36/SS400"/>
    <n v="1"/>
    <n v="4.43"/>
    <n v="0.443"/>
    <n v="0.443"/>
    <s v="M"/>
    <n v="1"/>
    <n v="0.1"/>
    <n v="1"/>
    <n v="0.443"/>
    <s v="素材類"/>
  </r>
  <r>
    <x v="217"/>
    <n v="1"/>
    <s v="Angle"/>
    <s v="50*50*6"/>
    <n v="100"/>
    <m/>
    <s v="A36/SS400"/>
    <n v="1"/>
    <n v="4.43"/>
    <n v="0.443"/>
    <n v="0.443"/>
    <s v="M"/>
    <n v="1"/>
    <n v="0.1"/>
    <n v="1"/>
    <n v="0.443"/>
    <s v="素材類"/>
  </r>
  <r>
    <x v="217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8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19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19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0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221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2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222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3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2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224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4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5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5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6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6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7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9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2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0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3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1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1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4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3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5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6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3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7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38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8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39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9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0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4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2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4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4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4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45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6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4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7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7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9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49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0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251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2"/>
    <n v="1"/>
    <s v="H Beam"/>
    <s v="125*125*6.5"/>
    <n v="1685"/>
    <m/>
    <s v="A36/SS400"/>
    <n v="1"/>
    <n v="23.6"/>
    <n v="39.766000000000005"/>
    <n v="39.766000000000005"/>
    <s v="M"/>
    <n v="1"/>
    <n v="1.6850000000000001"/>
    <n v="1"/>
    <n v="39.766000000000005"/>
    <s v="素材類"/>
  </r>
  <r>
    <x v="252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2"/>
    <n v="3"/>
    <s v="EXP.BOLT"/>
    <s v="7/8&quot;"/>
    <m/>
    <m/>
    <s v="SUS304"/>
    <n v="4"/>
    <m/>
    <n v="1"/>
    <n v="4"/>
    <s v="SET"/>
    <n v="1"/>
    <m/>
    <n v="4"/>
    <n v="4"/>
    <s v="螺絲類"/>
  </r>
  <r>
    <x v="252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3"/>
    <n v="1"/>
    <s v="H Beam"/>
    <s v="125*125*6.5"/>
    <n v="585"/>
    <m/>
    <s v="A36/SS400"/>
    <n v="1"/>
    <n v="23.6"/>
    <n v="13.805999999999999"/>
    <n v="13.805999999999999"/>
    <s v="M"/>
    <n v="1"/>
    <n v="0.58499999999999996"/>
    <n v="1"/>
    <n v="13.805999999999999"/>
    <s v="素材類"/>
  </r>
  <r>
    <x v="253"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4"/>
    <n v="1"/>
    <s v="H Beam"/>
    <s v="150*150*10"/>
    <n v="685"/>
    <m/>
    <s v="A36/SS400"/>
    <n v="1"/>
    <n v="31.1"/>
    <n v="21.303500000000003"/>
    <n v="21.303500000000003"/>
    <s v="M"/>
    <n v="1"/>
    <n v="0.68500000000000005"/>
    <n v="1"/>
    <n v="21.303500000000003"/>
    <s v="素材類"/>
  </r>
  <r>
    <x v="254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4"/>
    <n v="3"/>
    <s v="EXP.BOLT"/>
    <s v="7/8&quot;"/>
    <m/>
    <m/>
    <s v="SUS304"/>
    <n v="4"/>
    <m/>
    <n v="1"/>
    <n v="4"/>
    <s v="SET"/>
    <n v="1"/>
    <m/>
    <n v="4"/>
    <n v="4"/>
    <s v="螺絲類"/>
  </r>
  <r>
    <x v="254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5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</r>
  <r>
    <x v="255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5"/>
    <n v="3"/>
    <s v="EXP.BOLT"/>
    <s v="7/8&quot;"/>
    <m/>
    <m/>
    <s v="SUS304"/>
    <n v="4"/>
    <m/>
    <n v="1"/>
    <n v="4"/>
    <s v="SET"/>
    <n v="1"/>
    <m/>
    <n v="4"/>
    <n v="4"/>
    <s v="螺絲類"/>
  </r>
  <r>
    <x v="255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6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</r>
  <r>
    <x v="256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6"/>
    <n v="3"/>
    <s v="EXP.BOLT"/>
    <s v="7/8&quot;"/>
    <m/>
    <m/>
    <s v="SUS304"/>
    <n v="4"/>
    <m/>
    <n v="1"/>
    <n v="4"/>
    <s v="SET"/>
    <n v="1"/>
    <m/>
    <n v="4"/>
    <n v="4"/>
    <s v="螺絲類"/>
  </r>
  <r>
    <x v="256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7"/>
    <n v="1"/>
    <s v="H Beam"/>
    <s v="150*150*10"/>
    <n v="985"/>
    <m/>
    <s v="A36/SS400"/>
    <n v="1"/>
    <n v="31.1"/>
    <n v="30.633500000000002"/>
    <n v="30.633500000000002"/>
    <s v="M"/>
    <n v="1"/>
    <n v="0.98499999999999999"/>
    <n v="1"/>
    <n v="30.633500000000002"/>
    <s v="素材類"/>
  </r>
  <r>
    <x v="257"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8"/>
    <n v="1"/>
    <s v="Angle"/>
    <s v="50*50*6"/>
    <n v="385"/>
    <m/>
    <s v="A36/SS400"/>
    <n v="1"/>
    <n v="4.43"/>
    <n v="1.7055499999999999"/>
    <n v="1.7055499999999999"/>
    <s v="M"/>
    <n v="1"/>
    <n v="0.38500000000000001"/>
    <n v="1"/>
    <n v="1.7055499999999999"/>
    <s v="素材類"/>
  </r>
  <r>
    <x v="258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58"/>
    <n v="3"/>
    <s v="EXP.BOLT"/>
    <s v="5/8&quot;"/>
    <m/>
    <m/>
    <s v="SUS304"/>
    <n v="4"/>
    <m/>
    <n v="1"/>
    <n v="4"/>
    <s v="SET"/>
    <n v="1"/>
    <m/>
    <n v="4"/>
    <n v="4"/>
    <s v="螺絲類"/>
  </r>
  <r>
    <x v="259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</r>
  <r>
    <x v="259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59"/>
    <n v="3"/>
    <s v="EXP.BOLT"/>
    <s v="5/8&quot;"/>
    <m/>
    <m/>
    <s v="SUS304"/>
    <n v="4"/>
    <m/>
    <n v="1"/>
    <n v="4"/>
    <s v="SET"/>
    <n v="1"/>
    <m/>
    <n v="4"/>
    <n v="4"/>
    <s v="螺絲類"/>
  </r>
  <r>
    <x v="260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</r>
  <r>
    <x v="260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0"/>
    <n v="3"/>
    <s v="EXP.BOLT"/>
    <s v="5/8&quot;"/>
    <m/>
    <m/>
    <s v="SUS304"/>
    <n v="4"/>
    <m/>
    <n v="1"/>
    <n v="4"/>
    <s v="SET"/>
    <n v="1"/>
    <m/>
    <n v="4"/>
    <n v="4"/>
    <s v="螺絲類"/>
  </r>
  <r>
    <x v="261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</r>
  <r>
    <x v="261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1"/>
    <n v="3"/>
    <s v="EXP.BOLT"/>
    <s v="5/8&quot;"/>
    <m/>
    <m/>
    <s v="SUS304"/>
    <n v="4"/>
    <m/>
    <n v="1"/>
    <n v="4"/>
    <s v="SET"/>
    <n v="1"/>
    <m/>
    <n v="4"/>
    <n v="4"/>
    <s v="螺絲類"/>
  </r>
  <r>
    <x v="261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</r>
  <r>
    <x v="261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1"/>
    <n v="3"/>
    <s v="EXP.BOLT"/>
    <s v="5/8&quot;"/>
    <m/>
    <m/>
    <s v="SUS304"/>
    <n v="4"/>
    <m/>
    <n v="1"/>
    <n v="4"/>
    <s v="SET"/>
    <n v="1"/>
    <m/>
    <n v="4"/>
    <n v="4"/>
    <s v="螺絲類"/>
  </r>
  <r>
    <x v="262"/>
    <n v="1"/>
    <s v="Angle"/>
    <s v="75*75*9"/>
    <n v="585"/>
    <m/>
    <s v="A36/SS400"/>
    <n v="1"/>
    <n v="9.9600000000000009"/>
    <n v="5.8266"/>
    <n v="5.8266"/>
    <s v="M"/>
    <n v="1"/>
    <n v="0.58499999999999996"/>
    <n v="1"/>
    <n v="5.8266"/>
    <s v="素材類"/>
  </r>
  <r>
    <x v="262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2"/>
    <n v="3"/>
    <s v="EXP.BOLT"/>
    <s v="5/8&quot;"/>
    <m/>
    <m/>
    <s v="SUS304"/>
    <n v="4"/>
    <m/>
    <n v="1"/>
    <n v="4"/>
    <s v="SET"/>
    <n v="1"/>
    <m/>
    <n v="4"/>
    <n v="4"/>
    <s v="螺絲類"/>
  </r>
  <r>
    <x v="263"/>
    <n v="1"/>
    <s v="Angle"/>
    <s v="75*75*9"/>
    <n v="985"/>
    <m/>
    <s v="A36/SS400"/>
    <n v="1"/>
    <n v="9.9600000000000009"/>
    <n v="9.8106000000000009"/>
    <n v="9.8106000000000009"/>
    <s v="M"/>
    <n v="1"/>
    <n v="0.98499999999999999"/>
    <n v="1"/>
    <n v="9.8106000000000009"/>
    <s v="素材類"/>
  </r>
  <r>
    <x v="263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3"/>
    <n v="3"/>
    <s v="EXP.BOLT"/>
    <s v="5/8&quot;"/>
    <m/>
    <m/>
    <s v="SUS304"/>
    <n v="4"/>
    <m/>
    <n v="1"/>
    <n v="4"/>
    <s v="SET"/>
    <n v="1"/>
    <m/>
    <n v="4"/>
    <n v="4"/>
    <s v="螺絲類"/>
  </r>
  <r>
    <x v="264"/>
    <n v="1"/>
    <s v="Angle"/>
    <s v="75*75*9"/>
    <n v="1585"/>
    <m/>
    <s v="A36/SS400"/>
    <n v="1"/>
    <n v="9.9600000000000009"/>
    <n v="15.786600000000002"/>
    <n v="15.786600000000002"/>
    <s v="M"/>
    <n v="1"/>
    <n v="1.585"/>
    <n v="1"/>
    <n v="15.786600000000002"/>
    <s v="素材類"/>
  </r>
  <r>
    <x v="264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4"/>
    <n v="3"/>
    <s v="EXP.BOLT"/>
    <s v="5/8&quot;"/>
    <m/>
    <m/>
    <s v="SUS304"/>
    <n v="4"/>
    <m/>
    <n v="1"/>
    <n v="4"/>
    <s v="SET"/>
    <n v="1"/>
    <m/>
    <n v="4"/>
    <n v="4"/>
    <s v="螺絲類"/>
  </r>
  <r>
    <x v="265"/>
    <n v="1"/>
    <s v="Channel"/>
    <s v="125*65*6"/>
    <n v="2614"/>
    <m/>
    <s v="A36/SS400"/>
    <n v="1"/>
    <n v="13.4"/>
    <n v="35.0276"/>
    <n v="35.0276"/>
    <s v="M"/>
    <n v="1"/>
    <n v="2.6139999999999999"/>
    <n v="1"/>
    <n v="35.0276"/>
    <s v="素材類"/>
  </r>
  <r>
    <x v="265"/>
    <n v="2"/>
    <s v="Plate_c_需鑽孔"/>
    <n v="16"/>
    <n v="380"/>
    <n v="380"/>
    <s v="A36/SS400"/>
    <n v="1"/>
    <m/>
    <n v="18.13664"/>
    <n v="18.13664"/>
    <s v="PC"/>
    <n v="1"/>
    <m/>
    <n v="1"/>
    <n v="18.13664"/>
    <s v="鋼板類"/>
  </r>
  <r>
    <x v="265"/>
    <n v="3"/>
    <s v="EXP.BOLT"/>
    <s v="3/4&quot;"/>
    <m/>
    <m/>
    <s v="SUS304"/>
    <n v="4"/>
    <m/>
    <n v="1"/>
    <n v="4"/>
    <s v="SET"/>
    <n v="1"/>
    <m/>
    <n v="4"/>
    <n v="4"/>
    <s v="螺絲類"/>
  </r>
  <r>
    <x v="266"/>
    <n v="1"/>
    <s v="Angle"/>
    <s v="75*75*9"/>
    <n v="3009"/>
    <m/>
    <s v="A36/SS400"/>
    <n v="1"/>
    <n v="9.9600000000000009"/>
    <n v="29.969640000000002"/>
    <n v="29.969640000000002"/>
    <s v="M"/>
    <n v="1"/>
    <n v="3.0089999999999999"/>
    <n v="1"/>
    <n v="29.969640000000002"/>
    <s v="素材類"/>
  </r>
  <r>
    <x v="266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6"/>
    <n v="3"/>
    <s v="EXP.BOLT"/>
    <s v="5/8&quot;"/>
    <m/>
    <m/>
    <s v="SUS304"/>
    <n v="4"/>
    <m/>
    <n v="1"/>
    <n v="4"/>
    <s v="SET"/>
    <n v="1"/>
    <m/>
    <n v="4"/>
    <n v="4"/>
    <s v="螺絲類"/>
  </r>
  <r>
    <x v="267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</r>
  <r>
    <x v="268"/>
    <n v="1"/>
    <s v="Channel"/>
    <s v="125*65*6"/>
    <n v="1785"/>
    <m/>
    <s v="A36/SS400"/>
    <n v="1"/>
    <n v="13.4"/>
    <n v="23.919"/>
    <n v="23.919"/>
    <s v="M"/>
    <n v="1"/>
    <n v="1.7849999999999999"/>
    <n v="1"/>
    <n v="23.919"/>
    <s v="素材類"/>
  </r>
  <r>
    <x v="269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270"/>
    <n v="1"/>
    <s v="Channel"/>
    <s v="150*75*9"/>
    <n v="2000"/>
    <m/>
    <s v="A36/SS400"/>
    <n v="1"/>
    <n v="24"/>
    <n v="48"/>
    <n v="48"/>
    <s v="M"/>
    <n v="1"/>
    <n v="2"/>
    <n v="1"/>
    <n v="48"/>
    <s v="素材類"/>
  </r>
  <r>
    <x v="271"/>
    <n v="1"/>
    <s v="Channel"/>
    <s v="150*75*9"/>
    <n v="2300"/>
    <m/>
    <s v="A36/SS400"/>
    <n v="1"/>
    <n v="24"/>
    <n v="55.199999999999996"/>
    <n v="55.199999999999996"/>
    <s v="M"/>
    <n v="1"/>
    <n v="2.2999999999999998"/>
    <n v="1"/>
    <n v="55.199999999999996"/>
    <s v="素材類"/>
  </r>
  <r>
    <x v="272"/>
    <n v="1"/>
    <s v="Channel"/>
    <s v="150*75*9"/>
    <n v="1285"/>
    <m/>
    <s v="A36/SS400"/>
    <n v="1"/>
    <n v="24"/>
    <n v="30.839999999999996"/>
    <n v="30.839999999999996"/>
    <s v="M"/>
    <n v="1"/>
    <n v="1.2849999999999999"/>
    <n v="1"/>
    <n v="30.839999999999996"/>
    <s v="素材類"/>
  </r>
  <r>
    <x v="273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73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27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77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27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79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80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81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8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8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84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84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85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88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89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90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9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92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3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3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4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295"/>
    <n v="1"/>
    <s v="Angle"/>
    <s v="75*75*9"/>
    <n v="1085"/>
    <m/>
    <s v="A36/SS400"/>
    <n v="1"/>
    <n v="9.9600000000000009"/>
    <n v="10.806600000000001"/>
    <n v="10.806600000000001"/>
    <s v="M"/>
    <n v="1"/>
    <n v="1.085"/>
    <n v="1"/>
    <n v="10.806600000000001"/>
    <s v="素材類"/>
  </r>
  <r>
    <x v="296"/>
    <n v="1"/>
    <s v="Angle"/>
    <s v="75*75*9"/>
    <n v="1185"/>
    <m/>
    <s v="A36/SS400"/>
    <n v="1"/>
    <n v="9.9600000000000009"/>
    <n v="11.802600000000002"/>
    <n v="11.802600000000002"/>
    <s v="M"/>
    <n v="1"/>
    <n v="1.1850000000000001"/>
    <n v="1"/>
    <n v="11.802600000000002"/>
    <s v="素材類"/>
  </r>
  <r>
    <x v="297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98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29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29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300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301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02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</r>
  <r>
    <x v="303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</r>
  <r>
    <x v="304"/>
    <n v="1"/>
    <s v="Angle"/>
    <s v="75*75*9"/>
    <n v="2800"/>
    <m/>
    <s v="A36/SS400"/>
    <n v="1"/>
    <n v="9.9600000000000009"/>
    <n v="27.888000000000002"/>
    <n v="27.888000000000002"/>
    <s v="M"/>
    <n v="1"/>
    <n v="2.8"/>
    <n v="1"/>
    <n v="27.888000000000002"/>
    <s v="素材類"/>
  </r>
  <r>
    <x v="305"/>
    <n v="1"/>
    <s v="Angle"/>
    <s v="75*75*9"/>
    <n v="3300"/>
    <m/>
    <s v="A36/SS400"/>
    <n v="1"/>
    <n v="9.9600000000000009"/>
    <n v="32.868000000000002"/>
    <n v="32.868000000000002"/>
    <s v="M"/>
    <n v="1"/>
    <n v="3.3"/>
    <n v="1"/>
    <n v="32.868000000000002"/>
    <s v="素材類"/>
  </r>
  <r>
    <x v="306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306"/>
    <n v="2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07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07"/>
    <n v="2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08"/>
    <n v="1"/>
    <s v="Channel"/>
    <s v="150*75*9"/>
    <n v="1800"/>
    <m/>
    <s v="A36/SS400"/>
    <n v="1"/>
    <n v="24"/>
    <n v="43.2"/>
    <n v="43.2"/>
    <s v="M"/>
    <n v="1"/>
    <n v="1.8"/>
    <n v="1"/>
    <n v="43.2"/>
    <s v="素材類"/>
  </r>
  <r>
    <x v="308"/>
    <n v="2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09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309"/>
    <n v="2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10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310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1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311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1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12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13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</r>
  <r>
    <x v="31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1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4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15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5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6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6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317"/>
    <n v="1"/>
    <s v="Channel"/>
    <s v="125*65*6"/>
    <n v="1900"/>
    <m/>
    <s v="A36/SS400"/>
    <n v="1"/>
    <n v="13.4"/>
    <n v="25.46"/>
    <n v="25.46"/>
    <s v="M"/>
    <n v="1"/>
    <n v="1.9"/>
    <n v="1"/>
    <n v="25.46"/>
    <s v="素材類"/>
  </r>
  <r>
    <x v="318"/>
    <n v="1"/>
    <s v="Channel"/>
    <s v="125*65*6"/>
    <n v="2600"/>
    <m/>
    <s v="A36/SS400"/>
    <n v="1"/>
    <n v="13.4"/>
    <n v="34.840000000000003"/>
    <n v="34.840000000000003"/>
    <s v="M"/>
    <n v="1"/>
    <n v="2.6"/>
    <n v="1"/>
    <n v="34.840000000000003"/>
    <s v="素材類"/>
  </r>
  <r>
    <x v="319"/>
    <n v="1"/>
    <s v="Channel"/>
    <s v="125*65*6"/>
    <n v="3000"/>
    <m/>
    <s v="A36/SS400"/>
    <n v="1"/>
    <n v="13.4"/>
    <n v="40.200000000000003"/>
    <n v="40.200000000000003"/>
    <s v="M"/>
    <n v="1"/>
    <n v="3"/>
    <n v="1"/>
    <n v="40.200000000000003"/>
    <s v="素材類"/>
  </r>
  <r>
    <x v="320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</r>
  <r>
    <x v="321"/>
    <n v="1"/>
    <s v="Channel"/>
    <s v="125*65*6"/>
    <n v="2100"/>
    <m/>
    <s v="A36/SS400"/>
    <n v="1"/>
    <n v="13.4"/>
    <n v="28.14"/>
    <n v="28.14"/>
    <s v="M"/>
    <n v="1"/>
    <n v="2.1"/>
    <n v="1"/>
    <n v="28.14"/>
    <s v="素材類"/>
  </r>
  <r>
    <x v="322"/>
    <n v="1"/>
    <s v="Channel"/>
    <s v="125*65*6"/>
    <n v="3900"/>
    <m/>
    <s v="A36/SS400"/>
    <n v="1"/>
    <n v="13.4"/>
    <n v="52.26"/>
    <n v="52.26"/>
    <s v="M"/>
    <n v="1"/>
    <n v="3.9"/>
    <n v="1"/>
    <n v="52.26"/>
    <s v="素材類"/>
  </r>
  <r>
    <x v="323"/>
    <n v="1"/>
    <s v="Channel"/>
    <s v="125*65*6"/>
    <n v="4100"/>
    <m/>
    <s v="A36/SS400"/>
    <n v="1"/>
    <n v="13.4"/>
    <n v="54.94"/>
    <n v="54.94"/>
    <s v="M"/>
    <n v="1"/>
    <n v="4.0999999999999996"/>
    <n v="1"/>
    <n v="54.94"/>
    <s v="素材類"/>
  </r>
  <r>
    <x v="324"/>
    <n v="1"/>
    <s v="Channel"/>
    <s v="125*65*6"/>
    <n v="2400"/>
    <m/>
    <s v="A36/SS400"/>
    <n v="1"/>
    <n v="13.4"/>
    <n v="32.159999999999997"/>
    <n v="32.159999999999997"/>
    <s v="M"/>
    <n v="1"/>
    <n v="2.4"/>
    <n v="1"/>
    <n v="32.159999999999997"/>
    <s v="素材類"/>
  </r>
  <r>
    <x v="325"/>
    <n v="1"/>
    <s v="Channel"/>
    <s v="125*65*6"/>
    <n v="2800"/>
    <m/>
    <s v="A36/SS400"/>
    <n v="1"/>
    <n v="13.4"/>
    <n v="37.519999999999996"/>
    <n v="37.519999999999996"/>
    <s v="M"/>
    <n v="1"/>
    <n v="2.8"/>
    <n v="1"/>
    <n v="37.519999999999996"/>
    <s v="素材類"/>
  </r>
  <r>
    <x v="326"/>
    <n v="1"/>
    <s v="Channel"/>
    <s v="150*75*9"/>
    <n v="4000"/>
    <m/>
    <s v="A36/SS400"/>
    <n v="1"/>
    <n v="24"/>
    <n v="96"/>
    <n v="96"/>
    <s v="M"/>
    <n v="1"/>
    <n v="4"/>
    <n v="1"/>
    <n v="96"/>
    <s v="素材類"/>
  </r>
  <r>
    <x v="327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</r>
  <r>
    <x v="328"/>
    <n v="1"/>
    <s v="Channel"/>
    <s v="150*75*9"/>
    <n v="3900"/>
    <m/>
    <s v="A36/SS400"/>
    <n v="1"/>
    <n v="24"/>
    <n v="93.6"/>
    <n v="93.6"/>
    <s v="M"/>
    <n v="1"/>
    <n v="3.9"/>
    <n v="1"/>
    <n v="93.6"/>
    <s v="素材類"/>
  </r>
  <r>
    <x v="329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</r>
  <r>
    <x v="330"/>
    <n v="1"/>
    <s v="Angle"/>
    <s v="50*50*6"/>
    <n v="1700"/>
    <m/>
    <s v="A36/SS400"/>
    <n v="1"/>
    <n v="4.43"/>
    <n v="7.5309999999999997"/>
    <n v="7.5309999999999997"/>
    <s v="M"/>
    <n v="1"/>
    <n v="1.7"/>
    <n v="1"/>
    <n v="7.5309999999999997"/>
    <s v="素材類"/>
  </r>
  <r>
    <x v="331"/>
    <n v="1"/>
    <s v="Angle"/>
    <s v="50*50*6"/>
    <n v="1600"/>
    <m/>
    <s v="A36/SS400"/>
    <n v="1"/>
    <n v="4.43"/>
    <n v="7.0880000000000001"/>
    <n v="7.0880000000000001"/>
    <s v="M"/>
    <n v="1"/>
    <n v="1.6"/>
    <n v="1"/>
    <n v="7.0880000000000001"/>
    <s v="素材類"/>
  </r>
  <r>
    <x v="332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</r>
  <r>
    <x v="333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334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334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335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36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</r>
  <r>
    <x v="337"/>
    <n v="1"/>
    <s v="Angle"/>
    <s v="75*75*9"/>
    <n v="2700"/>
    <m/>
    <s v="A36/SS400"/>
    <n v="1"/>
    <n v="9.9600000000000009"/>
    <n v="26.892000000000003"/>
    <n v="26.892000000000003"/>
    <s v="M"/>
    <n v="1"/>
    <n v="2.7"/>
    <n v="1"/>
    <n v="26.892000000000003"/>
    <s v="素材類"/>
  </r>
  <r>
    <x v="338"/>
    <n v="1"/>
    <s v="Angle"/>
    <s v="75*75*9"/>
    <n v="1800"/>
    <m/>
    <s v="A36/SS400"/>
    <n v="1"/>
    <n v="9.9600000000000009"/>
    <n v="17.928000000000001"/>
    <n v="17.928000000000001"/>
    <s v="M"/>
    <n v="1"/>
    <n v="1.8"/>
    <n v="1"/>
    <n v="17.928000000000001"/>
    <s v="素材類"/>
  </r>
  <r>
    <x v="339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1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</r>
  <r>
    <x v="342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43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</r>
  <r>
    <x v="344"/>
    <n v="1"/>
    <s v="Angle"/>
    <s v="75*75*9"/>
    <n v="4500"/>
    <m/>
    <s v="A36/SS400"/>
    <n v="1"/>
    <n v="9.9600000000000009"/>
    <n v="44.820000000000007"/>
    <n v="44.820000000000007"/>
    <s v="M"/>
    <n v="1"/>
    <n v="4.5"/>
    <n v="1"/>
    <n v="44.820000000000007"/>
    <s v="素材類"/>
  </r>
  <r>
    <x v="345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</r>
  <r>
    <x v="346"/>
    <n v="1"/>
    <s v="Angle"/>
    <s v="75*75*9"/>
    <n v="4700"/>
    <m/>
    <s v="A36/SS400"/>
    <n v="1"/>
    <n v="9.9600000000000009"/>
    <n v="46.812000000000005"/>
    <n v="46.812000000000005"/>
    <s v="M"/>
    <n v="1"/>
    <n v="4.7"/>
    <n v="1"/>
    <n v="46.812000000000005"/>
    <s v="素材類"/>
  </r>
  <r>
    <x v="347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</r>
  <r>
    <x v="348"/>
    <n v="1"/>
    <s v="Angle"/>
    <s v="75*75*9"/>
    <n v="2600"/>
    <m/>
    <s v="A36/SS400"/>
    <n v="1"/>
    <n v="9.9600000000000009"/>
    <n v="25.896000000000004"/>
    <n v="25.896000000000004"/>
    <s v="M"/>
    <n v="1"/>
    <n v="2.6"/>
    <n v="1"/>
    <n v="25.896000000000004"/>
    <s v="素材類"/>
  </r>
  <r>
    <x v="349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49"/>
    <n v="2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5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50"/>
    <n v="2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51"/>
    <n v="1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51"/>
    <n v="2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52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52"/>
    <n v="2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53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</r>
  <r>
    <x v="353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5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</r>
  <r>
    <x v="355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</r>
  <r>
    <x v="356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</r>
  <r>
    <x v="356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</r>
  <r>
    <x v="357"/>
    <n v="1"/>
    <s v="Channel"/>
    <s v="100*50*5"/>
    <n v="800"/>
    <m/>
    <s v="A36/SS400"/>
    <n v="1"/>
    <n v="9.36"/>
    <n v="7.4879999999999995"/>
    <n v="7.4879999999999995"/>
    <s v="M"/>
    <n v="1"/>
    <n v="0.8"/>
    <n v="1"/>
    <n v="7.487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9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1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</r>
  <r>
    <x v="361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</r>
  <r>
    <x v="362"/>
    <n v="1"/>
    <s v="Channel"/>
    <s v="100*50*5"/>
    <n v="1300"/>
    <m/>
    <s v="A36/SS400"/>
    <n v="1"/>
    <n v="9.36"/>
    <n v="12.167999999999999"/>
    <n v="12.167999999999999"/>
    <s v="M"/>
    <n v="1"/>
    <n v="1.3"/>
    <n v="1"/>
    <n v="12.167999999999999"/>
    <s v="素材類"/>
  </r>
  <r>
    <x v="363"/>
    <n v="1"/>
    <s v="Channel"/>
    <s v="125*65*6"/>
    <n v="200"/>
    <m/>
    <s v="A36/SS400"/>
    <n v="1"/>
    <n v="13.4"/>
    <n v="2.68"/>
    <n v="2.68"/>
    <s v="M"/>
    <n v="1"/>
    <n v="0.2"/>
    <n v="1"/>
    <n v="2.68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6"/>
    <n v="1"/>
    <s v="Channel"/>
    <s v="125*65*6"/>
    <n v="700"/>
    <m/>
    <s v="A36/SS400"/>
    <n v="1"/>
    <n v="13.4"/>
    <n v="9.379999999999999"/>
    <n v="9.379999999999999"/>
    <s v="M"/>
    <n v="1"/>
    <n v="0.7"/>
    <n v="1"/>
    <n v="9.379999999999999"/>
    <s v="素材類"/>
  </r>
  <r>
    <x v="367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</r>
  <r>
    <x v="368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</r>
  <r>
    <x v="368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</r>
  <r>
    <x v="369"/>
    <n v="1"/>
    <s v="Channel"/>
    <s v="150*75*9"/>
    <n v="300"/>
    <m/>
    <s v="A36/SS400"/>
    <n v="1"/>
    <n v="24"/>
    <n v="7.1999999999999993"/>
    <n v="7.1999999999999993"/>
    <s v="M"/>
    <n v="1"/>
    <n v="0.3"/>
    <n v="1"/>
    <n v="7.1999999999999993"/>
    <s v="素材類"/>
  </r>
  <r>
    <x v="37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7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71"/>
    <n v="1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72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</r>
  <r>
    <x v="372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4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75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75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76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</r>
  <r>
    <x v="37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37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2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</r>
  <r>
    <x v="382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9"/>
    <n v="1"/>
    <s v="Channel"/>
    <s v="100*50*5"/>
    <n v="1145"/>
    <m/>
    <s v="A36/SS400"/>
    <n v="1"/>
    <n v="9.36"/>
    <n v="10.7172"/>
    <n v="10.7172"/>
    <s v="M"/>
    <n v="1"/>
    <n v="1.145"/>
    <n v="1"/>
    <n v="10.7172"/>
    <s v="素材類"/>
  </r>
  <r>
    <x v="390"/>
    <n v="1"/>
    <s v="Channel"/>
    <s v="125*65*6"/>
    <n v="2499"/>
    <m/>
    <s v="A36/SS400"/>
    <n v="1"/>
    <n v="13.4"/>
    <n v="33.486600000000003"/>
    <n v="33.486600000000003"/>
    <s v="M"/>
    <n v="1"/>
    <n v="2.4990000000000001"/>
    <n v="1"/>
    <n v="33.486600000000003"/>
    <s v="素材類"/>
  </r>
  <r>
    <x v="391"/>
    <n v="1"/>
    <s v="Channel"/>
    <s v="125*65*6"/>
    <n v="1806"/>
    <m/>
    <s v="A36/SS400"/>
    <n v="1"/>
    <n v="13.4"/>
    <n v="24.200400000000002"/>
    <n v="24.200400000000002"/>
    <s v="M"/>
    <n v="1"/>
    <n v="1.806"/>
    <n v="1"/>
    <n v="24.200400000000002"/>
    <s v="素材類"/>
  </r>
  <r>
    <x v="392"/>
    <n v="1"/>
    <s v="Channel"/>
    <s v="125*65*6"/>
    <n v="1637"/>
    <m/>
    <s v="A36/SS400"/>
    <n v="1"/>
    <n v="13.4"/>
    <n v="21.9358"/>
    <n v="21.9358"/>
    <s v="M"/>
    <n v="1"/>
    <n v="1.637"/>
    <n v="1"/>
    <n v="21.9358"/>
    <s v="素材類"/>
  </r>
  <r>
    <x v="393"/>
    <n v="1"/>
    <s v="Channel"/>
    <s v="125*65*6"/>
    <n v="2014"/>
    <m/>
    <s v="A36/SS400"/>
    <n v="1"/>
    <n v="13.4"/>
    <n v="26.987599999999997"/>
    <n v="26.987599999999997"/>
    <s v="M"/>
    <n v="1"/>
    <n v="2.0139999999999998"/>
    <n v="1"/>
    <n v="26.987599999999997"/>
    <s v="素材類"/>
  </r>
  <r>
    <x v="394"/>
    <n v="1"/>
    <s v="Channel"/>
    <s v="125*65*6"/>
    <n v="2283"/>
    <m/>
    <s v="A36/SS400"/>
    <n v="1"/>
    <n v="13.4"/>
    <n v="30.592199999999998"/>
    <n v="30.592199999999998"/>
    <s v="M"/>
    <n v="1"/>
    <n v="2.2829999999999999"/>
    <n v="1"/>
    <n v="30.592199999999998"/>
    <s v="素材類"/>
  </r>
  <r>
    <x v="395"/>
    <n v="1"/>
    <s v="H Beam"/>
    <s v="100*100*6"/>
    <n v="3547"/>
    <m/>
    <s v="A36/SS400"/>
    <n v="1"/>
    <n v="16.899999999999999"/>
    <n v="59.944299999999998"/>
    <n v="59.944299999999998"/>
    <s v="M"/>
    <n v="1"/>
    <n v="3.5470000000000002"/>
    <n v="1"/>
    <n v="59.944299999999998"/>
    <s v="素材類"/>
  </r>
  <r>
    <x v="396"/>
    <n v="1"/>
    <s v="H Beam"/>
    <s v="100*100*6"/>
    <n v="4049"/>
    <m/>
    <s v="A36/SS400"/>
    <n v="1"/>
    <n v="16.899999999999999"/>
    <n v="68.428100000000001"/>
    <n v="68.428100000000001"/>
    <s v="M"/>
    <n v="1"/>
    <n v="4.0490000000000004"/>
    <n v="1"/>
    <n v="68.428100000000001"/>
    <s v="素材類"/>
  </r>
  <r>
    <x v="397"/>
    <n v="1"/>
    <s v="H Beam"/>
    <s v="100*100*6"/>
    <n v="1145"/>
    <m/>
    <s v="A36/SS400"/>
    <n v="1"/>
    <n v="16.899999999999999"/>
    <n v="19.3505"/>
    <n v="19.3505"/>
    <s v="M"/>
    <n v="1"/>
    <n v="1.145"/>
    <n v="1"/>
    <n v="19.3505"/>
    <s v="素材類"/>
  </r>
  <r>
    <x v="398"/>
    <n v="1"/>
    <s v="H Beam"/>
    <s v="100*100*6"/>
    <n v="1567"/>
    <m/>
    <s v="A36/SS400"/>
    <n v="1"/>
    <n v="16.899999999999999"/>
    <n v="26.482299999999999"/>
    <n v="26.482299999999999"/>
    <s v="M"/>
    <n v="1"/>
    <n v="1.5669999999999999"/>
    <n v="1"/>
    <n v="26.482299999999999"/>
    <s v="素材類"/>
  </r>
  <r>
    <x v="399"/>
    <n v="1"/>
    <s v="H Beam"/>
    <s v="100*100*6"/>
    <n v="1654"/>
    <m/>
    <s v="A36/SS400"/>
    <n v="1"/>
    <n v="16.899999999999999"/>
    <n v="27.952599999999997"/>
    <n v="27.952599999999997"/>
    <s v="M"/>
    <n v="1"/>
    <n v="1.6539999999999999"/>
    <n v="1"/>
    <n v="27.952599999999997"/>
    <s v="素材類"/>
  </r>
  <r>
    <x v="400"/>
    <n v="1"/>
    <s v="H Beam"/>
    <s v="100*100*6"/>
    <n v="1693"/>
    <m/>
    <s v="A36/SS400"/>
    <n v="1"/>
    <n v="16.899999999999999"/>
    <n v="28.611699999999999"/>
    <n v="28.611699999999999"/>
    <s v="M"/>
    <n v="1"/>
    <n v="1.6930000000000001"/>
    <n v="1"/>
    <n v="28.611699999999999"/>
    <s v="素材類"/>
  </r>
  <r>
    <x v="401"/>
    <n v="1"/>
    <s v="H Beam"/>
    <s v="100*100*6"/>
    <n v="1902"/>
    <m/>
    <s v="A36/SS400"/>
    <n v="1"/>
    <n v="16.899999999999999"/>
    <n v="32.143799999999999"/>
    <n v="32.143799999999999"/>
    <s v="M"/>
    <n v="1"/>
    <n v="1.9019999999999999"/>
    <n v="1"/>
    <n v="32.143799999999999"/>
    <s v="素材類"/>
  </r>
  <r>
    <x v="402"/>
    <n v="1"/>
    <s v="H Beam"/>
    <s v="100*100*6"/>
    <n v="1923"/>
    <m/>
    <s v="A36/SS400"/>
    <n v="1"/>
    <n v="16.899999999999999"/>
    <n v="32.498699999999999"/>
    <n v="32.498699999999999"/>
    <s v="M"/>
    <n v="1"/>
    <n v="1.923"/>
    <n v="1"/>
    <n v="32.498699999999999"/>
    <s v="素材類"/>
  </r>
  <r>
    <x v="403"/>
    <n v="1"/>
    <s v="H Beam"/>
    <s v="100*100*6"/>
    <n v="2139"/>
    <m/>
    <s v="A36/SS400"/>
    <n v="1"/>
    <n v="16.899999999999999"/>
    <n v="36.14909999999999"/>
    <n v="36.14909999999999"/>
    <s v="M"/>
    <n v="1"/>
    <n v="2.1389999999999998"/>
    <n v="1"/>
    <n v="36.14909999999999"/>
    <s v="素材類"/>
  </r>
  <r>
    <x v="404"/>
    <n v="1"/>
    <s v="H Beam"/>
    <s v="100*100*6"/>
    <n v="2382"/>
    <m/>
    <s v="A36/SS400"/>
    <n v="1"/>
    <n v="16.899999999999999"/>
    <n v="40.255800000000001"/>
    <n v="40.255800000000001"/>
    <s v="M"/>
    <n v="1"/>
    <n v="2.3820000000000001"/>
    <n v="1"/>
    <n v="40.255800000000001"/>
    <s v="素材類"/>
  </r>
  <r>
    <x v="405"/>
    <n v="1"/>
    <s v="H Beam"/>
    <s v="125*125*6.5"/>
    <n v="2014"/>
    <m/>
    <s v="A36/SS400"/>
    <n v="1"/>
    <n v="23.6"/>
    <n v="47.5304"/>
    <n v="47.5304"/>
    <s v="M"/>
    <n v="1"/>
    <n v="2.0139999999999998"/>
    <n v="1"/>
    <n v="47.5304"/>
    <s v="素材類"/>
  </r>
  <r>
    <x v="406"/>
    <n v="1"/>
    <s v="H Beam"/>
    <s v="125*125*6.5"/>
    <n v="1906"/>
    <m/>
    <s v="A36/SS400"/>
    <n v="1"/>
    <n v="23.6"/>
    <n v="44.9816"/>
    <n v="44.9816"/>
    <s v="M"/>
    <n v="1"/>
    <n v="1.9059999999999999"/>
    <n v="1"/>
    <n v="44.9816"/>
    <s v="素材類"/>
  </r>
  <r>
    <x v="407"/>
    <n v="1"/>
    <s v="H Beam"/>
    <s v="150*150*10"/>
    <n v="2100"/>
    <m/>
    <s v="A36/SS400"/>
    <n v="1"/>
    <n v="31.1"/>
    <n v="65.31"/>
    <n v="65.31"/>
    <s v="M"/>
    <n v="1"/>
    <n v="2.1"/>
    <n v="1"/>
    <n v="65.31"/>
    <s v="素材類"/>
  </r>
  <r>
    <x v="408"/>
    <n v="1"/>
    <s v="Angle"/>
    <s v="75*75*9"/>
    <n v="3056"/>
    <m/>
    <s v="A36/SS400"/>
    <n v="1"/>
    <n v="9.9600000000000009"/>
    <n v="30.437760000000004"/>
    <n v="30.437760000000004"/>
    <s v="M"/>
    <n v="1"/>
    <n v="3.056"/>
    <n v="1"/>
    <n v="30.437760000000004"/>
    <s v="素材類"/>
  </r>
  <r>
    <x v="409"/>
    <n v="1"/>
    <s v="Angle"/>
    <s v="75*75*9"/>
    <n v="879"/>
    <m/>
    <s v="A36/SS400"/>
    <n v="1"/>
    <n v="9.9600000000000009"/>
    <n v="8.7548400000000015"/>
    <n v="8.7548400000000015"/>
    <s v="M"/>
    <n v="1"/>
    <n v="0.879"/>
    <n v="1"/>
    <n v="8.7548400000000015"/>
    <s v="素材類"/>
  </r>
  <r>
    <x v="410"/>
    <n v="1"/>
    <s v="Angle"/>
    <s v="75*75*9"/>
    <n v="999"/>
    <m/>
    <s v="A36/SS400"/>
    <n v="1"/>
    <n v="9.9600000000000009"/>
    <n v="9.9500400000000013"/>
    <n v="9.9500400000000013"/>
    <s v="M"/>
    <n v="1"/>
    <n v="0.999"/>
    <n v="1"/>
    <n v="9.9500400000000013"/>
    <s v="素材類"/>
  </r>
  <r>
    <x v="411"/>
    <n v="1"/>
    <s v="Angle"/>
    <s v="75*75*9"/>
    <n v="1149"/>
    <m/>
    <s v="A36/SS400"/>
    <n v="1"/>
    <n v="9.9600000000000009"/>
    <n v="11.444040000000001"/>
    <n v="11.444040000000001"/>
    <s v="M"/>
    <n v="1"/>
    <n v="1.149"/>
    <n v="1"/>
    <n v="11.444040000000001"/>
    <s v="素材類"/>
  </r>
  <r>
    <x v="412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</r>
  <r>
    <x v="412"/>
    <n v="2"/>
    <s v="Channel"/>
    <s v="100*50*5"/>
    <n v="1039"/>
    <m/>
    <s v="A36/SS400"/>
    <n v="1"/>
    <n v="9.36"/>
    <n v="9.7250399999999981"/>
    <n v="9.7250399999999981"/>
    <s v="M"/>
    <n v="1"/>
    <n v="1.0389999999999999"/>
    <n v="1"/>
    <n v="9.7250399999999981"/>
    <s v="素材類"/>
  </r>
  <r>
    <x v="413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4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4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5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6"/>
    <n v="1"/>
    <s v="Angle"/>
    <s v="65*65*6"/>
    <n v="150"/>
    <m/>
    <s v="A36/SS400"/>
    <n v="1"/>
    <n v="5.91"/>
    <n v="0.88649999999999995"/>
    <n v="0.88649999999999995"/>
    <s v="M"/>
    <n v="1"/>
    <n v="0.15"/>
    <n v="1"/>
    <n v="0.88649999999999995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1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1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1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1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2"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</r>
  <r>
    <x v="42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8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28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2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8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28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2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9"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429"/>
    <n v="3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43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0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30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31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1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31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3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2"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432"/>
    <n v="3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4"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</r>
  <r>
    <x v="43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2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7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7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7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7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8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9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9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9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9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60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5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5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66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66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8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8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69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9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7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0"/>
    <n v="2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</r>
  <r>
    <x v="47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2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2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7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3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73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7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4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4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75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5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75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7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6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6"/>
    <n v="3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47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7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77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77"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47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8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78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78"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80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8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1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81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81"/>
    <n v="4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</r>
  <r>
    <x v="48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2"/>
    <n v="2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</r>
  <r>
    <x v="482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82"/>
    <n v="4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88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89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89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9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90"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2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92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9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93"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</r>
  <r>
    <x v="49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8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500"/>
    <n v="1"/>
    <s v="U.bolt"/>
    <s v="UB-1/2B"/>
    <m/>
    <m/>
    <s v="SUS304"/>
    <n v="1"/>
    <m/>
    <n v="1"/>
    <n v="1"/>
    <s v="SET"/>
    <n v="1"/>
    <m/>
    <n v="1"/>
    <n v="1"/>
    <s v="螺絲類"/>
  </r>
  <r>
    <x v="501"/>
    <n v="1"/>
    <s v="U.bolt"/>
    <s v="UB-1B"/>
    <m/>
    <m/>
    <s v="SUS304"/>
    <n v="1"/>
    <m/>
    <n v="1"/>
    <n v="1"/>
    <s v="SET"/>
    <n v="1"/>
    <m/>
    <n v="1"/>
    <n v="1"/>
    <s v="螺絲類"/>
  </r>
  <r>
    <x v="502"/>
    <n v="1"/>
    <s v="U.bolt"/>
    <s v="UB-1B"/>
    <m/>
    <m/>
    <s v="SUS304"/>
    <n v="1"/>
    <m/>
    <n v="1"/>
    <n v="1"/>
    <s v="SET"/>
    <n v="1"/>
    <m/>
    <n v="1"/>
    <n v="1"/>
    <s v="螺絲類"/>
  </r>
  <r>
    <x v="503"/>
    <n v="1"/>
    <s v="U.bolt"/>
    <s v="UB-2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6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07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7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9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0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0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1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3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5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5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6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8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1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</r>
  <r>
    <x v="522"/>
    <s v="Error"/>
    <m/>
    <m/>
    <m/>
    <m/>
    <m/>
    <m/>
    <m/>
    <m/>
    <m/>
    <m/>
    <m/>
    <m/>
    <m/>
    <m/>
    <m/>
  </r>
  <r>
    <x v="522"/>
    <s v="Error"/>
    <m/>
    <m/>
    <m/>
    <m/>
    <m/>
    <m/>
    <m/>
    <m/>
    <m/>
    <m/>
    <m/>
    <m/>
    <m/>
    <m/>
    <m/>
  </r>
  <r>
    <x v="523"/>
    <s v="Error"/>
    <m/>
    <m/>
    <m/>
    <m/>
    <m/>
    <m/>
    <m/>
    <m/>
    <m/>
    <m/>
    <m/>
    <m/>
    <m/>
    <m/>
    <m/>
  </r>
  <r>
    <x v="523"/>
    <s v="Error"/>
    <m/>
    <m/>
    <m/>
    <m/>
    <m/>
    <m/>
    <m/>
    <m/>
    <m/>
    <m/>
    <m/>
    <m/>
    <m/>
    <m/>
    <m/>
  </r>
  <r>
    <x v="524"/>
    <s v="Error"/>
    <m/>
    <m/>
    <m/>
    <m/>
    <m/>
    <m/>
    <m/>
    <m/>
    <m/>
    <m/>
    <m/>
    <m/>
    <m/>
    <m/>
    <m/>
  </r>
  <r>
    <x v="525"/>
    <s v="Error"/>
    <m/>
    <m/>
    <m/>
    <m/>
    <m/>
    <m/>
    <m/>
    <m/>
    <m/>
    <m/>
    <m/>
    <m/>
    <m/>
    <m/>
    <m/>
  </r>
  <r>
    <x v="526"/>
    <s v="Error"/>
    <m/>
    <m/>
    <m/>
    <m/>
    <m/>
    <m/>
    <m/>
    <m/>
    <m/>
    <m/>
    <m/>
    <m/>
    <m/>
    <m/>
    <m/>
  </r>
  <r>
    <x v="527"/>
    <s v="Error"/>
    <m/>
    <m/>
    <m/>
    <m/>
    <m/>
    <m/>
    <m/>
    <m/>
    <m/>
    <m/>
    <m/>
    <m/>
    <m/>
    <m/>
    <m/>
  </r>
  <r>
    <x v="528"/>
    <s v="Error"/>
    <m/>
    <m/>
    <m/>
    <m/>
    <m/>
    <m/>
    <m/>
    <m/>
    <m/>
    <m/>
    <m/>
    <m/>
    <m/>
    <m/>
    <m/>
  </r>
  <r>
    <x v="529"/>
    <s v="Error"/>
    <m/>
    <m/>
    <m/>
    <m/>
    <m/>
    <m/>
    <m/>
    <m/>
    <m/>
    <m/>
    <m/>
    <m/>
    <m/>
    <m/>
    <m/>
  </r>
  <r>
    <x v="530"/>
    <s v="Error"/>
    <m/>
    <m/>
    <m/>
    <m/>
    <m/>
    <m/>
    <m/>
    <m/>
    <m/>
    <m/>
    <m/>
    <m/>
    <m/>
    <m/>
    <m/>
  </r>
  <r>
    <x v="531"/>
    <s v="Error"/>
    <m/>
    <m/>
    <m/>
    <m/>
    <m/>
    <m/>
    <m/>
    <m/>
    <m/>
    <m/>
    <m/>
    <m/>
    <m/>
    <m/>
    <m/>
  </r>
  <r>
    <x v="532"/>
    <s v="Error"/>
    <m/>
    <m/>
    <m/>
    <m/>
    <m/>
    <m/>
    <m/>
    <m/>
    <m/>
    <m/>
    <m/>
    <m/>
    <m/>
    <m/>
    <m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4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34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3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6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36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6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36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7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37"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538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38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8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38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9"/>
    <n v="1"/>
    <s v="H Beam"/>
    <s v="200*200*8"/>
    <n v="300"/>
    <m/>
    <s v="SUS304"/>
    <n v="1"/>
    <n v="49.9"/>
    <n v="14.969999999999999"/>
    <n v="14.969999999999999"/>
    <s v="M"/>
    <n v="1"/>
    <n v="0.3"/>
    <n v="1"/>
    <n v="14.969999999999999"/>
    <s v="素材類"/>
  </r>
  <r>
    <x v="539"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540"/>
    <n v="1"/>
    <s v="H Beam"/>
    <s v="200*200*8"/>
    <n v="350"/>
    <m/>
    <s v="SUS304"/>
    <n v="1"/>
    <n v="49.9"/>
    <n v="17.465"/>
    <n v="17.465"/>
    <s v="M"/>
    <n v="1"/>
    <n v="0.35"/>
    <n v="1"/>
    <n v="17.465"/>
    <s v="素材類"/>
  </r>
  <r>
    <x v="540"/>
    <n v="2"/>
    <s v="FB_52Type_3"/>
    <n v="9"/>
    <n v="168.25"/>
    <n v="400"/>
    <s v="A36/SS400"/>
    <n v="1"/>
    <m/>
    <n v="4.7547449999999998"/>
    <n v="4.7547449999999998"/>
    <s v="PC"/>
    <n v="1"/>
    <m/>
    <n v="1"/>
    <n v="4.7547449999999998"/>
    <s v="鋼板類"/>
  </r>
  <r>
    <x v="541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1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1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1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2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2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3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43"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544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4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5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45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6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46"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547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47"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548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8"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549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49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49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49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49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49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50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50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0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3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53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3"/>
    <n v="3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</r>
  <r>
    <x v="554"/>
    <n v="1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</r>
  <r>
    <x v="554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4"/>
    <n v="3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6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7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7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8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60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0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1"/>
    <n v="1"/>
    <s v="H Beam"/>
    <s v="200*100*5.5"/>
    <n v="100"/>
    <m/>
    <s v="SUS304"/>
    <n v="1"/>
    <n v="20.9"/>
    <n v="2.09"/>
    <n v="2.09"/>
    <s v="M"/>
    <n v="1"/>
    <n v="0.1"/>
    <n v="1"/>
    <n v="2.09"/>
    <s v="素材類"/>
  </r>
  <r>
    <x v="56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5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7"/>
    <n v="1"/>
    <s v="Pad_52Type"/>
    <n v="9"/>
    <n v="236.09068791727296"/>
    <n v="350"/>
    <s v="A36/SS400"/>
    <n v="1"/>
    <m/>
    <n v="5.8379324854743668"/>
    <n v="5.8379324854743668"/>
    <s v="PC"/>
    <n v="1"/>
    <m/>
    <n v="1"/>
    <n v="5.8379324854743668"/>
    <s v="鋼板類"/>
  </r>
  <r>
    <x v="5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8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8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9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0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71"/>
    <n v="1"/>
    <s v="H Beam"/>
    <s v="200*100*5.5"/>
    <n v="400"/>
    <m/>
    <s v="A36/SS400"/>
    <n v="1"/>
    <n v="20.9"/>
    <n v="8.36"/>
    <n v="8.36"/>
    <s v="M"/>
    <n v="1"/>
    <n v="0.4"/>
    <n v="1"/>
    <n v="8.3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3"/>
    <n v="1"/>
    <s v="Pad_52Type"/>
    <n v="9"/>
    <n v="320.9136895641974"/>
    <n v="350"/>
    <s v="A36/SS400"/>
    <n v="1"/>
    <m/>
    <n v="7.9353932586986904"/>
    <n v="7.9353932586986904"/>
    <s v="PC"/>
    <n v="1"/>
    <m/>
    <n v="1"/>
    <n v="7.9353932586986904"/>
    <s v="鋼板類"/>
  </r>
  <r>
    <x v="57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4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5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576"/>
    <n v="1"/>
    <s v="H Beam"/>
    <s v="200*100*5.5"/>
    <n v="350"/>
    <m/>
    <s v="AS"/>
    <n v="1"/>
    <n v="20.9"/>
    <n v="7.3149999999999986"/>
    <n v="7.3149999999999986"/>
    <s v="M"/>
    <n v="1"/>
    <n v="0.35"/>
    <n v="1"/>
    <n v="7.3149999999999986"/>
    <s v="素材類"/>
  </r>
  <r>
    <x v="577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78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9"/>
    <n v="1"/>
    <s v="H Beam"/>
    <s v="200*100*5.5"/>
    <n v="300"/>
    <m/>
    <s v="A36/SS400"/>
    <n v="1"/>
    <n v="20.9"/>
    <n v="6.27"/>
    <n v="6.27"/>
    <s v="M"/>
    <n v="1"/>
    <n v="0.3"/>
    <n v="1"/>
    <n v="6.27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1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2"/>
    <n v="1"/>
    <s v="Pad_52Type"/>
    <n v="9"/>
    <n v="400.71014296537811"/>
    <n v="350"/>
    <s v="A36/SS400"/>
    <n v="1"/>
    <m/>
    <n v="9.9085600601763861"/>
    <n v="9.9085600601763861"/>
    <s v="PC"/>
    <n v="1"/>
    <m/>
    <n v="1"/>
    <n v="9.9085600601763861"/>
    <s v="鋼板類"/>
  </r>
  <r>
    <x v="58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3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58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85"/>
    <n v="1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</r>
  <r>
    <x v="5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8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F89D8-7B82-4A09-B120-FE64F2C6D311}" name="樞紐分析表1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594" firstHeaderRow="1" firstDataRow="1" firstDataCol="1"/>
  <pivotFields count="17">
    <pivotField axis="axisRow" showAll="0">
      <items count="5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m="1" x="5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5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 t="grand">
      <x/>
    </i>
  </rowItems>
  <colItems count="1">
    <i/>
  </colItems>
  <dataFields count="1">
    <dataField name="加總 - 重量合計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313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309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321</v>
      </c>
    </row>
    <row r="4" spans="1:10" x14ac:dyDescent="0.3">
      <c r="A4" s="51" t="s">
        <v>310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322</v>
      </c>
    </row>
    <row r="5" spans="1:10" x14ac:dyDescent="0.3">
      <c r="A5" s="51" t="s">
        <v>311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322</v>
      </c>
    </row>
    <row r="6" spans="1:10" x14ac:dyDescent="0.3">
      <c r="A6" s="51" t="s">
        <v>312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322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323</v>
      </c>
      <c r="B1" s="52" t="s">
        <v>324</v>
      </c>
      <c r="C1" s="52" t="s">
        <v>314</v>
      </c>
      <c r="D1" s="52" t="s">
        <v>325</v>
      </c>
      <c r="E1" s="52" t="s">
        <v>315</v>
      </c>
      <c r="F1" s="52" t="s">
        <v>316</v>
      </c>
      <c r="G1" s="52" t="s">
        <v>317</v>
      </c>
      <c r="H1" s="52" t="s">
        <v>318</v>
      </c>
      <c r="I1" s="52" t="s">
        <v>319</v>
      </c>
      <c r="J1" s="52" t="s">
        <v>0</v>
      </c>
      <c r="K1" s="52" t="s">
        <v>326</v>
      </c>
      <c r="L1" s="52" t="s">
        <v>320</v>
      </c>
      <c r="M1" s="52" t="s">
        <v>327</v>
      </c>
    </row>
    <row r="2" spans="1:13" x14ac:dyDescent="0.3">
      <c r="A2" s="53" t="s">
        <v>328</v>
      </c>
      <c r="B2" s="53" t="s">
        <v>329</v>
      </c>
      <c r="C2" s="53" t="s">
        <v>330</v>
      </c>
      <c r="D2" s="53" t="s">
        <v>331</v>
      </c>
      <c r="E2" s="53" t="s">
        <v>332</v>
      </c>
      <c r="F2" s="53" t="s">
        <v>276</v>
      </c>
      <c r="G2" s="53" t="s">
        <v>276</v>
      </c>
      <c r="H2" s="53" t="s">
        <v>333</v>
      </c>
      <c r="I2" s="53" t="s">
        <v>65</v>
      </c>
      <c r="J2" s="53" t="s">
        <v>65</v>
      </c>
      <c r="K2" s="53" t="s">
        <v>334</v>
      </c>
      <c r="L2" s="53" t="s">
        <v>292</v>
      </c>
      <c r="M2" s="53" t="s">
        <v>335</v>
      </c>
    </row>
    <row r="3" spans="1:13" x14ac:dyDescent="0.3">
      <c r="A3" s="53" t="s">
        <v>336</v>
      </c>
      <c r="B3" s="53" t="s">
        <v>337</v>
      </c>
      <c r="C3" s="53" t="s">
        <v>338</v>
      </c>
      <c r="D3" s="53" t="s">
        <v>339</v>
      </c>
      <c r="E3" s="53" t="s">
        <v>278</v>
      </c>
      <c r="F3" s="53" t="s">
        <v>277</v>
      </c>
      <c r="G3" s="53" t="s">
        <v>276</v>
      </c>
      <c r="H3" s="53" t="s">
        <v>340</v>
      </c>
      <c r="I3" s="53" t="s">
        <v>65</v>
      </c>
      <c r="J3" s="53" t="s">
        <v>65</v>
      </c>
      <c r="K3" s="53" t="s">
        <v>275</v>
      </c>
      <c r="L3" s="53" t="s">
        <v>341</v>
      </c>
      <c r="M3" s="53" t="s">
        <v>335</v>
      </c>
    </row>
    <row r="4" spans="1:13" x14ac:dyDescent="0.3">
      <c r="A4" s="53" t="s">
        <v>342</v>
      </c>
      <c r="B4" s="53" t="s">
        <v>343</v>
      </c>
      <c r="C4" s="53" t="s">
        <v>338</v>
      </c>
      <c r="D4" s="53" t="s">
        <v>344</v>
      </c>
      <c r="E4" s="53" t="s">
        <v>345</v>
      </c>
      <c r="F4" s="53" t="s">
        <v>346</v>
      </c>
      <c r="G4" s="53" t="s">
        <v>276</v>
      </c>
      <c r="H4" s="53" t="s">
        <v>340</v>
      </c>
      <c r="I4" s="53" t="s">
        <v>65</v>
      </c>
      <c r="J4" s="53" t="s">
        <v>65</v>
      </c>
      <c r="K4" s="53" t="s">
        <v>275</v>
      </c>
      <c r="L4" s="53" t="s">
        <v>341</v>
      </c>
      <c r="M4" s="53" t="s">
        <v>335</v>
      </c>
    </row>
    <row r="5" spans="1:13" x14ac:dyDescent="0.3">
      <c r="A5" s="53" t="s">
        <v>347</v>
      </c>
      <c r="B5" s="53" t="s">
        <v>348</v>
      </c>
      <c r="C5" s="53" t="s">
        <v>349</v>
      </c>
      <c r="D5" s="53" t="s">
        <v>338</v>
      </c>
      <c r="E5" s="53" t="s">
        <v>331</v>
      </c>
      <c r="F5" s="53" t="s">
        <v>332</v>
      </c>
      <c r="G5" s="53" t="s">
        <v>276</v>
      </c>
      <c r="H5" s="53" t="s">
        <v>350</v>
      </c>
      <c r="I5" s="53" t="s">
        <v>65</v>
      </c>
      <c r="J5" s="53" t="s">
        <v>65</v>
      </c>
      <c r="K5" s="53" t="s">
        <v>275</v>
      </c>
      <c r="L5" s="53" t="s">
        <v>341</v>
      </c>
      <c r="M5" s="53" t="s">
        <v>10</v>
      </c>
    </row>
    <row r="6" spans="1:13" x14ac:dyDescent="0.3">
      <c r="A6" s="53" t="s">
        <v>351</v>
      </c>
      <c r="B6" s="53" t="s">
        <v>348</v>
      </c>
      <c r="C6" s="53" t="s">
        <v>349</v>
      </c>
      <c r="D6" s="53" t="s">
        <v>338</v>
      </c>
      <c r="E6" s="53" t="s">
        <v>331</v>
      </c>
      <c r="F6" s="53" t="s">
        <v>65</v>
      </c>
      <c r="G6" s="53" t="s">
        <v>276</v>
      </c>
      <c r="H6" s="53" t="s">
        <v>350</v>
      </c>
      <c r="I6" s="53" t="s">
        <v>308</v>
      </c>
      <c r="J6" s="53" t="s">
        <v>332</v>
      </c>
      <c r="K6" s="53" t="s">
        <v>334</v>
      </c>
      <c r="L6" s="53" t="s">
        <v>292</v>
      </c>
      <c r="M6" s="53" t="s">
        <v>10</v>
      </c>
    </row>
    <row r="7" spans="1:13" x14ac:dyDescent="0.3">
      <c r="A7" s="53" t="s">
        <v>352</v>
      </c>
      <c r="B7" s="53" t="s">
        <v>353</v>
      </c>
      <c r="C7" s="53" t="s">
        <v>349</v>
      </c>
      <c r="D7" s="53" t="s">
        <v>354</v>
      </c>
      <c r="E7" s="53" t="s">
        <v>355</v>
      </c>
      <c r="F7" s="53" t="s">
        <v>65</v>
      </c>
      <c r="G7" s="53" t="s">
        <v>276</v>
      </c>
      <c r="H7" s="53" t="s">
        <v>350</v>
      </c>
      <c r="I7" s="53" t="s">
        <v>277</v>
      </c>
      <c r="J7" s="53" t="s">
        <v>356</v>
      </c>
      <c r="K7" s="53" t="s">
        <v>275</v>
      </c>
      <c r="L7" s="53" t="s">
        <v>341</v>
      </c>
      <c r="M7" s="53" t="s">
        <v>10</v>
      </c>
    </row>
    <row r="8" spans="1:13" x14ac:dyDescent="0.3">
      <c r="A8" s="53" t="s">
        <v>357</v>
      </c>
      <c r="B8" s="53" t="s">
        <v>358</v>
      </c>
      <c r="C8" s="53" t="s">
        <v>359</v>
      </c>
      <c r="D8" s="53" t="s">
        <v>360</v>
      </c>
      <c r="E8" s="53" t="s">
        <v>330</v>
      </c>
      <c r="F8" s="53" t="s">
        <v>65</v>
      </c>
      <c r="G8" s="53" t="s">
        <v>276</v>
      </c>
      <c r="H8" s="53" t="s">
        <v>331</v>
      </c>
      <c r="I8" s="53" t="s">
        <v>346</v>
      </c>
      <c r="J8" s="53" t="s">
        <v>340</v>
      </c>
      <c r="K8" s="53" t="s">
        <v>275</v>
      </c>
      <c r="L8" s="53" t="s">
        <v>341</v>
      </c>
      <c r="M8" s="53" t="s">
        <v>11</v>
      </c>
    </row>
    <row r="9" spans="1:13" x14ac:dyDescent="0.3">
      <c r="A9" s="53" t="s">
        <v>361</v>
      </c>
      <c r="B9" s="53" t="s">
        <v>362</v>
      </c>
      <c r="C9" s="53" t="s">
        <v>363</v>
      </c>
      <c r="D9" s="53" t="s">
        <v>364</v>
      </c>
      <c r="E9" s="53" t="s">
        <v>354</v>
      </c>
      <c r="F9" s="53" t="s">
        <v>65</v>
      </c>
      <c r="G9" s="53" t="s">
        <v>277</v>
      </c>
      <c r="H9" s="53" t="s">
        <v>365</v>
      </c>
      <c r="I9" s="53" t="s">
        <v>366</v>
      </c>
      <c r="J9" s="53" t="s">
        <v>367</v>
      </c>
      <c r="K9" s="53" t="s">
        <v>275</v>
      </c>
      <c r="L9" s="53" t="s">
        <v>341</v>
      </c>
      <c r="M9" s="53" t="s">
        <v>11</v>
      </c>
    </row>
    <row r="10" spans="1:13" x14ac:dyDescent="0.3">
      <c r="A10" s="53" t="s">
        <v>368</v>
      </c>
      <c r="B10" s="53" t="s">
        <v>369</v>
      </c>
      <c r="C10" s="53" t="s">
        <v>360</v>
      </c>
      <c r="D10" s="53" t="s">
        <v>370</v>
      </c>
      <c r="E10" s="53" t="s">
        <v>371</v>
      </c>
      <c r="F10" s="53" t="s">
        <v>65</v>
      </c>
      <c r="G10" s="53" t="s">
        <v>277</v>
      </c>
      <c r="H10" s="53" t="s">
        <v>372</v>
      </c>
      <c r="I10" s="53" t="s">
        <v>332</v>
      </c>
      <c r="J10" s="53" t="s">
        <v>331</v>
      </c>
      <c r="K10" s="53" t="s">
        <v>275</v>
      </c>
      <c r="L10" s="53" t="s">
        <v>341</v>
      </c>
      <c r="M10" s="53" t="s">
        <v>11</v>
      </c>
    </row>
    <row r="11" spans="1:13" x14ac:dyDescent="0.3">
      <c r="A11" s="53" t="s">
        <v>373</v>
      </c>
      <c r="B11" s="53" t="s">
        <v>374</v>
      </c>
      <c r="C11" s="53" t="s">
        <v>375</v>
      </c>
      <c r="D11" s="53" t="s">
        <v>376</v>
      </c>
      <c r="E11" s="53" t="s">
        <v>375</v>
      </c>
      <c r="F11" s="53" t="s">
        <v>65</v>
      </c>
      <c r="G11" s="53" t="s">
        <v>346</v>
      </c>
      <c r="H11" s="53" t="s">
        <v>344</v>
      </c>
      <c r="I11" s="53" t="s">
        <v>333</v>
      </c>
      <c r="J11" s="53" t="s">
        <v>339</v>
      </c>
      <c r="K11" s="53" t="s">
        <v>308</v>
      </c>
      <c r="L11" s="53" t="s">
        <v>293</v>
      </c>
      <c r="M11" s="53" t="s">
        <v>307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zoomScale="85" zoomScaleNormal="85" workbookViewId="0">
      <selection activeCell="E28" sqref="E28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306</v>
      </c>
      <c r="S1" s="56"/>
      <c r="U1" s="57" t="s">
        <v>1004</v>
      </c>
      <c r="V1" s="56" t="s">
        <v>306</v>
      </c>
    </row>
    <row r="2" spans="1:25" x14ac:dyDescent="0.3">
      <c r="A2" s="56" t="s">
        <v>995</v>
      </c>
      <c r="S2" s="56"/>
      <c r="U2" s="57" t="s">
        <v>1005</v>
      </c>
      <c r="V2" s="56" t="s">
        <v>294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996</v>
      </c>
      <c r="S3" s="56"/>
      <c r="U3" s="57" t="s">
        <v>1006</v>
      </c>
      <c r="V3" s="56" t="s">
        <v>295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997</v>
      </c>
      <c r="E4" s="58"/>
      <c r="F4" s="66"/>
      <c r="G4" s="67"/>
      <c r="H4" s="67"/>
      <c r="S4" s="56"/>
      <c r="U4" s="57" t="s">
        <v>1007</v>
      </c>
      <c r="V4" s="56" t="s">
        <v>295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998</v>
      </c>
      <c r="S5" s="56"/>
      <c r="U5" s="57" t="s">
        <v>1008</v>
      </c>
      <c r="V5" s="56" t="s">
        <v>296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999</v>
      </c>
      <c r="S6" s="56"/>
      <c r="U6" s="57" t="s">
        <v>1009</v>
      </c>
      <c r="V6" s="56" t="s">
        <v>297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1000</v>
      </c>
      <c r="S7" s="56"/>
      <c r="U7" s="57" t="s">
        <v>307</v>
      </c>
      <c r="V7" s="56" t="s">
        <v>298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/>
      <c r="S8" s="56"/>
      <c r="U8" s="57" t="s">
        <v>1010</v>
      </c>
      <c r="V8" s="56" t="s">
        <v>299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/>
      <c r="F9" s="59">
        <v>45426.707233796296</v>
      </c>
      <c r="S9" s="56"/>
      <c r="U9" s="57" t="s">
        <v>1011</v>
      </c>
      <c r="V9" s="56" t="s">
        <v>300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/>
      <c r="S10" s="56"/>
      <c r="U10" s="57" t="s">
        <v>275</v>
      </c>
      <c r="V10" s="56" t="s">
        <v>301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/>
      <c r="S11" s="56"/>
      <c r="U11" s="57" t="s">
        <v>1012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/>
      <c r="S12" s="56"/>
      <c r="U12" s="57" t="s">
        <v>1013</v>
      </c>
      <c r="V12" s="56" t="s">
        <v>302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/>
      <c r="S13" s="56"/>
      <c r="U13" s="57" t="s">
        <v>308</v>
      </c>
      <c r="V13" s="56" t="s">
        <v>303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/>
      <c r="S14" s="56"/>
      <c r="U14" s="57" t="s">
        <v>1014</v>
      </c>
      <c r="V14" s="56" t="s">
        <v>304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/>
      <c r="S15" s="56"/>
      <c r="U15" s="57" t="s">
        <v>1015</v>
      </c>
      <c r="V15" s="56" t="s">
        <v>305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/>
      <c r="S16" s="56"/>
      <c r="U16" s="57" t="s">
        <v>276</v>
      </c>
      <c r="V16" s="56" t="s">
        <v>377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/>
      <c r="S17" s="56"/>
      <c r="U17" s="57" t="s">
        <v>1016</v>
      </c>
      <c r="V17" s="56" t="s">
        <v>378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/>
      <c r="S18" s="56"/>
      <c r="U18" s="57" t="s">
        <v>1017</v>
      </c>
      <c r="V18" s="56" t="s">
        <v>379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/>
      <c r="S19" s="56"/>
      <c r="U19" s="57" t="s">
        <v>277</v>
      </c>
      <c r="V19" s="56" t="s">
        <v>380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/>
      <c r="S20" s="56"/>
      <c r="U20" s="57" t="s">
        <v>1018</v>
      </c>
      <c r="V20" s="56" t="s">
        <v>381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/>
      <c r="S21" s="56"/>
      <c r="U21" s="57" t="s">
        <v>1019</v>
      </c>
      <c r="V21" s="56" t="s">
        <v>382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/>
      <c r="S22" s="56"/>
      <c r="U22" s="57" t="s">
        <v>1020</v>
      </c>
      <c r="V22" s="56" t="s">
        <v>383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/>
      <c r="U23" s="57" t="s">
        <v>1021</v>
      </c>
      <c r="V23" s="56" t="s">
        <v>384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/>
      <c r="U24" s="57" t="s">
        <v>1022</v>
      </c>
      <c r="V24" s="56" t="s">
        <v>384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/>
      <c r="U25" s="57" t="s">
        <v>1023</v>
      </c>
      <c r="V25" s="56" t="s">
        <v>385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/>
      <c r="U26" s="57" t="s">
        <v>1024</v>
      </c>
      <c r="V26" s="56" t="s">
        <v>386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/>
      <c r="U27" s="57" t="s">
        <v>1025</v>
      </c>
      <c r="V27" s="56" t="s">
        <v>387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/>
      <c r="U28" s="57" t="s">
        <v>1026</v>
      </c>
      <c r="V28" s="56" t="s">
        <v>387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/>
      <c r="U29" s="57" t="s">
        <v>1027</v>
      </c>
      <c r="V29" s="56" t="s">
        <v>388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/>
      <c r="U30" s="57" t="s">
        <v>1028</v>
      </c>
      <c r="V30" s="56" t="s">
        <v>389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/>
      <c r="U31" s="57" t="s">
        <v>1029</v>
      </c>
      <c r="V31" s="56" t="s">
        <v>389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/>
      <c r="U32" s="57" t="s">
        <v>1030</v>
      </c>
      <c r="V32" s="56" t="s">
        <v>389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/>
      <c r="U33" s="57" t="s">
        <v>1031</v>
      </c>
      <c r="V33" s="56" t="s">
        <v>390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/>
      <c r="U34" s="57" t="s">
        <v>1032</v>
      </c>
      <c r="V34" s="56" t="s">
        <v>391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/>
      <c r="U35" s="57" t="s">
        <v>1033</v>
      </c>
      <c r="V35" s="56" t="s">
        <v>392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/>
      <c r="V36" s="56" t="s">
        <v>392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/>
      <c r="V37" s="56" t="s">
        <v>393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/>
      <c r="V38" s="56" t="s">
        <v>393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/>
      <c r="V39" s="56" t="s">
        <v>393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/>
      <c r="V40" s="56" t="s">
        <v>394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/>
      <c r="V41" s="56" t="s">
        <v>395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/>
      <c r="V42" s="56" t="s">
        <v>396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/>
      <c r="V43" s="56" t="s">
        <v>396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/>
      <c r="V44" s="56" t="s">
        <v>397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/>
      <c r="V45" s="56" t="s">
        <v>398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/>
      <c r="V46" s="56" t="s">
        <v>398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/>
      <c r="V47" s="56" t="s">
        <v>399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/>
      <c r="V48" s="56" t="s">
        <v>399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/>
      <c r="V49" s="56" t="s">
        <v>400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/>
      <c r="V50" s="56" t="s">
        <v>401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/>
      <c r="V51" s="56" t="s">
        <v>402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/>
      <c r="V52" s="56" t="s">
        <v>403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/>
      <c r="V53" s="56" t="s">
        <v>404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/>
      <c r="V54" s="56" t="s">
        <v>405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/>
      <c r="V55" s="56" t="s">
        <v>406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/>
      <c r="V56" s="56" t="s">
        <v>407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/>
      <c r="V57" s="56" t="s">
        <v>408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/>
      <c r="V58" s="56" t="s">
        <v>409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/>
      <c r="V59" s="56" t="s">
        <v>410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/>
      <c r="V60" s="56" t="s">
        <v>411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/>
      <c r="V61" s="56" t="s">
        <v>412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/>
      <c r="V62" s="56" t="s">
        <v>413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/>
      <c r="V63" s="56" t="s">
        <v>414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/>
      <c r="V64" s="56" t="s">
        <v>415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/>
      <c r="V65" s="56" t="s">
        <v>416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/>
      <c r="V66" s="56" t="s">
        <v>417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/>
      <c r="V67" s="56" t="s">
        <v>418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/>
      <c r="V68" s="56" t="s">
        <v>419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/>
      <c r="V69" s="56" t="s">
        <v>420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/>
      <c r="V70" s="56" t="s">
        <v>420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421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422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423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424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425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426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427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428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429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430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431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432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432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432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433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434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435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436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437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438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439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440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441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442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443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444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445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446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447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448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448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449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450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451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452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453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453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454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455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456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457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458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459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460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460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461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462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463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464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465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466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466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466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466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467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467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467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467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467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467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467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468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469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469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470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470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470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471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472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472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473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474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475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475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475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476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477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478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479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480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481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482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482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482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483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484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484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484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485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485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486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486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487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488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489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489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490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491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491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492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493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494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495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496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496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497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498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498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498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499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499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500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501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502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503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504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504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504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505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505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506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506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507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507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507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508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509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510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510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511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511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512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513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513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514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515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516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516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517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518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519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520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520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520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520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521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521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521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521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522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522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523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523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523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524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524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525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526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527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527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527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528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529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529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530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531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531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532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532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533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534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535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535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536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537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537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538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539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539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540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540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541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541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541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541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541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542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542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543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544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544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544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545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546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546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547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548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549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550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551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552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553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553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554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555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556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557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557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558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558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558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559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559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559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559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560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561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561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561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561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562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562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562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563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564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564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564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565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565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565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565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566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567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567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568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568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569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570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571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572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573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574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575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576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577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578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579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580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581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582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583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583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584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585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586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587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588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589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590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591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592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593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594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595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596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596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597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598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599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600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601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602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603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604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605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606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607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608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609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610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611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612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612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613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614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614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615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616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617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618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619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620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621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622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623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624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625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625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626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627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628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629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630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631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632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633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634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635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636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637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637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638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638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638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638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639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640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641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642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643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644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645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646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646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647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647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648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648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649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650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651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652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653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654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655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656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657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657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658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659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660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661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662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663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663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664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665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666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667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668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669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670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671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672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673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674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675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676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677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678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679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680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681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682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683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684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685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686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687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688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689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690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691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692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693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694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695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696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697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698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698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699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700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701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702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703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704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704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704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705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706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707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708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709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710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711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712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713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714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715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716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717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717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718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718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718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718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718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718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718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719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719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720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720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721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722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722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722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722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723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724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724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724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725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725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726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727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728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728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728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729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729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729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730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731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732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732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733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734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734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735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736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736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737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737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737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738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739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739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740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741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741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742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742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742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742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743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743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743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743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743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743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744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744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744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744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744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744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744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744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744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744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745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745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745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745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746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746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747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747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747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747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747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747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748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748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748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748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749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749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749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749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749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749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749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749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749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749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749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749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749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750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750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750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750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750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751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751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751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751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751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751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751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751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751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751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752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752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752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752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752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752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753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754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755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756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757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758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759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760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761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762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763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764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765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766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767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768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769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770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771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772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773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774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775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776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777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778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778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779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780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781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781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781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781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781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781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781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781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782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782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783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784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785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785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785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786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787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788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789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790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791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792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792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793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794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795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796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797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797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797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797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797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797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797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797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797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797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798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799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800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801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802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802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802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802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803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803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803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803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804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805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805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805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805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805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805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805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805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805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805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805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805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806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807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807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807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808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809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810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810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810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810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810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810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810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810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810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810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811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811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812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813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814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815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816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816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816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816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816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816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816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816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816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816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816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816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816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816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817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818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818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818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819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820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821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821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821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821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821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821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821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821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821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821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821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821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821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821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822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823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823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824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825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826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827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827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827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827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827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827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827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827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827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827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827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827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828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828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828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829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830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831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831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831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831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831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831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831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832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833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834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835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835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836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837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838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839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840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841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842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843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843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843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843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843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843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844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845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846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847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847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847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848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849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849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849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849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849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849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850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850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850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850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850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850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851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851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851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851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851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851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852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853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854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855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855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855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855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855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856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857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858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859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860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861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861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862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863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863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863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864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865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866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867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868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868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868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868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869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869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869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869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870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871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871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872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872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872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872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872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872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872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872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872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873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874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874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875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876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876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876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876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876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876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876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876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877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878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878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878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878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878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878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878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878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878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879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879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880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881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881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881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881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881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882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883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883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883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883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883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883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883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884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884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884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884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884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884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885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886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886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887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887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888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889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890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891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892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893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894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895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896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897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897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897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897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897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898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898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899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899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900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900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901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902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902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903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904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905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905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906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907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908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909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910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911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912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913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913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914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915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915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915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915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915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915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915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915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915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915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915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916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916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916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917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918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919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919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919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919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919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919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919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919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919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920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921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921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922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923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923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923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923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923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923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923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923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923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924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924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925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926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927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927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927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927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927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927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927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927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927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927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927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928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928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928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929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930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930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930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930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930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930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930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930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930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930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930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930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930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931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932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932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933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934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935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936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936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936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936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936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936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936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936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936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936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936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937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938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939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940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941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942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943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944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944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944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944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944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944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944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944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944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944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944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945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946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947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948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949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950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951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952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953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954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955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956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957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958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959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960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960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961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962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963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964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965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966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967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967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968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969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970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971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972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972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973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974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975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976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977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978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979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980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981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982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983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984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984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984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984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985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985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985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986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987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987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988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989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989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990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991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991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991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992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993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994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994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995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996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997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998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999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1000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1001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1002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1003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67"/>
  <sheetViews>
    <sheetView zoomScaleNormal="100" workbookViewId="0">
      <pane xSplit="1" topLeftCell="B1" activePane="topRight" state="frozen"/>
      <selection pane="topRight" activeCell="G17" sqref="G17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8.77734375" style="29" bestFit="1" customWidth="1"/>
    <col min="5" max="6" width="7.5546875" style="29" customWidth="1"/>
    <col min="7" max="7" width="19.5546875" style="29" bestFit="1" customWidth="1"/>
    <col min="8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995</v>
      </c>
      <c r="B2" s="29">
        <v>1</v>
      </c>
      <c r="C2" s="29" t="s">
        <v>1035</v>
      </c>
      <c r="D2" s="30" t="s">
        <v>1056</v>
      </c>
      <c r="E2" s="29">
        <v>700</v>
      </c>
      <c r="G2" s="29" t="s">
        <v>1039</v>
      </c>
      <c r="H2" s="29">
        <v>1</v>
      </c>
      <c r="I2" s="29">
        <v>16.079999999999998</v>
      </c>
      <c r="J2" s="29">
        <v>11.255999999999998</v>
      </c>
      <c r="K2" s="29">
        <v>11.255999999999998</v>
      </c>
      <c r="L2" s="29" t="s">
        <v>1037</v>
      </c>
      <c r="M2" s="29">
        <v>1</v>
      </c>
      <c r="N2" s="29">
        <v>0.7</v>
      </c>
      <c r="P2" s="29">
        <v>11.255999999999998</v>
      </c>
      <c r="Q2" s="29" t="s">
        <v>1038</v>
      </c>
    </row>
    <row r="3" spans="1:17" x14ac:dyDescent="0.3">
      <c r="B3" s="29">
        <v>2</v>
      </c>
      <c r="C3" s="29" t="s">
        <v>1046</v>
      </c>
      <c r="D3" s="30">
        <v>9</v>
      </c>
      <c r="E3" s="29">
        <v>260</v>
      </c>
      <c r="F3" s="29">
        <v>260</v>
      </c>
      <c r="G3" s="29" t="s">
        <v>1040</v>
      </c>
      <c r="H3" s="29">
        <v>1</v>
      </c>
      <c r="J3" s="29">
        <v>4.7759399999999994</v>
      </c>
      <c r="K3" s="29">
        <v>4.7759399999999994</v>
      </c>
      <c r="L3" s="29" t="s">
        <v>1041</v>
      </c>
      <c r="M3" s="29">
        <v>1</v>
      </c>
      <c r="O3" s="29">
        <v>1</v>
      </c>
      <c r="P3" s="29">
        <v>4.7759399999999994</v>
      </c>
      <c r="Q3" s="29" t="s">
        <v>1042</v>
      </c>
    </row>
    <row r="4" spans="1:17" x14ac:dyDescent="0.3">
      <c r="B4" s="29">
        <v>3</v>
      </c>
      <c r="C4" s="45" t="s">
        <v>1043</v>
      </c>
      <c r="D4" s="30" t="s">
        <v>292</v>
      </c>
      <c r="G4" s="29" t="s">
        <v>1036</v>
      </c>
      <c r="H4" s="29">
        <v>4</v>
      </c>
      <c r="J4" s="29">
        <v>1</v>
      </c>
      <c r="K4" s="29">
        <v>4</v>
      </c>
      <c r="L4" s="29" t="s">
        <v>1044</v>
      </c>
      <c r="M4" s="29">
        <v>1</v>
      </c>
      <c r="O4" s="29">
        <v>4</v>
      </c>
      <c r="P4" s="29">
        <v>4</v>
      </c>
      <c r="Q4" s="29" t="s">
        <v>1045</v>
      </c>
    </row>
    <row r="5" spans="1:17" x14ac:dyDescent="0.3">
      <c r="B5" s="29">
        <v>4</v>
      </c>
      <c r="C5" s="29" t="s">
        <v>1057</v>
      </c>
      <c r="D5" s="30">
        <v>9</v>
      </c>
      <c r="E5" s="29">
        <v>290</v>
      </c>
      <c r="F5" s="29">
        <v>290</v>
      </c>
      <c r="G5" s="29" t="s">
        <v>1040</v>
      </c>
      <c r="H5" s="29">
        <v>1</v>
      </c>
      <c r="J5" s="29">
        <v>5.9416649999999995</v>
      </c>
      <c r="K5" s="29">
        <v>5.9416649999999995</v>
      </c>
      <c r="L5" s="29" t="s">
        <v>1041</v>
      </c>
      <c r="M5" s="29">
        <v>1</v>
      </c>
      <c r="O5" s="29">
        <v>1</v>
      </c>
      <c r="P5" s="29">
        <v>5.9416649999999995</v>
      </c>
      <c r="Q5" s="29" t="s">
        <v>1042</v>
      </c>
    </row>
    <row r="6" spans="1:17" x14ac:dyDescent="0.3">
      <c r="B6" s="29">
        <v>5</v>
      </c>
      <c r="C6" s="29" t="s">
        <v>1059</v>
      </c>
      <c r="D6" s="30">
        <v>9</v>
      </c>
      <c r="E6" s="29">
        <v>150</v>
      </c>
      <c r="F6" s="29">
        <v>150</v>
      </c>
      <c r="G6" s="29" t="s">
        <v>1040</v>
      </c>
      <c r="H6" s="29">
        <v>1</v>
      </c>
      <c r="J6" s="29">
        <v>1.5896249999999998</v>
      </c>
      <c r="K6" s="29">
        <v>1.5896249999999998</v>
      </c>
      <c r="L6" s="29" t="s">
        <v>1041</v>
      </c>
      <c r="M6" s="29">
        <v>1</v>
      </c>
      <c r="O6" s="29">
        <v>1</v>
      </c>
      <c r="P6" s="29">
        <v>1.5896249999999998</v>
      </c>
      <c r="Q6" s="29" t="s">
        <v>1042</v>
      </c>
    </row>
    <row r="7" spans="1:17" x14ac:dyDescent="0.3">
      <c r="B7" s="29">
        <v>6</v>
      </c>
      <c r="C7" s="29" t="s">
        <v>1047</v>
      </c>
      <c r="D7" s="30" t="s">
        <v>1060</v>
      </c>
      <c r="G7" s="29" t="s">
        <v>1048</v>
      </c>
      <c r="H7" s="29">
        <v>1</v>
      </c>
      <c r="J7" s="29">
        <v>20</v>
      </c>
      <c r="K7" s="29">
        <v>20</v>
      </c>
      <c r="L7" s="29" t="s">
        <v>1044</v>
      </c>
      <c r="M7" s="29">
        <v>1</v>
      </c>
      <c r="O7" s="29">
        <v>1</v>
      </c>
      <c r="P7" s="29">
        <v>20</v>
      </c>
      <c r="Q7" s="29" t="s">
        <v>1045</v>
      </c>
    </row>
    <row r="8" spans="1:17" x14ac:dyDescent="0.3">
      <c r="B8" s="29">
        <v>7</v>
      </c>
      <c r="C8" s="29" t="s">
        <v>1061</v>
      </c>
      <c r="D8" s="30" t="s">
        <v>1062</v>
      </c>
      <c r="G8" s="29" t="s">
        <v>1063</v>
      </c>
      <c r="H8" s="29">
        <v>1</v>
      </c>
      <c r="J8" s="29">
        <v>5</v>
      </c>
      <c r="K8" s="29">
        <v>5</v>
      </c>
      <c r="L8" s="29" t="s">
        <v>1044</v>
      </c>
      <c r="M8" s="29">
        <v>1</v>
      </c>
      <c r="O8" s="29">
        <v>1</v>
      </c>
      <c r="P8" s="29">
        <v>5</v>
      </c>
      <c r="Q8" s="29" t="s">
        <v>1045</v>
      </c>
    </row>
    <row r="9" spans="1:17" x14ac:dyDescent="0.3">
      <c r="B9" s="29">
        <v>8</v>
      </c>
      <c r="C9" s="29" t="s">
        <v>1064</v>
      </c>
      <c r="D9" s="30" t="s">
        <v>1062</v>
      </c>
      <c r="G9" s="29" t="s">
        <v>1063</v>
      </c>
      <c r="H9" s="29">
        <v>1</v>
      </c>
      <c r="J9" s="29">
        <v>5</v>
      </c>
      <c r="K9" s="29">
        <v>5</v>
      </c>
      <c r="L9" s="29" t="s">
        <v>1044</v>
      </c>
      <c r="M9" s="29">
        <v>1</v>
      </c>
      <c r="O9" s="29">
        <v>1</v>
      </c>
      <c r="P9" s="29">
        <v>5</v>
      </c>
      <c r="Q9" s="29" t="s">
        <v>1045</v>
      </c>
    </row>
    <row r="10" spans="1:17" x14ac:dyDescent="0.3">
      <c r="A10" s="29" t="s">
        <v>996</v>
      </c>
      <c r="B10" s="29">
        <v>1</v>
      </c>
      <c r="C10" s="29" t="s">
        <v>1035</v>
      </c>
      <c r="D10" s="30" t="s">
        <v>1058</v>
      </c>
      <c r="E10" s="29">
        <v>600</v>
      </c>
      <c r="G10" s="29" t="s">
        <v>1039</v>
      </c>
      <c r="H10" s="29">
        <v>1</v>
      </c>
      <c r="I10" s="29">
        <v>11.29</v>
      </c>
      <c r="J10" s="29">
        <v>6.7739999999999991</v>
      </c>
      <c r="K10" s="29">
        <v>6.7739999999999991</v>
      </c>
      <c r="L10" s="29" t="s">
        <v>1037</v>
      </c>
      <c r="M10" s="29">
        <v>1</v>
      </c>
      <c r="N10" s="29">
        <v>0.6</v>
      </c>
      <c r="P10" s="29">
        <v>6.7739999999999991</v>
      </c>
      <c r="Q10" s="29" t="s">
        <v>1038</v>
      </c>
    </row>
    <row r="11" spans="1:17" x14ac:dyDescent="0.3">
      <c r="B11" s="29">
        <v>2</v>
      </c>
      <c r="C11" s="29" t="s">
        <v>1046</v>
      </c>
      <c r="D11" s="30">
        <v>9</v>
      </c>
      <c r="E11" s="29">
        <v>180</v>
      </c>
      <c r="F11" s="29">
        <v>180</v>
      </c>
      <c r="G11" s="29" t="s">
        <v>1040</v>
      </c>
      <c r="H11" s="29">
        <v>1</v>
      </c>
      <c r="J11" s="29">
        <v>2.2890600000000001</v>
      </c>
      <c r="K11" s="29">
        <v>2.2890600000000001</v>
      </c>
      <c r="L11" s="29" t="s">
        <v>1041</v>
      </c>
      <c r="M11" s="29">
        <v>1</v>
      </c>
      <c r="O11" s="29">
        <v>1</v>
      </c>
      <c r="P11" s="29">
        <v>2.2890600000000001</v>
      </c>
      <c r="Q11" s="29" t="s">
        <v>1042</v>
      </c>
    </row>
    <row r="12" spans="1:17" x14ac:dyDescent="0.3">
      <c r="B12" s="29">
        <v>3</v>
      </c>
      <c r="C12" s="45" t="s">
        <v>1043</v>
      </c>
      <c r="D12" s="30" t="s">
        <v>292</v>
      </c>
      <c r="G12" s="29" t="s">
        <v>1036</v>
      </c>
      <c r="H12" s="29">
        <v>4</v>
      </c>
      <c r="J12" s="29">
        <v>1</v>
      </c>
      <c r="K12" s="29">
        <v>4</v>
      </c>
      <c r="L12" s="29" t="s">
        <v>1044</v>
      </c>
      <c r="M12" s="29">
        <v>1</v>
      </c>
      <c r="O12" s="29">
        <v>4</v>
      </c>
      <c r="P12" s="29">
        <v>4</v>
      </c>
      <c r="Q12" s="29" t="s">
        <v>1045</v>
      </c>
    </row>
    <row r="13" spans="1:17" x14ac:dyDescent="0.3">
      <c r="B13" s="29">
        <v>4</v>
      </c>
      <c r="C13" s="29" t="s">
        <v>1057</v>
      </c>
      <c r="D13" s="30">
        <v>9</v>
      </c>
      <c r="E13" s="29">
        <v>210</v>
      </c>
      <c r="F13" s="29">
        <v>210</v>
      </c>
      <c r="G13" s="29" t="s">
        <v>1040</v>
      </c>
      <c r="H13" s="29">
        <v>1</v>
      </c>
      <c r="J13" s="29">
        <v>3.1156649999999999</v>
      </c>
      <c r="K13" s="29">
        <v>3.1156649999999999</v>
      </c>
      <c r="L13" s="29" t="s">
        <v>1041</v>
      </c>
      <c r="M13" s="29">
        <v>1</v>
      </c>
      <c r="O13" s="29">
        <v>1</v>
      </c>
      <c r="P13" s="29">
        <v>3.1156649999999999</v>
      </c>
      <c r="Q13" s="29" t="s">
        <v>1042</v>
      </c>
    </row>
    <row r="14" spans="1:17" x14ac:dyDescent="0.3">
      <c r="B14" s="29">
        <v>5</v>
      </c>
      <c r="C14" s="29" t="s">
        <v>1059</v>
      </c>
      <c r="D14" s="30">
        <v>9</v>
      </c>
      <c r="E14" s="29">
        <v>120</v>
      </c>
      <c r="F14" s="29">
        <v>120</v>
      </c>
      <c r="G14" s="29" t="s">
        <v>1040</v>
      </c>
      <c r="H14" s="29">
        <v>1</v>
      </c>
      <c r="J14" s="29">
        <v>1.01736</v>
      </c>
      <c r="K14" s="29">
        <v>1.01736</v>
      </c>
      <c r="L14" s="29" t="s">
        <v>1041</v>
      </c>
      <c r="M14" s="29">
        <v>1</v>
      </c>
      <c r="O14" s="29">
        <v>1</v>
      </c>
      <c r="P14" s="29">
        <v>1.01736</v>
      </c>
      <c r="Q14" s="29" t="s">
        <v>1042</v>
      </c>
    </row>
    <row r="15" spans="1:17" x14ac:dyDescent="0.3">
      <c r="B15" s="29">
        <v>6</v>
      </c>
      <c r="C15" s="29" t="s">
        <v>1047</v>
      </c>
      <c r="D15" s="30" t="s">
        <v>1065</v>
      </c>
      <c r="G15" s="29" t="s">
        <v>1048</v>
      </c>
      <c r="H15" s="29">
        <v>1</v>
      </c>
      <c r="J15" s="29">
        <v>20</v>
      </c>
      <c r="K15" s="29">
        <v>20</v>
      </c>
      <c r="L15" s="29" t="s">
        <v>1044</v>
      </c>
      <c r="M15" s="29">
        <v>1</v>
      </c>
      <c r="O15" s="29">
        <v>1</v>
      </c>
      <c r="P15" s="29">
        <v>20</v>
      </c>
      <c r="Q15" s="29" t="s">
        <v>1045</v>
      </c>
    </row>
    <row r="16" spans="1:17" x14ac:dyDescent="0.3">
      <c r="B16" s="29">
        <v>7</v>
      </c>
      <c r="C16" s="29" t="s">
        <v>1061</v>
      </c>
      <c r="D16" s="30" t="s">
        <v>1066</v>
      </c>
      <c r="G16" s="29" t="s">
        <v>1063</v>
      </c>
      <c r="H16" s="29">
        <v>1</v>
      </c>
      <c r="J16" s="29">
        <v>5</v>
      </c>
      <c r="K16" s="29">
        <v>5</v>
      </c>
      <c r="L16" s="29" t="s">
        <v>1044</v>
      </c>
      <c r="M16" s="29">
        <v>1</v>
      </c>
      <c r="O16" s="29">
        <v>1</v>
      </c>
      <c r="P16" s="29">
        <v>5</v>
      </c>
      <c r="Q16" s="29" t="s">
        <v>1045</v>
      </c>
    </row>
    <row r="17" spans="1:17" x14ac:dyDescent="0.3">
      <c r="B17" s="29">
        <v>8</v>
      </c>
      <c r="C17" s="29" t="s">
        <v>1064</v>
      </c>
      <c r="D17" s="30" t="s">
        <v>1066</v>
      </c>
      <c r="G17" s="29" t="s">
        <v>1063</v>
      </c>
      <c r="H17" s="29">
        <v>1</v>
      </c>
      <c r="J17" s="29">
        <v>5</v>
      </c>
      <c r="K17" s="29">
        <v>5</v>
      </c>
      <c r="L17" s="29" t="s">
        <v>1044</v>
      </c>
      <c r="M17" s="29">
        <v>1</v>
      </c>
      <c r="O17" s="29">
        <v>1</v>
      </c>
      <c r="P17" s="29">
        <v>5</v>
      </c>
      <c r="Q17" s="29" t="s">
        <v>1045</v>
      </c>
    </row>
    <row r="18" spans="1:17" x14ac:dyDescent="0.3">
      <c r="A18" s="29" t="s">
        <v>997</v>
      </c>
      <c r="B18" s="29">
        <v>1</v>
      </c>
      <c r="C18" s="45" t="s">
        <v>1035</v>
      </c>
      <c r="D18" s="30" t="s">
        <v>1058</v>
      </c>
      <c r="E18" s="29">
        <v>700</v>
      </c>
      <c r="G18" s="29" t="s">
        <v>1039</v>
      </c>
      <c r="H18" s="29">
        <v>1</v>
      </c>
      <c r="I18" s="29">
        <v>11.29</v>
      </c>
      <c r="J18" s="29">
        <v>7.9029999999999987</v>
      </c>
      <c r="K18" s="29">
        <v>7.9029999999999987</v>
      </c>
      <c r="L18" s="29" t="s">
        <v>1037</v>
      </c>
      <c r="M18" s="29">
        <v>1</v>
      </c>
      <c r="N18" s="29">
        <v>0.7</v>
      </c>
      <c r="P18" s="29">
        <v>7.9029999999999987</v>
      </c>
      <c r="Q18" s="29" t="s">
        <v>1038</v>
      </c>
    </row>
    <row r="19" spans="1:17" x14ac:dyDescent="0.3">
      <c r="B19" s="29">
        <v>2</v>
      </c>
      <c r="C19" s="29" t="s">
        <v>1046</v>
      </c>
      <c r="D19" s="30">
        <v>9</v>
      </c>
      <c r="E19" s="29">
        <v>180</v>
      </c>
      <c r="F19" s="29">
        <v>180</v>
      </c>
      <c r="G19" s="29" t="s">
        <v>1040</v>
      </c>
      <c r="H19" s="29">
        <v>1</v>
      </c>
      <c r="J19" s="29">
        <v>2.2890600000000001</v>
      </c>
      <c r="K19" s="29">
        <v>2.2890600000000001</v>
      </c>
      <c r="L19" s="29" t="s">
        <v>1041</v>
      </c>
      <c r="M19" s="29">
        <v>1</v>
      </c>
      <c r="O19" s="29">
        <v>1</v>
      </c>
      <c r="P19" s="29">
        <v>2.2890600000000001</v>
      </c>
      <c r="Q19" s="29" t="s">
        <v>1042</v>
      </c>
    </row>
    <row r="20" spans="1:17" x14ac:dyDescent="0.3">
      <c r="B20" s="29">
        <v>3</v>
      </c>
      <c r="C20" s="29" t="s">
        <v>1043</v>
      </c>
      <c r="D20" s="30" t="s">
        <v>292</v>
      </c>
      <c r="G20" s="29" t="s">
        <v>1036</v>
      </c>
      <c r="H20" s="29">
        <v>4</v>
      </c>
      <c r="J20" s="29">
        <v>1</v>
      </c>
      <c r="K20" s="29">
        <v>4</v>
      </c>
      <c r="L20" s="29" t="s">
        <v>1044</v>
      </c>
      <c r="M20" s="29">
        <v>1</v>
      </c>
      <c r="O20" s="29">
        <v>4</v>
      </c>
      <c r="P20" s="29">
        <v>4</v>
      </c>
      <c r="Q20" s="29" t="s">
        <v>1045</v>
      </c>
    </row>
    <row r="21" spans="1:17" x14ac:dyDescent="0.3">
      <c r="B21" s="29">
        <v>4</v>
      </c>
      <c r="C21" s="29" t="s">
        <v>1057</v>
      </c>
      <c r="D21" s="30">
        <v>9</v>
      </c>
      <c r="E21" s="29">
        <v>210</v>
      </c>
      <c r="F21" s="29">
        <v>210</v>
      </c>
      <c r="G21" s="29" t="s">
        <v>1040</v>
      </c>
      <c r="H21" s="29">
        <v>1</v>
      </c>
      <c r="J21" s="29">
        <v>3.1156649999999999</v>
      </c>
      <c r="K21" s="29">
        <v>3.1156649999999999</v>
      </c>
      <c r="L21" s="29" t="s">
        <v>1041</v>
      </c>
      <c r="M21" s="29">
        <v>1</v>
      </c>
      <c r="O21" s="29">
        <v>1</v>
      </c>
      <c r="P21" s="29">
        <v>3.1156649999999999</v>
      </c>
      <c r="Q21" s="29" t="s">
        <v>1042</v>
      </c>
    </row>
    <row r="22" spans="1:17" x14ac:dyDescent="0.3">
      <c r="B22" s="29">
        <v>5</v>
      </c>
      <c r="C22" s="29" t="s">
        <v>1059</v>
      </c>
      <c r="D22" s="30">
        <v>9</v>
      </c>
      <c r="E22" s="29">
        <v>120</v>
      </c>
      <c r="F22" s="29">
        <v>120</v>
      </c>
      <c r="G22" s="29" t="s">
        <v>1040</v>
      </c>
      <c r="H22" s="29">
        <v>1</v>
      </c>
      <c r="J22" s="29">
        <v>1.01736</v>
      </c>
      <c r="K22" s="29">
        <v>1.01736</v>
      </c>
      <c r="L22" s="29" t="s">
        <v>1041</v>
      </c>
      <c r="M22" s="29">
        <v>1</v>
      </c>
      <c r="O22" s="29">
        <v>1</v>
      </c>
      <c r="P22" s="29">
        <v>1.01736</v>
      </c>
      <c r="Q22" s="29" t="s">
        <v>1042</v>
      </c>
    </row>
    <row r="23" spans="1:17" x14ac:dyDescent="0.3">
      <c r="B23" s="29">
        <v>6</v>
      </c>
      <c r="C23" s="29" t="s">
        <v>1047</v>
      </c>
      <c r="D23" s="30" t="s">
        <v>1065</v>
      </c>
      <c r="G23" s="29" t="s">
        <v>1048</v>
      </c>
      <c r="H23" s="29">
        <v>1</v>
      </c>
      <c r="J23" s="29">
        <v>20</v>
      </c>
      <c r="K23" s="29">
        <v>20</v>
      </c>
      <c r="L23" s="29" t="s">
        <v>1044</v>
      </c>
      <c r="M23" s="29">
        <v>1</v>
      </c>
      <c r="O23" s="29">
        <v>1</v>
      </c>
      <c r="P23" s="29">
        <v>20</v>
      </c>
      <c r="Q23" s="29" t="s">
        <v>1045</v>
      </c>
    </row>
    <row r="24" spans="1:17" x14ac:dyDescent="0.3">
      <c r="B24" s="29">
        <v>7</v>
      </c>
      <c r="C24" s="45" t="s">
        <v>1061</v>
      </c>
      <c r="D24" s="30" t="s">
        <v>1066</v>
      </c>
      <c r="G24" s="29" t="s">
        <v>1063</v>
      </c>
      <c r="H24" s="29">
        <v>1</v>
      </c>
      <c r="J24" s="29">
        <v>5</v>
      </c>
      <c r="K24" s="29">
        <v>5</v>
      </c>
      <c r="L24" s="29" t="s">
        <v>1044</v>
      </c>
      <c r="M24" s="29">
        <v>1</v>
      </c>
      <c r="O24" s="29">
        <v>1</v>
      </c>
      <c r="P24" s="29">
        <v>5</v>
      </c>
      <c r="Q24" s="29" t="s">
        <v>1045</v>
      </c>
    </row>
    <row r="25" spans="1:17" x14ac:dyDescent="0.3">
      <c r="B25" s="29">
        <v>8</v>
      </c>
      <c r="C25" s="29" t="s">
        <v>1064</v>
      </c>
      <c r="D25" s="30" t="s">
        <v>1066</v>
      </c>
      <c r="G25" s="29" t="s">
        <v>1063</v>
      </c>
      <c r="H25" s="29">
        <v>1</v>
      </c>
      <c r="J25" s="29">
        <v>5</v>
      </c>
      <c r="K25" s="29">
        <v>5</v>
      </c>
      <c r="L25" s="29" t="s">
        <v>1044</v>
      </c>
      <c r="M25" s="29">
        <v>1</v>
      </c>
      <c r="O25" s="29">
        <v>1</v>
      </c>
      <c r="P25" s="29">
        <v>5</v>
      </c>
      <c r="Q25" s="29" t="s">
        <v>1045</v>
      </c>
    </row>
    <row r="26" spans="1:17" x14ac:dyDescent="0.3">
      <c r="A26" s="29" t="s">
        <v>998</v>
      </c>
      <c r="B26" s="29">
        <v>1</v>
      </c>
      <c r="C26" s="29" t="s">
        <v>1035</v>
      </c>
      <c r="D26" s="30" t="s">
        <v>1058</v>
      </c>
      <c r="E26" s="29">
        <v>800</v>
      </c>
      <c r="G26" s="29" t="s">
        <v>1039</v>
      </c>
      <c r="H26" s="29">
        <v>1</v>
      </c>
      <c r="I26" s="29">
        <v>11.29</v>
      </c>
      <c r="J26" s="29">
        <v>9.032</v>
      </c>
      <c r="K26" s="29">
        <v>9.032</v>
      </c>
      <c r="L26" s="29" t="s">
        <v>1037</v>
      </c>
      <c r="M26" s="29">
        <v>1</v>
      </c>
      <c r="N26" s="29">
        <v>0.8</v>
      </c>
      <c r="P26" s="29">
        <v>9.032</v>
      </c>
      <c r="Q26" s="29" t="s">
        <v>1038</v>
      </c>
    </row>
    <row r="27" spans="1:17" x14ac:dyDescent="0.3">
      <c r="B27" s="29">
        <v>2</v>
      </c>
      <c r="C27" s="29" t="s">
        <v>1046</v>
      </c>
      <c r="D27" s="30">
        <v>9</v>
      </c>
      <c r="E27" s="29">
        <v>180</v>
      </c>
      <c r="F27" s="29">
        <v>180</v>
      </c>
      <c r="G27" s="29" t="s">
        <v>1040</v>
      </c>
      <c r="H27" s="29">
        <v>1</v>
      </c>
      <c r="J27" s="29">
        <v>2.2890600000000001</v>
      </c>
      <c r="K27" s="29">
        <v>2.2890600000000001</v>
      </c>
      <c r="L27" s="29" t="s">
        <v>1041</v>
      </c>
      <c r="M27" s="29">
        <v>1</v>
      </c>
      <c r="O27" s="29">
        <v>1</v>
      </c>
      <c r="P27" s="29">
        <v>2.2890600000000001</v>
      </c>
      <c r="Q27" s="29" t="s">
        <v>1042</v>
      </c>
    </row>
    <row r="28" spans="1:17" x14ac:dyDescent="0.3">
      <c r="B28" s="29">
        <v>3</v>
      </c>
      <c r="C28" s="29" t="s">
        <v>1043</v>
      </c>
      <c r="D28" s="30" t="s">
        <v>292</v>
      </c>
      <c r="G28" s="29" t="s">
        <v>1036</v>
      </c>
      <c r="H28" s="29">
        <v>4</v>
      </c>
      <c r="J28" s="29">
        <v>1</v>
      </c>
      <c r="K28" s="29">
        <v>4</v>
      </c>
      <c r="L28" s="29" t="s">
        <v>1044</v>
      </c>
      <c r="M28" s="29">
        <v>1</v>
      </c>
      <c r="O28" s="29">
        <v>4</v>
      </c>
      <c r="P28" s="29">
        <v>4</v>
      </c>
      <c r="Q28" s="29" t="s">
        <v>1045</v>
      </c>
    </row>
    <row r="29" spans="1:17" x14ac:dyDescent="0.3">
      <c r="B29" s="29">
        <v>4</v>
      </c>
      <c r="C29" s="29" t="s">
        <v>1057</v>
      </c>
      <c r="D29" s="30">
        <v>9</v>
      </c>
      <c r="E29" s="29">
        <v>210</v>
      </c>
      <c r="F29" s="29">
        <v>210</v>
      </c>
      <c r="G29" s="29" t="s">
        <v>1040</v>
      </c>
      <c r="H29" s="29">
        <v>1</v>
      </c>
      <c r="J29" s="29">
        <v>3.1156649999999999</v>
      </c>
      <c r="K29" s="29">
        <v>3.1156649999999999</v>
      </c>
      <c r="L29" s="29" t="s">
        <v>1041</v>
      </c>
      <c r="M29" s="29">
        <v>1</v>
      </c>
      <c r="O29" s="29">
        <v>1</v>
      </c>
      <c r="P29" s="29">
        <v>3.1156649999999999</v>
      </c>
      <c r="Q29" s="29" t="s">
        <v>1042</v>
      </c>
    </row>
    <row r="30" spans="1:17" x14ac:dyDescent="0.3">
      <c r="B30" s="29">
        <v>5</v>
      </c>
      <c r="C30" s="29" t="s">
        <v>1059</v>
      </c>
      <c r="D30" s="30">
        <v>9</v>
      </c>
      <c r="E30" s="29">
        <v>120</v>
      </c>
      <c r="F30" s="29">
        <v>120</v>
      </c>
      <c r="G30" s="29" t="s">
        <v>1040</v>
      </c>
      <c r="H30" s="29">
        <v>1</v>
      </c>
      <c r="J30" s="29">
        <v>1.01736</v>
      </c>
      <c r="K30" s="29">
        <v>1.01736</v>
      </c>
      <c r="L30" s="29" t="s">
        <v>1041</v>
      </c>
      <c r="M30" s="29">
        <v>1</v>
      </c>
      <c r="O30" s="29">
        <v>1</v>
      </c>
      <c r="P30" s="29">
        <v>1.01736</v>
      </c>
      <c r="Q30" s="29" t="s">
        <v>1042</v>
      </c>
    </row>
    <row r="31" spans="1:17" x14ac:dyDescent="0.3">
      <c r="B31" s="29">
        <v>6</v>
      </c>
      <c r="C31" s="29" t="s">
        <v>1047</v>
      </c>
      <c r="D31" s="30" t="s">
        <v>1065</v>
      </c>
      <c r="G31" s="29" t="s">
        <v>1048</v>
      </c>
      <c r="H31" s="29">
        <v>1</v>
      </c>
      <c r="J31" s="29">
        <v>20</v>
      </c>
      <c r="K31" s="29">
        <v>20</v>
      </c>
      <c r="L31" s="29" t="s">
        <v>1044</v>
      </c>
      <c r="M31" s="29">
        <v>1</v>
      </c>
      <c r="O31" s="29">
        <v>1</v>
      </c>
      <c r="P31" s="29">
        <v>20</v>
      </c>
      <c r="Q31" s="29" t="s">
        <v>1045</v>
      </c>
    </row>
    <row r="32" spans="1:17" x14ac:dyDescent="0.3">
      <c r="B32" s="29">
        <v>7</v>
      </c>
      <c r="C32" s="29" t="s">
        <v>1061</v>
      </c>
      <c r="D32" s="30" t="s">
        <v>1066</v>
      </c>
      <c r="G32" s="29" t="s">
        <v>1063</v>
      </c>
      <c r="H32" s="29">
        <v>1</v>
      </c>
      <c r="J32" s="29">
        <v>5</v>
      </c>
      <c r="K32" s="29">
        <v>5</v>
      </c>
      <c r="L32" s="29" t="s">
        <v>1044</v>
      </c>
      <c r="M32" s="29">
        <v>1</v>
      </c>
      <c r="O32" s="29">
        <v>1</v>
      </c>
      <c r="P32" s="29">
        <v>5</v>
      </c>
      <c r="Q32" s="29" t="s">
        <v>1045</v>
      </c>
    </row>
    <row r="33" spans="1:17" x14ac:dyDescent="0.3">
      <c r="B33" s="29">
        <v>8</v>
      </c>
      <c r="C33" s="45" t="s">
        <v>1064</v>
      </c>
      <c r="D33" s="30" t="s">
        <v>1066</v>
      </c>
      <c r="G33" s="29" t="s">
        <v>1063</v>
      </c>
      <c r="H33" s="29">
        <v>1</v>
      </c>
      <c r="J33" s="29">
        <v>5</v>
      </c>
      <c r="K33" s="29">
        <v>5</v>
      </c>
      <c r="L33" s="29" t="s">
        <v>1044</v>
      </c>
      <c r="M33" s="29">
        <v>1</v>
      </c>
      <c r="O33" s="29">
        <v>1</v>
      </c>
      <c r="P33" s="29">
        <v>5</v>
      </c>
      <c r="Q33" s="29" t="s">
        <v>1045</v>
      </c>
    </row>
    <row r="34" spans="1:17" x14ac:dyDescent="0.3">
      <c r="A34" s="29" t="s">
        <v>999</v>
      </c>
      <c r="B34" s="29">
        <v>1</v>
      </c>
      <c r="C34" s="29" t="s">
        <v>1035</v>
      </c>
      <c r="D34" s="30" t="s">
        <v>1058</v>
      </c>
      <c r="E34" s="29">
        <v>1000</v>
      </c>
      <c r="G34" s="29" t="s">
        <v>1039</v>
      </c>
      <c r="H34" s="29">
        <v>1</v>
      </c>
      <c r="I34" s="29">
        <v>11.29</v>
      </c>
      <c r="J34" s="29">
        <v>11.29</v>
      </c>
      <c r="K34" s="29">
        <v>11.29</v>
      </c>
      <c r="L34" s="29" t="s">
        <v>1037</v>
      </c>
      <c r="M34" s="29">
        <v>1</v>
      </c>
      <c r="N34" s="29">
        <v>1</v>
      </c>
      <c r="P34" s="29">
        <v>11.29</v>
      </c>
      <c r="Q34" s="29" t="s">
        <v>1038</v>
      </c>
    </row>
    <row r="35" spans="1:17" x14ac:dyDescent="0.3">
      <c r="B35" s="29">
        <v>2</v>
      </c>
      <c r="C35" s="29" t="s">
        <v>1046</v>
      </c>
      <c r="D35" s="30">
        <v>9</v>
      </c>
      <c r="E35" s="29">
        <v>180</v>
      </c>
      <c r="F35" s="29">
        <v>180</v>
      </c>
      <c r="G35" s="29" t="s">
        <v>1040</v>
      </c>
      <c r="H35" s="29">
        <v>1</v>
      </c>
      <c r="J35" s="29">
        <v>2.2890600000000001</v>
      </c>
      <c r="K35" s="29">
        <v>2.2890600000000001</v>
      </c>
      <c r="L35" s="29" t="s">
        <v>1041</v>
      </c>
      <c r="M35" s="29">
        <v>1</v>
      </c>
      <c r="O35" s="29">
        <v>1</v>
      </c>
      <c r="P35" s="29">
        <v>2.2890600000000001</v>
      </c>
      <c r="Q35" s="29" t="s">
        <v>1042</v>
      </c>
    </row>
    <row r="36" spans="1:17" x14ac:dyDescent="0.3">
      <c r="B36" s="29">
        <v>3</v>
      </c>
      <c r="C36" s="29" t="s">
        <v>1043</v>
      </c>
      <c r="D36" s="30" t="s">
        <v>292</v>
      </c>
      <c r="G36" s="29" t="s">
        <v>1036</v>
      </c>
      <c r="H36" s="29">
        <v>4</v>
      </c>
      <c r="J36" s="29">
        <v>1</v>
      </c>
      <c r="K36" s="29">
        <v>4</v>
      </c>
      <c r="L36" s="29" t="s">
        <v>1044</v>
      </c>
      <c r="M36" s="29">
        <v>1</v>
      </c>
      <c r="O36" s="29">
        <v>4</v>
      </c>
      <c r="P36" s="29">
        <v>4</v>
      </c>
      <c r="Q36" s="29" t="s">
        <v>1045</v>
      </c>
    </row>
    <row r="37" spans="1:17" x14ac:dyDescent="0.3">
      <c r="B37" s="29">
        <v>4</v>
      </c>
      <c r="C37" s="29" t="s">
        <v>1057</v>
      </c>
      <c r="D37" s="30">
        <v>9</v>
      </c>
      <c r="E37" s="29">
        <v>210</v>
      </c>
      <c r="F37" s="29">
        <v>210</v>
      </c>
      <c r="G37" s="29" t="s">
        <v>1040</v>
      </c>
      <c r="H37" s="29">
        <v>1</v>
      </c>
      <c r="J37" s="29">
        <v>3.1156649999999999</v>
      </c>
      <c r="K37" s="29">
        <v>3.1156649999999999</v>
      </c>
      <c r="L37" s="29" t="s">
        <v>1041</v>
      </c>
      <c r="M37" s="29">
        <v>1</v>
      </c>
      <c r="O37" s="29">
        <v>1</v>
      </c>
      <c r="P37" s="29">
        <v>3.1156649999999999</v>
      </c>
      <c r="Q37" s="29" t="s">
        <v>1042</v>
      </c>
    </row>
    <row r="38" spans="1:17" x14ac:dyDescent="0.3">
      <c r="B38" s="29">
        <v>5</v>
      </c>
      <c r="C38" s="29" t="s">
        <v>1059</v>
      </c>
      <c r="D38" s="30">
        <v>9</v>
      </c>
      <c r="E38" s="29">
        <v>120</v>
      </c>
      <c r="F38" s="29">
        <v>120</v>
      </c>
      <c r="G38" s="29" t="s">
        <v>1040</v>
      </c>
      <c r="H38" s="29">
        <v>1</v>
      </c>
      <c r="J38" s="29">
        <v>1.01736</v>
      </c>
      <c r="K38" s="29">
        <v>1.01736</v>
      </c>
      <c r="L38" s="29" t="s">
        <v>1041</v>
      </c>
      <c r="M38" s="29">
        <v>1</v>
      </c>
      <c r="O38" s="29">
        <v>1</v>
      </c>
      <c r="P38" s="29">
        <v>1.01736</v>
      </c>
      <c r="Q38" s="29" t="s">
        <v>1042</v>
      </c>
    </row>
    <row r="39" spans="1:17" x14ac:dyDescent="0.3">
      <c r="B39" s="29">
        <v>6</v>
      </c>
      <c r="C39" s="29" t="s">
        <v>1047</v>
      </c>
      <c r="D39" s="30" t="s">
        <v>1065</v>
      </c>
      <c r="G39" s="29" t="s">
        <v>1048</v>
      </c>
      <c r="H39" s="29">
        <v>1</v>
      </c>
      <c r="J39" s="29">
        <v>20</v>
      </c>
      <c r="K39" s="29">
        <v>20</v>
      </c>
      <c r="L39" s="29" t="s">
        <v>1044</v>
      </c>
      <c r="M39" s="29">
        <v>1</v>
      </c>
      <c r="O39" s="29">
        <v>1</v>
      </c>
      <c r="P39" s="29">
        <v>20</v>
      </c>
      <c r="Q39" s="29" t="s">
        <v>1045</v>
      </c>
    </row>
    <row r="40" spans="1:17" x14ac:dyDescent="0.3">
      <c r="B40" s="29">
        <v>7</v>
      </c>
      <c r="C40" s="29" t="s">
        <v>1061</v>
      </c>
      <c r="D40" s="30" t="s">
        <v>1066</v>
      </c>
      <c r="G40" s="29" t="s">
        <v>1063</v>
      </c>
      <c r="H40" s="29">
        <v>1</v>
      </c>
      <c r="J40" s="29">
        <v>5</v>
      </c>
      <c r="K40" s="29">
        <v>5</v>
      </c>
      <c r="L40" s="29" t="s">
        <v>1044</v>
      </c>
      <c r="M40" s="29">
        <v>1</v>
      </c>
      <c r="O40" s="29">
        <v>1</v>
      </c>
      <c r="P40" s="29">
        <v>5</v>
      </c>
      <c r="Q40" s="29" t="s">
        <v>1045</v>
      </c>
    </row>
    <row r="41" spans="1:17" x14ac:dyDescent="0.3">
      <c r="B41" s="29">
        <v>8</v>
      </c>
      <c r="C41" s="29" t="s">
        <v>1064</v>
      </c>
      <c r="D41" s="30" t="s">
        <v>1066</v>
      </c>
      <c r="G41" s="29" t="s">
        <v>1063</v>
      </c>
      <c r="H41" s="29">
        <v>1</v>
      </c>
      <c r="J41" s="29">
        <v>5</v>
      </c>
      <c r="K41" s="29">
        <v>5</v>
      </c>
      <c r="L41" s="29" t="s">
        <v>1044</v>
      </c>
      <c r="M41" s="29">
        <v>1</v>
      </c>
      <c r="O41" s="29">
        <v>1</v>
      </c>
      <c r="P41" s="29">
        <v>5</v>
      </c>
      <c r="Q41" s="29" t="s">
        <v>1045</v>
      </c>
    </row>
    <row r="42" spans="1:17" x14ac:dyDescent="0.3">
      <c r="A42" s="29" t="s">
        <v>1000</v>
      </c>
      <c r="B42" s="29">
        <v>1</v>
      </c>
      <c r="C42" s="45" t="s">
        <v>1035</v>
      </c>
      <c r="D42" s="30" t="s">
        <v>1058</v>
      </c>
      <c r="E42" s="29">
        <v>1300</v>
      </c>
      <c r="G42" s="29" t="s">
        <v>1039</v>
      </c>
      <c r="H42" s="29">
        <v>1</v>
      </c>
      <c r="I42" s="29">
        <v>11.29</v>
      </c>
      <c r="J42" s="29">
        <v>14.677</v>
      </c>
      <c r="K42" s="29">
        <v>14.677</v>
      </c>
      <c r="L42" s="29" t="s">
        <v>1037</v>
      </c>
      <c r="M42" s="29">
        <v>1</v>
      </c>
      <c r="N42" s="29">
        <v>1.3</v>
      </c>
      <c r="P42" s="29">
        <v>14.677</v>
      </c>
      <c r="Q42" s="29" t="s">
        <v>1038</v>
      </c>
    </row>
    <row r="43" spans="1:17" x14ac:dyDescent="0.3">
      <c r="B43" s="29">
        <v>2</v>
      </c>
      <c r="C43" s="29" t="s">
        <v>1046</v>
      </c>
      <c r="D43" s="30">
        <v>9</v>
      </c>
      <c r="E43" s="29">
        <v>180</v>
      </c>
      <c r="F43" s="29">
        <v>180</v>
      </c>
      <c r="G43" s="29" t="s">
        <v>1040</v>
      </c>
      <c r="H43" s="29">
        <v>1</v>
      </c>
      <c r="J43" s="29">
        <v>2.2890600000000001</v>
      </c>
      <c r="K43" s="29">
        <v>2.2890600000000001</v>
      </c>
      <c r="L43" s="29" t="s">
        <v>1041</v>
      </c>
      <c r="M43" s="29">
        <v>1</v>
      </c>
      <c r="O43" s="29">
        <v>1</v>
      </c>
      <c r="P43" s="29">
        <v>2.2890600000000001</v>
      </c>
      <c r="Q43" s="29" t="s">
        <v>1042</v>
      </c>
    </row>
    <row r="44" spans="1:17" x14ac:dyDescent="0.3">
      <c r="B44" s="29">
        <v>3</v>
      </c>
      <c r="C44" s="29" t="s">
        <v>1043</v>
      </c>
      <c r="D44" s="30" t="s">
        <v>292</v>
      </c>
      <c r="G44" s="29" t="s">
        <v>1036</v>
      </c>
      <c r="H44" s="29">
        <v>4</v>
      </c>
      <c r="J44" s="29">
        <v>1</v>
      </c>
      <c r="K44" s="29">
        <v>4</v>
      </c>
      <c r="L44" s="29" t="s">
        <v>1044</v>
      </c>
      <c r="M44" s="29">
        <v>1</v>
      </c>
      <c r="O44" s="29">
        <v>4</v>
      </c>
      <c r="P44" s="29">
        <v>4</v>
      </c>
      <c r="Q44" s="29" t="s">
        <v>1045</v>
      </c>
    </row>
    <row r="45" spans="1:17" x14ac:dyDescent="0.3">
      <c r="B45" s="29">
        <v>4</v>
      </c>
      <c r="C45" s="29" t="s">
        <v>1057</v>
      </c>
      <c r="D45" s="30">
        <v>9</v>
      </c>
      <c r="E45" s="29">
        <v>210</v>
      </c>
      <c r="F45" s="29">
        <v>210</v>
      </c>
      <c r="G45" s="29" t="s">
        <v>1040</v>
      </c>
      <c r="H45" s="29">
        <v>1</v>
      </c>
      <c r="J45" s="29">
        <v>3.1156649999999999</v>
      </c>
      <c r="K45" s="29">
        <v>3.1156649999999999</v>
      </c>
      <c r="L45" s="29" t="s">
        <v>1041</v>
      </c>
      <c r="M45" s="29">
        <v>1</v>
      </c>
      <c r="O45" s="29">
        <v>1</v>
      </c>
      <c r="P45" s="29">
        <v>3.1156649999999999</v>
      </c>
      <c r="Q45" s="29" t="s">
        <v>1042</v>
      </c>
    </row>
    <row r="46" spans="1:17" x14ac:dyDescent="0.3">
      <c r="B46" s="29">
        <v>5</v>
      </c>
      <c r="C46" s="29" t="s">
        <v>1059</v>
      </c>
      <c r="D46" s="30">
        <v>9</v>
      </c>
      <c r="E46" s="29">
        <v>120</v>
      </c>
      <c r="F46" s="29">
        <v>120</v>
      </c>
      <c r="G46" s="29" t="s">
        <v>1040</v>
      </c>
      <c r="H46" s="29">
        <v>1</v>
      </c>
      <c r="J46" s="29">
        <v>1.01736</v>
      </c>
      <c r="K46" s="29">
        <v>1.01736</v>
      </c>
      <c r="L46" s="29" t="s">
        <v>1041</v>
      </c>
      <c r="M46" s="29">
        <v>1</v>
      </c>
      <c r="O46" s="29">
        <v>1</v>
      </c>
      <c r="P46" s="29">
        <v>1.01736</v>
      </c>
      <c r="Q46" s="29" t="s">
        <v>1042</v>
      </c>
    </row>
    <row r="47" spans="1:17" x14ac:dyDescent="0.3">
      <c r="B47" s="29">
        <v>6</v>
      </c>
      <c r="C47" s="29" t="s">
        <v>1047</v>
      </c>
      <c r="D47" s="30" t="s">
        <v>1065</v>
      </c>
      <c r="G47" s="29" t="s">
        <v>1048</v>
      </c>
      <c r="H47" s="29">
        <v>1</v>
      </c>
      <c r="J47" s="29">
        <v>20</v>
      </c>
      <c r="K47" s="29">
        <v>20</v>
      </c>
      <c r="L47" s="29" t="s">
        <v>1044</v>
      </c>
      <c r="M47" s="29">
        <v>1</v>
      </c>
      <c r="O47" s="29">
        <v>1</v>
      </c>
      <c r="P47" s="29">
        <v>20</v>
      </c>
      <c r="Q47" s="29" t="s">
        <v>1045</v>
      </c>
    </row>
    <row r="48" spans="1:17" x14ac:dyDescent="0.3">
      <c r="B48" s="29">
        <v>7</v>
      </c>
      <c r="C48" s="29" t="s">
        <v>1061</v>
      </c>
      <c r="D48" s="30" t="s">
        <v>1066</v>
      </c>
      <c r="G48" s="29" t="s">
        <v>1063</v>
      </c>
      <c r="H48" s="29">
        <v>1</v>
      </c>
      <c r="J48" s="29">
        <v>5</v>
      </c>
      <c r="K48" s="29">
        <v>5</v>
      </c>
      <c r="L48" s="29" t="s">
        <v>1044</v>
      </c>
      <c r="M48" s="29">
        <v>1</v>
      </c>
      <c r="O48" s="29">
        <v>1</v>
      </c>
      <c r="P48" s="29">
        <v>5</v>
      </c>
      <c r="Q48" s="29" t="s">
        <v>1045</v>
      </c>
    </row>
    <row r="49" spans="2:17" x14ac:dyDescent="0.3">
      <c r="B49" s="29">
        <v>8</v>
      </c>
      <c r="C49" s="29" t="s">
        <v>1064</v>
      </c>
      <c r="D49" s="30" t="s">
        <v>1066</v>
      </c>
      <c r="G49" s="29" t="s">
        <v>1063</v>
      </c>
      <c r="H49" s="29">
        <v>1</v>
      </c>
      <c r="J49" s="29">
        <v>5</v>
      </c>
      <c r="K49" s="29">
        <v>5</v>
      </c>
      <c r="L49" s="29" t="s">
        <v>1044</v>
      </c>
      <c r="M49" s="29">
        <v>1</v>
      </c>
      <c r="O49" s="29">
        <v>1</v>
      </c>
      <c r="P49" s="29">
        <v>5</v>
      </c>
      <c r="Q49" s="29" t="s">
        <v>1045</v>
      </c>
    </row>
    <row r="50" spans="2:17" x14ac:dyDescent="0.3">
      <c r="B50" s="29" t="s">
        <v>1049</v>
      </c>
      <c r="D50" s="30"/>
    </row>
    <row r="51" spans="2:17" x14ac:dyDescent="0.3">
      <c r="B51" s="29" t="s">
        <v>1049</v>
      </c>
      <c r="C51" s="45"/>
      <c r="D51" s="30"/>
    </row>
    <row r="52" spans="2:17" x14ac:dyDescent="0.3">
      <c r="B52" s="29" t="s">
        <v>1049</v>
      </c>
      <c r="D52" s="30"/>
    </row>
    <row r="53" spans="2:17" x14ac:dyDescent="0.3">
      <c r="B53" s="29" t="s">
        <v>1049</v>
      </c>
      <c r="D53" s="30"/>
    </row>
    <row r="54" spans="2:17" x14ac:dyDescent="0.3">
      <c r="B54" s="29" t="s">
        <v>1049</v>
      </c>
      <c r="D54" s="30"/>
    </row>
    <row r="55" spans="2:17" x14ac:dyDescent="0.3">
      <c r="B55" s="29" t="s">
        <v>1049</v>
      </c>
      <c r="D55" s="30"/>
    </row>
    <row r="56" spans="2:17" x14ac:dyDescent="0.3">
      <c r="B56" s="29" t="s">
        <v>1049</v>
      </c>
      <c r="D56" s="30"/>
    </row>
    <row r="57" spans="2:17" x14ac:dyDescent="0.3">
      <c r="B57" s="29" t="s">
        <v>1049</v>
      </c>
      <c r="D57" s="30"/>
    </row>
    <row r="58" spans="2:17" x14ac:dyDescent="0.3">
      <c r="B58" s="29" t="s">
        <v>1049</v>
      </c>
      <c r="D58" s="30"/>
    </row>
    <row r="59" spans="2:17" x14ac:dyDescent="0.3">
      <c r="B59" s="29" t="s">
        <v>1049</v>
      </c>
      <c r="D59" s="30"/>
    </row>
    <row r="60" spans="2:17" x14ac:dyDescent="0.3">
      <c r="B60" s="29" t="s">
        <v>1049</v>
      </c>
      <c r="C60" s="45"/>
      <c r="D60" s="30"/>
    </row>
    <row r="61" spans="2:17" x14ac:dyDescent="0.3">
      <c r="B61" s="29" t="s">
        <v>1049</v>
      </c>
      <c r="D61" s="30"/>
    </row>
    <row r="62" spans="2:17" x14ac:dyDescent="0.3">
      <c r="B62" s="29" t="s">
        <v>1049</v>
      </c>
      <c r="D62" s="30"/>
    </row>
    <row r="63" spans="2:17" x14ac:dyDescent="0.3">
      <c r="B63" s="29" t="s">
        <v>1049</v>
      </c>
      <c r="D63" s="30"/>
    </row>
    <row r="64" spans="2:17" x14ac:dyDescent="0.3">
      <c r="B64" s="29" t="s">
        <v>1049</v>
      </c>
      <c r="D64" s="30"/>
    </row>
    <row r="65" spans="2:4" x14ac:dyDescent="0.3">
      <c r="B65" s="29" t="s">
        <v>1049</v>
      </c>
      <c r="D65" s="30"/>
    </row>
    <row r="66" spans="2:4" x14ac:dyDescent="0.3">
      <c r="B66" s="29" t="s">
        <v>1049</v>
      </c>
      <c r="D66" s="30"/>
    </row>
    <row r="67" spans="2:4" x14ac:dyDescent="0.3">
      <c r="B67" s="29" t="s">
        <v>1049</v>
      </c>
      <c r="D67" s="30"/>
    </row>
    <row r="68" spans="2:4" x14ac:dyDescent="0.3">
      <c r="B68" s="29" t="s">
        <v>1049</v>
      </c>
      <c r="D68" s="30"/>
    </row>
    <row r="69" spans="2:4" x14ac:dyDescent="0.3">
      <c r="B69" s="29" t="s">
        <v>1049</v>
      </c>
      <c r="C69" s="45"/>
      <c r="D69" s="30"/>
    </row>
    <row r="70" spans="2:4" x14ac:dyDescent="0.3">
      <c r="B70" s="29" t="s">
        <v>1049</v>
      </c>
      <c r="D70" s="30"/>
    </row>
    <row r="71" spans="2:4" x14ac:dyDescent="0.3">
      <c r="B71" s="29" t="s">
        <v>1049</v>
      </c>
      <c r="D71" s="30"/>
    </row>
    <row r="72" spans="2:4" x14ac:dyDescent="0.3">
      <c r="B72" s="29" t="s">
        <v>1049</v>
      </c>
      <c r="D72" s="30"/>
    </row>
    <row r="73" spans="2:4" x14ac:dyDescent="0.3">
      <c r="B73" s="29" t="s">
        <v>1049</v>
      </c>
      <c r="D73" s="30"/>
    </row>
    <row r="74" spans="2:4" x14ac:dyDescent="0.3">
      <c r="B74" s="29" t="s">
        <v>1049</v>
      </c>
      <c r="D74" s="30"/>
    </row>
    <row r="75" spans="2:4" x14ac:dyDescent="0.3">
      <c r="B75" s="29" t="s">
        <v>1049</v>
      </c>
      <c r="C75" s="45"/>
      <c r="D75" s="30"/>
    </row>
    <row r="76" spans="2:4" x14ac:dyDescent="0.3">
      <c r="B76" s="29" t="s">
        <v>1049</v>
      </c>
      <c r="D76" s="30"/>
    </row>
    <row r="77" spans="2:4" x14ac:dyDescent="0.3">
      <c r="B77" s="29" t="s">
        <v>1049</v>
      </c>
      <c r="D77" s="30"/>
    </row>
    <row r="78" spans="2:4" x14ac:dyDescent="0.3">
      <c r="B78" s="29" t="s">
        <v>1049</v>
      </c>
      <c r="D78" s="30"/>
    </row>
    <row r="79" spans="2:4" x14ac:dyDescent="0.3">
      <c r="B79" s="29" t="s">
        <v>1049</v>
      </c>
      <c r="C79" s="45"/>
      <c r="D79" s="30"/>
    </row>
    <row r="80" spans="2:4" x14ac:dyDescent="0.3">
      <c r="B80" s="29" t="s">
        <v>1049</v>
      </c>
      <c r="D80" s="30"/>
    </row>
    <row r="81" spans="2:4" x14ac:dyDescent="0.3">
      <c r="B81" s="29" t="s">
        <v>1049</v>
      </c>
      <c r="D81" s="30"/>
    </row>
    <row r="82" spans="2:4" x14ac:dyDescent="0.3">
      <c r="B82" s="29" t="s">
        <v>1049</v>
      </c>
      <c r="D82" s="30"/>
    </row>
    <row r="83" spans="2:4" x14ac:dyDescent="0.3">
      <c r="B83" s="29" t="s">
        <v>1049</v>
      </c>
      <c r="D83" s="30"/>
    </row>
    <row r="84" spans="2:4" x14ac:dyDescent="0.3">
      <c r="B84" s="29" t="s">
        <v>1049</v>
      </c>
      <c r="C84" s="45"/>
      <c r="D84" s="30"/>
    </row>
    <row r="85" spans="2:4" x14ac:dyDescent="0.3">
      <c r="B85" s="29" t="s">
        <v>1049</v>
      </c>
      <c r="D85" s="30"/>
    </row>
    <row r="86" spans="2:4" x14ac:dyDescent="0.3">
      <c r="B86" s="29" t="s">
        <v>1049</v>
      </c>
      <c r="D86" s="30"/>
    </row>
    <row r="87" spans="2:4" x14ac:dyDescent="0.3">
      <c r="B87" s="29" t="s">
        <v>1049</v>
      </c>
      <c r="D87" s="30"/>
    </row>
    <row r="88" spans="2:4" x14ac:dyDescent="0.3">
      <c r="B88" s="29" t="s">
        <v>1049</v>
      </c>
      <c r="D88" s="30"/>
    </row>
    <row r="89" spans="2:4" x14ac:dyDescent="0.3">
      <c r="B89" s="29" t="s">
        <v>1049</v>
      </c>
      <c r="C89" s="45"/>
      <c r="D89" s="30"/>
    </row>
    <row r="90" spans="2:4" x14ac:dyDescent="0.3">
      <c r="B90" s="29" t="s">
        <v>1049</v>
      </c>
      <c r="D90" s="30"/>
    </row>
    <row r="91" spans="2:4" x14ac:dyDescent="0.3">
      <c r="B91" s="29" t="s">
        <v>1049</v>
      </c>
      <c r="D91" s="30"/>
    </row>
    <row r="92" spans="2:4" x14ac:dyDescent="0.3">
      <c r="B92" s="29" t="s">
        <v>1049</v>
      </c>
      <c r="D92" s="30"/>
    </row>
    <row r="93" spans="2:4" x14ac:dyDescent="0.3">
      <c r="B93" s="29" t="s">
        <v>1049</v>
      </c>
      <c r="D93" s="30"/>
    </row>
    <row r="94" spans="2:4" x14ac:dyDescent="0.3">
      <c r="B94" s="29" t="s">
        <v>1049</v>
      </c>
      <c r="D94" s="30"/>
    </row>
    <row r="95" spans="2:4" x14ac:dyDescent="0.3">
      <c r="B95" s="29" t="s">
        <v>1049</v>
      </c>
      <c r="D95" s="30"/>
    </row>
    <row r="96" spans="2:4" x14ac:dyDescent="0.3">
      <c r="B96" s="29" t="s">
        <v>1049</v>
      </c>
      <c r="D96" s="30"/>
    </row>
    <row r="97" spans="2:4" x14ac:dyDescent="0.3">
      <c r="B97" s="29" t="s">
        <v>1049</v>
      </c>
      <c r="C97" s="45"/>
      <c r="D97" s="30"/>
    </row>
    <row r="98" spans="2:4" x14ac:dyDescent="0.3">
      <c r="B98" s="29" t="s">
        <v>1049</v>
      </c>
      <c r="D98" s="30"/>
    </row>
    <row r="99" spans="2:4" x14ac:dyDescent="0.3">
      <c r="B99" s="29" t="s">
        <v>1049</v>
      </c>
      <c r="D99" s="30"/>
    </row>
    <row r="100" spans="2:4" x14ac:dyDescent="0.3">
      <c r="B100" s="29" t="s">
        <v>1049</v>
      </c>
      <c r="D100" s="30"/>
    </row>
    <row r="101" spans="2:4" x14ac:dyDescent="0.3">
      <c r="B101" s="29" t="s">
        <v>1049</v>
      </c>
      <c r="D101" s="30"/>
    </row>
    <row r="102" spans="2:4" x14ac:dyDescent="0.3">
      <c r="B102" s="29" t="s">
        <v>1049</v>
      </c>
      <c r="C102" s="45"/>
      <c r="D102" s="30"/>
    </row>
    <row r="103" spans="2:4" x14ac:dyDescent="0.3">
      <c r="B103" s="29" t="s">
        <v>1049</v>
      </c>
      <c r="D103" s="30"/>
    </row>
    <row r="104" spans="2:4" x14ac:dyDescent="0.3">
      <c r="B104" s="29" t="s">
        <v>1049</v>
      </c>
      <c r="D104" s="30"/>
    </row>
    <row r="105" spans="2:4" x14ac:dyDescent="0.3">
      <c r="B105" s="29" t="s">
        <v>1049</v>
      </c>
      <c r="C105" s="45"/>
      <c r="D105" s="30"/>
    </row>
    <row r="106" spans="2:4" x14ac:dyDescent="0.3">
      <c r="B106" s="29" t="s">
        <v>1049</v>
      </c>
      <c r="D106" s="30"/>
    </row>
    <row r="107" spans="2:4" x14ac:dyDescent="0.3">
      <c r="B107" s="29" t="s">
        <v>1049</v>
      </c>
      <c r="D107" s="30"/>
    </row>
    <row r="108" spans="2:4" x14ac:dyDescent="0.3">
      <c r="B108" s="29" t="s">
        <v>1049</v>
      </c>
      <c r="D108" s="30"/>
    </row>
    <row r="109" spans="2:4" x14ac:dyDescent="0.3">
      <c r="B109" s="29" t="s">
        <v>1049</v>
      </c>
      <c r="D109" s="30"/>
    </row>
    <row r="110" spans="2:4" x14ac:dyDescent="0.3">
      <c r="B110" s="29" t="s">
        <v>1049</v>
      </c>
      <c r="D110" s="30"/>
    </row>
    <row r="111" spans="2:4" x14ac:dyDescent="0.3">
      <c r="B111" s="29" t="s">
        <v>1049</v>
      </c>
      <c r="D111" s="30"/>
    </row>
    <row r="112" spans="2:4" x14ac:dyDescent="0.3">
      <c r="B112" s="29" t="s">
        <v>1049</v>
      </c>
      <c r="D112" s="30"/>
    </row>
    <row r="113" spans="2:4" x14ac:dyDescent="0.3">
      <c r="B113" s="29" t="s">
        <v>1049</v>
      </c>
      <c r="C113" s="45"/>
      <c r="D113" s="30"/>
    </row>
    <row r="114" spans="2:4" x14ac:dyDescent="0.3">
      <c r="B114" s="29" t="s">
        <v>1049</v>
      </c>
      <c r="D114" s="30"/>
    </row>
    <row r="115" spans="2:4" x14ac:dyDescent="0.3">
      <c r="B115" s="29" t="s">
        <v>1049</v>
      </c>
      <c r="D115" s="30"/>
    </row>
    <row r="116" spans="2:4" x14ac:dyDescent="0.3">
      <c r="B116" s="29" t="s">
        <v>1049</v>
      </c>
      <c r="D116" s="30"/>
    </row>
    <row r="117" spans="2:4" x14ac:dyDescent="0.3">
      <c r="B117" s="29" t="s">
        <v>1049</v>
      </c>
      <c r="D117" s="30"/>
    </row>
    <row r="118" spans="2:4" x14ac:dyDescent="0.3">
      <c r="B118" s="29" t="s">
        <v>1049</v>
      </c>
      <c r="C118" s="45"/>
      <c r="D118" s="30"/>
    </row>
    <row r="119" spans="2:4" x14ac:dyDescent="0.3">
      <c r="B119" s="29" t="s">
        <v>1049</v>
      </c>
      <c r="D119" s="30"/>
    </row>
    <row r="120" spans="2:4" x14ac:dyDescent="0.3">
      <c r="B120" s="29" t="s">
        <v>1049</v>
      </c>
      <c r="D120" s="30"/>
    </row>
    <row r="121" spans="2:4" x14ac:dyDescent="0.3">
      <c r="B121" s="29" t="s">
        <v>1049</v>
      </c>
      <c r="C121" s="45"/>
      <c r="D121" s="30"/>
    </row>
    <row r="122" spans="2:4" x14ac:dyDescent="0.3">
      <c r="B122" s="29" t="s">
        <v>1049</v>
      </c>
      <c r="D122" s="30"/>
    </row>
    <row r="123" spans="2:4" x14ac:dyDescent="0.3">
      <c r="B123" s="29" t="s">
        <v>1049</v>
      </c>
      <c r="D123" s="30"/>
    </row>
    <row r="124" spans="2:4" x14ac:dyDescent="0.3">
      <c r="B124" s="29" t="s">
        <v>1049</v>
      </c>
      <c r="D124" s="30"/>
    </row>
    <row r="125" spans="2:4" x14ac:dyDescent="0.3">
      <c r="B125" s="29" t="s">
        <v>1049</v>
      </c>
      <c r="D125" s="30"/>
    </row>
    <row r="126" spans="2:4" x14ac:dyDescent="0.3">
      <c r="B126" s="29" t="s">
        <v>1049</v>
      </c>
      <c r="C126" s="45"/>
      <c r="D126" s="30"/>
    </row>
    <row r="127" spans="2:4" x14ac:dyDescent="0.3">
      <c r="B127" s="29" t="s">
        <v>1049</v>
      </c>
      <c r="D127" s="30"/>
    </row>
    <row r="128" spans="2:4" x14ac:dyDescent="0.3">
      <c r="B128" s="29" t="s">
        <v>1049</v>
      </c>
      <c r="D128" s="30"/>
    </row>
    <row r="129" spans="2:4" x14ac:dyDescent="0.3">
      <c r="B129" s="29" t="s">
        <v>1049</v>
      </c>
      <c r="D129" s="30"/>
    </row>
    <row r="130" spans="2:4" x14ac:dyDescent="0.3">
      <c r="B130" s="29" t="s">
        <v>1049</v>
      </c>
      <c r="D130" s="30"/>
    </row>
    <row r="131" spans="2:4" x14ac:dyDescent="0.3">
      <c r="B131" s="29" t="s">
        <v>1049</v>
      </c>
      <c r="D131" s="30"/>
    </row>
    <row r="132" spans="2:4" x14ac:dyDescent="0.3">
      <c r="B132" s="29" t="s">
        <v>1049</v>
      </c>
      <c r="D132" s="30"/>
    </row>
    <row r="133" spans="2:4" x14ac:dyDescent="0.3">
      <c r="B133" s="29" t="s">
        <v>1049</v>
      </c>
      <c r="D133" s="30"/>
    </row>
    <row r="134" spans="2:4" x14ac:dyDescent="0.3">
      <c r="B134" s="29" t="s">
        <v>1049</v>
      </c>
      <c r="D134" s="30"/>
    </row>
    <row r="135" spans="2:4" x14ac:dyDescent="0.3">
      <c r="B135" s="29" t="s">
        <v>1049</v>
      </c>
      <c r="C135" s="45"/>
      <c r="D135" s="30"/>
    </row>
    <row r="136" spans="2:4" x14ac:dyDescent="0.3">
      <c r="B136" s="29" t="s">
        <v>1049</v>
      </c>
      <c r="D136" s="30"/>
    </row>
    <row r="137" spans="2:4" x14ac:dyDescent="0.3">
      <c r="B137" s="29" t="s">
        <v>1049</v>
      </c>
      <c r="D137" s="30"/>
    </row>
    <row r="138" spans="2:4" x14ac:dyDescent="0.3">
      <c r="B138" s="29" t="s">
        <v>1049</v>
      </c>
      <c r="D138" s="30"/>
    </row>
    <row r="139" spans="2:4" x14ac:dyDescent="0.3">
      <c r="B139" s="29" t="s">
        <v>1049</v>
      </c>
      <c r="D139" s="30"/>
    </row>
    <row r="140" spans="2:4" x14ac:dyDescent="0.3">
      <c r="B140" s="29" t="s">
        <v>1049</v>
      </c>
      <c r="D140" s="30"/>
    </row>
    <row r="141" spans="2:4" x14ac:dyDescent="0.3">
      <c r="B141" s="29" t="s">
        <v>1049</v>
      </c>
      <c r="C141" s="45"/>
      <c r="D141" s="30"/>
    </row>
    <row r="142" spans="2:4" x14ac:dyDescent="0.3">
      <c r="B142" s="29" t="s">
        <v>1049</v>
      </c>
      <c r="D142" s="30"/>
    </row>
    <row r="143" spans="2:4" x14ac:dyDescent="0.3">
      <c r="B143" s="29" t="s">
        <v>1049</v>
      </c>
      <c r="D143" s="30"/>
    </row>
    <row r="144" spans="2:4" x14ac:dyDescent="0.3">
      <c r="B144" s="29" t="s">
        <v>1049</v>
      </c>
      <c r="D144" s="30"/>
    </row>
    <row r="145" spans="2:4" x14ac:dyDescent="0.3">
      <c r="B145" s="29" t="s">
        <v>1049</v>
      </c>
      <c r="D145" s="30"/>
    </row>
    <row r="146" spans="2:4" x14ac:dyDescent="0.3">
      <c r="B146" s="29" t="s">
        <v>1049</v>
      </c>
      <c r="C146" s="45"/>
      <c r="D146" s="30"/>
    </row>
    <row r="147" spans="2:4" x14ac:dyDescent="0.3">
      <c r="B147" s="29" t="s">
        <v>1049</v>
      </c>
      <c r="D147" s="30"/>
    </row>
    <row r="148" spans="2:4" x14ac:dyDescent="0.3">
      <c r="B148" s="29" t="s">
        <v>1049</v>
      </c>
      <c r="D148" s="30"/>
    </row>
    <row r="149" spans="2:4" x14ac:dyDescent="0.3">
      <c r="B149" s="29" t="s">
        <v>1049</v>
      </c>
      <c r="D149" s="30"/>
    </row>
    <row r="150" spans="2:4" x14ac:dyDescent="0.3">
      <c r="B150" s="29" t="s">
        <v>1049</v>
      </c>
      <c r="D150" s="30"/>
    </row>
    <row r="151" spans="2:4" x14ac:dyDescent="0.3">
      <c r="B151" s="29" t="s">
        <v>1049</v>
      </c>
      <c r="D151" s="30"/>
    </row>
    <row r="152" spans="2:4" x14ac:dyDescent="0.3">
      <c r="B152" s="29" t="s">
        <v>1049</v>
      </c>
      <c r="D152" s="30"/>
    </row>
    <row r="153" spans="2:4" x14ac:dyDescent="0.3">
      <c r="B153" s="29" t="s">
        <v>1049</v>
      </c>
      <c r="D153" s="30"/>
    </row>
    <row r="154" spans="2:4" x14ac:dyDescent="0.3">
      <c r="B154" s="29" t="s">
        <v>1049</v>
      </c>
      <c r="D154" s="30"/>
    </row>
    <row r="155" spans="2:4" x14ac:dyDescent="0.3">
      <c r="B155" s="29" t="s">
        <v>1049</v>
      </c>
      <c r="C155" s="45"/>
      <c r="D155" s="30"/>
    </row>
    <row r="156" spans="2:4" x14ac:dyDescent="0.3">
      <c r="B156" s="29" t="s">
        <v>1049</v>
      </c>
      <c r="D156" s="30"/>
    </row>
    <row r="157" spans="2:4" x14ac:dyDescent="0.3">
      <c r="B157" s="29" t="s">
        <v>1049</v>
      </c>
      <c r="D157" s="30"/>
    </row>
    <row r="158" spans="2:4" x14ac:dyDescent="0.3">
      <c r="B158" s="29" t="s">
        <v>1049</v>
      </c>
      <c r="D158" s="30"/>
    </row>
    <row r="159" spans="2:4" x14ac:dyDescent="0.3">
      <c r="B159" s="29" t="s">
        <v>1049</v>
      </c>
      <c r="C159" s="45"/>
      <c r="D159" s="30"/>
    </row>
    <row r="160" spans="2:4" x14ac:dyDescent="0.3">
      <c r="B160" s="29" t="s">
        <v>1049</v>
      </c>
      <c r="D160" s="30"/>
    </row>
    <row r="161" spans="2:4" x14ac:dyDescent="0.3">
      <c r="B161" s="29" t="s">
        <v>1049</v>
      </c>
      <c r="D161" s="30"/>
    </row>
    <row r="162" spans="2:4" x14ac:dyDescent="0.3">
      <c r="B162" s="29" t="s">
        <v>1049</v>
      </c>
      <c r="D162" s="30"/>
    </row>
    <row r="163" spans="2:4" x14ac:dyDescent="0.3">
      <c r="B163" s="29" t="s">
        <v>1049</v>
      </c>
      <c r="D163" s="30"/>
    </row>
    <row r="164" spans="2:4" x14ac:dyDescent="0.3">
      <c r="B164" s="29" t="s">
        <v>1049</v>
      </c>
      <c r="C164" s="45"/>
      <c r="D164" s="30"/>
    </row>
    <row r="165" spans="2:4" x14ac:dyDescent="0.3">
      <c r="B165" s="29" t="s">
        <v>1049</v>
      </c>
      <c r="D165" s="30"/>
    </row>
    <row r="166" spans="2:4" x14ac:dyDescent="0.3">
      <c r="B166" s="29" t="s">
        <v>1049</v>
      </c>
      <c r="D166" s="30"/>
    </row>
    <row r="167" spans="2:4" x14ac:dyDescent="0.3">
      <c r="B167" s="29" t="s">
        <v>1049</v>
      </c>
      <c r="D167" s="30"/>
    </row>
    <row r="168" spans="2:4" x14ac:dyDescent="0.3">
      <c r="B168" s="29" t="s">
        <v>1049</v>
      </c>
      <c r="D168" s="30"/>
    </row>
    <row r="169" spans="2:4" x14ac:dyDescent="0.3">
      <c r="B169" s="29" t="s">
        <v>1049</v>
      </c>
      <c r="D169" s="30"/>
    </row>
    <row r="170" spans="2:4" x14ac:dyDescent="0.3">
      <c r="B170" s="29" t="s">
        <v>1049</v>
      </c>
      <c r="D170" s="30"/>
    </row>
    <row r="171" spans="2:4" x14ac:dyDescent="0.3">
      <c r="B171" s="29" t="s">
        <v>1049</v>
      </c>
      <c r="D171" s="30"/>
    </row>
    <row r="172" spans="2:4" x14ac:dyDescent="0.3">
      <c r="B172" s="29" t="s">
        <v>1049</v>
      </c>
      <c r="D172" s="30"/>
    </row>
    <row r="173" spans="2:4" x14ac:dyDescent="0.3">
      <c r="B173" s="29" t="s">
        <v>1049</v>
      </c>
      <c r="D173" s="30"/>
    </row>
    <row r="174" spans="2:4" x14ac:dyDescent="0.3">
      <c r="B174" s="29" t="s">
        <v>1049</v>
      </c>
      <c r="D174" s="30"/>
    </row>
    <row r="175" spans="2:4" x14ac:dyDescent="0.3">
      <c r="B175" s="29" t="s">
        <v>1049</v>
      </c>
      <c r="D175" s="30"/>
    </row>
    <row r="176" spans="2:4" x14ac:dyDescent="0.3">
      <c r="B176" s="29" t="s">
        <v>1049</v>
      </c>
      <c r="C176" s="45"/>
      <c r="D176" s="30"/>
    </row>
    <row r="177" spans="2:4" x14ac:dyDescent="0.3">
      <c r="B177" s="29" t="s">
        <v>1049</v>
      </c>
      <c r="D177" s="30"/>
    </row>
    <row r="178" spans="2:4" x14ac:dyDescent="0.3">
      <c r="B178" s="29" t="s">
        <v>1049</v>
      </c>
      <c r="D178" s="30"/>
    </row>
    <row r="179" spans="2:4" x14ac:dyDescent="0.3">
      <c r="B179" s="29" t="s">
        <v>1049</v>
      </c>
      <c r="D179" s="30"/>
    </row>
    <row r="180" spans="2:4" x14ac:dyDescent="0.3">
      <c r="B180" s="29" t="s">
        <v>1049</v>
      </c>
      <c r="D180" s="30"/>
    </row>
    <row r="181" spans="2:4" x14ac:dyDescent="0.3">
      <c r="B181" s="29" t="s">
        <v>1049</v>
      </c>
      <c r="C181" s="45"/>
      <c r="D181" s="30"/>
    </row>
    <row r="182" spans="2:4" x14ac:dyDescent="0.3">
      <c r="B182" s="29" t="s">
        <v>1049</v>
      </c>
      <c r="D182" s="30"/>
    </row>
    <row r="183" spans="2:4" x14ac:dyDescent="0.3">
      <c r="B183" s="29" t="s">
        <v>1049</v>
      </c>
      <c r="D183" s="30"/>
    </row>
    <row r="184" spans="2:4" x14ac:dyDescent="0.3">
      <c r="B184" s="29" t="s">
        <v>1049</v>
      </c>
      <c r="D184" s="30"/>
    </row>
    <row r="185" spans="2:4" x14ac:dyDescent="0.3">
      <c r="B185" s="29" t="s">
        <v>1049</v>
      </c>
      <c r="D185" s="30"/>
    </row>
    <row r="186" spans="2:4" x14ac:dyDescent="0.3">
      <c r="B186" s="29" t="s">
        <v>1049</v>
      </c>
      <c r="C186" s="45"/>
      <c r="D186" s="30"/>
    </row>
    <row r="187" spans="2:4" x14ac:dyDescent="0.3">
      <c r="B187" s="29" t="s">
        <v>1049</v>
      </c>
      <c r="D187" s="30"/>
    </row>
    <row r="188" spans="2:4" x14ac:dyDescent="0.3">
      <c r="B188" s="29" t="s">
        <v>1049</v>
      </c>
      <c r="D188" s="30"/>
    </row>
    <row r="189" spans="2:4" x14ac:dyDescent="0.3">
      <c r="B189" s="29" t="s">
        <v>1049</v>
      </c>
      <c r="D189" s="30"/>
    </row>
    <row r="190" spans="2:4" x14ac:dyDescent="0.3">
      <c r="B190" s="29" t="s">
        <v>1049</v>
      </c>
      <c r="D190" s="30"/>
    </row>
    <row r="191" spans="2:4" x14ac:dyDescent="0.3">
      <c r="B191" s="29" t="s">
        <v>1049</v>
      </c>
      <c r="D191" s="30"/>
    </row>
    <row r="192" spans="2:4" x14ac:dyDescent="0.3">
      <c r="B192" s="29" t="s">
        <v>1049</v>
      </c>
      <c r="D192" s="30"/>
    </row>
    <row r="193" spans="2:4" x14ac:dyDescent="0.3">
      <c r="B193" s="29" t="s">
        <v>1049</v>
      </c>
      <c r="D193" s="30"/>
    </row>
    <row r="194" spans="2:4" x14ac:dyDescent="0.3">
      <c r="B194" s="29" t="s">
        <v>1049</v>
      </c>
      <c r="D194" s="30"/>
    </row>
    <row r="195" spans="2:4" x14ac:dyDescent="0.3">
      <c r="B195" s="29" t="s">
        <v>1049</v>
      </c>
      <c r="D195" s="30"/>
    </row>
    <row r="196" spans="2:4" x14ac:dyDescent="0.3">
      <c r="B196" s="29" t="s">
        <v>1049</v>
      </c>
      <c r="D196" s="30"/>
    </row>
    <row r="197" spans="2:4" x14ac:dyDescent="0.3">
      <c r="B197" s="29" t="s">
        <v>1049</v>
      </c>
      <c r="C197" s="45"/>
      <c r="D197" s="30"/>
    </row>
    <row r="198" spans="2:4" x14ac:dyDescent="0.3">
      <c r="B198" s="29" t="s">
        <v>1049</v>
      </c>
      <c r="D198" s="30"/>
    </row>
    <row r="199" spans="2:4" x14ac:dyDescent="0.3">
      <c r="B199" s="29" t="s">
        <v>1049</v>
      </c>
      <c r="D199" s="30"/>
    </row>
    <row r="200" spans="2:4" x14ac:dyDescent="0.3">
      <c r="B200" s="29" t="s">
        <v>1049</v>
      </c>
      <c r="D200" s="30"/>
    </row>
    <row r="201" spans="2:4" x14ac:dyDescent="0.3">
      <c r="B201" s="29" t="s">
        <v>1049</v>
      </c>
      <c r="D201" s="30"/>
    </row>
    <row r="202" spans="2:4" x14ac:dyDescent="0.3">
      <c r="B202" s="29" t="s">
        <v>1049</v>
      </c>
      <c r="C202" s="45"/>
      <c r="D202" s="30"/>
    </row>
    <row r="203" spans="2:4" x14ac:dyDescent="0.3">
      <c r="B203" s="29" t="s">
        <v>1049</v>
      </c>
      <c r="D203" s="30"/>
    </row>
    <row r="204" spans="2:4" x14ac:dyDescent="0.3">
      <c r="B204" s="29" t="s">
        <v>1049</v>
      </c>
      <c r="D204" s="30"/>
    </row>
    <row r="205" spans="2:4" x14ac:dyDescent="0.3">
      <c r="B205" s="29" t="s">
        <v>1049</v>
      </c>
      <c r="D205" s="30"/>
    </row>
    <row r="206" spans="2:4" x14ac:dyDescent="0.3">
      <c r="B206" s="29" t="s">
        <v>1049</v>
      </c>
      <c r="D206" s="30"/>
    </row>
    <row r="207" spans="2:4" x14ac:dyDescent="0.3">
      <c r="B207" s="29" t="s">
        <v>1049</v>
      </c>
      <c r="D207" s="30"/>
    </row>
    <row r="208" spans="2:4" x14ac:dyDescent="0.3">
      <c r="B208" s="29" t="s">
        <v>1049</v>
      </c>
      <c r="D208" s="30"/>
    </row>
    <row r="209" spans="2:4" x14ac:dyDescent="0.3">
      <c r="B209" s="29" t="s">
        <v>1049</v>
      </c>
      <c r="D209" s="30"/>
    </row>
    <row r="210" spans="2:4" x14ac:dyDescent="0.3">
      <c r="B210" s="29" t="s">
        <v>1049</v>
      </c>
      <c r="D210" s="30"/>
    </row>
    <row r="211" spans="2:4" x14ac:dyDescent="0.3">
      <c r="B211" s="29" t="s">
        <v>1049</v>
      </c>
      <c r="D211" s="30"/>
    </row>
    <row r="212" spans="2:4" x14ac:dyDescent="0.3">
      <c r="B212" s="29" t="s">
        <v>1049</v>
      </c>
      <c r="D212" s="30"/>
    </row>
    <row r="213" spans="2:4" x14ac:dyDescent="0.3">
      <c r="B213" s="29" t="s">
        <v>1049</v>
      </c>
      <c r="D213" s="30"/>
    </row>
    <row r="214" spans="2:4" x14ac:dyDescent="0.3">
      <c r="B214" s="29" t="s">
        <v>1049</v>
      </c>
      <c r="D214" s="30"/>
    </row>
    <row r="215" spans="2:4" x14ac:dyDescent="0.3">
      <c r="B215" s="29" t="s">
        <v>1049</v>
      </c>
      <c r="C215" s="45"/>
      <c r="D215" s="30"/>
    </row>
    <row r="216" spans="2:4" x14ac:dyDescent="0.3">
      <c r="B216" s="29" t="s">
        <v>1049</v>
      </c>
      <c r="D216" s="30"/>
    </row>
    <row r="217" spans="2:4" x14ac:dyDescent="0.3">
      <c r="B217" s="29" t="s">
        <v>1049</v>
      </c>
      <c r="D217" s="30"/>
    </row>
    <row r="218" spans="2:4" x14ac:dyDescent="0.3">
      <c r="B218" s="29" t="s">
        <v>1049</v>
      </c>
      <c r="D218" s="30"/>
    </row>
    <row r="219" spans="2:4" x14ac:dyDescent="0.3">
      <c r="B219" s="29" t="s">
        <v>1049</v>
      </c>
      <c r="D219" s="30"/>
    </row>
    <row r="220" spans="2:4" x14ac:dyDescent="0.3">
      <c r="B220" s="29" t="s">
        <v>1049</v>
      </c>
      <c r="D220" s="30"/>
    </row>
    <row r="221" spans="2:4" x14ac:dyDescent="0.3">
      <c r="B221" s="29" t="s">
        <v>1049</v>
      </c>
      <c r="D221" s="30"/>
    </row>
    <row r="222" spans="2:4" x14ac:dyDescent="0.3">
      <c r="B222" s="29" t="s">
        <v>1049</v>
      </c>
      <c r="D222" s="30"/>
    </row>
    <row r="223" spans="2:4" x14ac:dyDescent="0.3">
      <c r="B223" s="29" t="s">
        <v>1049</v>
      </c>
      <c r="C223" s="45"/>
      <c r="D223" s="30"/>
    </row>
    <row r="224" spans="2:4" x14ac:dyDescent="0.3">
      <c r="B224" s="29" t="s">
        <v>1049</v>
      </c>
      <c r="D224" s="30"/>
    </row>
    <row r="225" spans="2:4" x14ac:dyDescent="0.3">
      <c r="B225" s="29" t="s">
        <v>1049</v>
      </c>
      <c r="D225" s="30"/>
    </row>
    <row r="226" spans="2:4" x14ac:dyDescent="0.3">
      <c r="B226" s="29" t="s">
        <v>1049</v>
      </c>
      <c r="D226" s="30"/>
    </row>
    <row r="227" spans="2:4" x14ac:dyDescent="0.3">
      <c r="B227" s="29" t="s">
        <v>1049</v>
      </c>
      <c r="D227" s="30"/>
    </row>
    <row r="228" spans="2:4" x14ac:dyDescent="0.3">
      <c r="B228" s="29" t="s">
        <v>1049</v>
      </c>
      <c r="D228" s="30"/>
    </row>
    <row r="229" spans="2:4" x14ac:dyDescent="0.3">
      <c r="B229" s="29" t="s">
        <v>1049</v>
      </c>
      <c r="D229" s="30"/>
    </row>
    <row r="230" spans="2:4" x14ac:dyDescent="0.3">
      <c r="B230" s="29" t="s">
        <v>1049</v>
      </c>
      <c r="D230" s="30"/>
    </row>
    <row r="231" spans="2:4" x14ac:dyDescent="0.3">
      <c r="B231" s="29" t="s">
        <v>1049</v>
      </c>
      <c r="D231" s="30"/>
    </row>
    <row r="232" spans="2:4" x14ac:dyDescent="0.3">
      <c r="B232" s="29" t="s">
        <v>1049</v>
      </c>
      <c r="D232" s="30"/>
    </row>
    <row r="233" spans="2:4" x14ac:dyDescent="0.3">
      <c r="B233" s="29" t="s">
        <v>1049</v>
      </c>
      <c r="D233" s="30"/>
    </row>
    <row r="234" spans="2:4" x14ac:dyDescent="0.3">
      <c r="B234" s="29" t="s">
        <v>1049</v>
      </c>
      <c r="D234" s="30"/>
    </row>
    <row r="235" spans="2:4" x14ac:dyDescent="0.3">
      <c r="B235" s="29" t="s">
        <v>1049</v>
      </c>
      <c r="D235" s="30"/>
    </row>
    <row r="236" spans="2:4" x14ac:dyDescent="0.3">
      <c r="B236" s="29" t="s">
        <v>1049</v>
      </c>
      <c r="D236" s="30"/>
    </row>
    <row r="237" spans="2:4" x14ac:dyDescent="0.3">
      <c r="B237" s="29" t="s">
        <v>1049</v>
      </c>
      <c r="D237" s="30"/>
    </row>
    <row r="238" spans="2:4" x14ac:dyDescent="0.3">
      <c r="B238" s="29" t="s">
        <v>1049</v>
      </c>
      <c r="D238" s="30"/>
    </row>
    <row r="239" spans="2:4" x14ac:dyDescent="0.3">
      <c r="B239" s="29" t="s">
        <v>1049</v>
      </c>
      <c r="D239" s="30"/>
    </row>
    <row r="240" spans="2:4" x14ac:dyDescent="0.3">
      <c r="B240" s="29" t="s">
        <v>1049</v>
      </c>
      <c r="D240" s="30"/>
    </row>
    <row r="241" spans="2:4" x14ac:dyDescent="0.3">
      <c r="B241" s="29" t="s">
        <v>1049</v>
      </c>
      <c r="D241" s="30"/>
    </row>
    <row r="242" spans="2:4" x14ac:dyDescent="0.3">
      <c r="B242" s="29" t="s">
        <v>1049</v>
      </c>
      <c r="D242" s="30"/>
    </row>
    <row r="243" spans="2:4" x14ac:dyDescent="0.3">
      <c r="B243" s="29" t="s">
        <v>1049</v>
      </c>
    </row>
    <row r="244" spans="2:4" x14ac:dyDescent="0.3">
      <c r="B244" s="29" t="s">
        <v>1049</v>
      </c>
      <c r="D244" s="30"/>
    </row>
    <row r="245" spans="2:4" x14ac:dyDescent="0.3">
      <c r="B245" s="29" t="s">
        <v>1049</v>
      </c>
      <c r="D245" s="30"/>
    </row>
    <row r="246" spans="2:4" x14ac:dyDescent="0.3">
      <c r="B246" s="29" t="s">
        <v>1049</v>
      </c>
      <c r="D246" s="30"/>
    </row>
    <row r="247" spans="2:4" x14ac:dyDescent="0.3">
      <c r="B247" s="29" t="s">
        <v>1049</v>
      </c>
      <c r="D247" s="30"/>
    </row>
    <row r="248" spans="2:4" x14ac:dyDescent="0.3">
      <c r="B248" s="29" t="s">
        <v>1049</v>
      </c>
      <c r="D248" s="30"/>
    </row>
    <row r="249" spans="2:4" x14ac:dyDescent="0.3">
      <c r="B249" s="29" t="s">
        <v>1049</v>
      </c>
    </row>
    <row r="250" spans="2:4" x14ac:dyDescent="0.3">
      <c r="B250" s="29" t="s">
        <v>1049</v>
      </c>
      <c r="D250" s="30"/>
    </row>
    <row r="251" spans="2:4" x14ac:dyDescent="0.3">
      <c r="B251" s="29" t="s">
        <v>1049</v>
      </c>
      <c r="D251" s="30"/>
    </row>
    <row r="252" spans="2:4" x14ac:dyDescent="0.3">
      <c r="B252" s="29" t="s">
        <v>1049</v>
      </c>
      <c r="D252" s="30"/>
    </row>
    <row r="253" spans="2:4" x14ac:dyDescent="0.3">
      <c r="B253" s="29" t="s">
        <v>1049</v>
      </c>
      <c r="D253" s="30"/>
    </row>
    <row r="254" spans="2:4" x14ac:dyDescent="0.3">
      <c r="B254" s="29" t="s">
        <v>1049</v>
      </c>
      <c r="D254" s="30"/>
    </row>
    <row r="255" spans="2:4" x14ac:dyDescent="0.3">
      <c r="B255" s="29" t="s">
        <v>1049</v>
      </c>
      <c r="D255" s="30"/>
    </row>
    <row r="256" spans="2:4" x14ac:dyDescent="0.3">
      <c r="B256" s="29" t="s">
        <v>1049</v>
      </c>
      <c r="D256" s="30"/>
    </row>
    <row r="257" spans="2:4" x14ac:dyDescent="0.3">
      <c r="B257" s="29" t="s">
        <v>1049</v>
      </c>
      <c r="D257" s="30"/>
    </row>
    <row r="258" spans="2:4" x14ac:dyDescent="0.3">
      <c r="B258" s="29" t="s">
        <v>1049</v>
      </c>
      <c r="D258" s="30"/>
    </row>
    <row r="259" spans="2:4" x14ac:dyDescent="0.3">
      <c r="B259" s="29" t="s">
        <v>1049</v>
      </c>
      <c r="D259" s="30"/>
    </row>
    <row r="260" spans="2:4" x14ac:dyDescent="0.3">
      <c r="B260" s="29" t="s">
        <v>1049</v>
      </c>
      <c r="D260" s="30"/>
    </row>
    <row r="261" spans="2:4" x14ac:dyDescent="0.3">
      <c r="B261" s="29" t="s">
        <v>1049</v>
      </c>
      <c r="D261" s="30"/>
    </row>
    <row r="262" spans="2:4" x14ac:dyDescent="0.3">
      <c r="B262" s="29" t="s">
        <v>1049</v>
      </c>
      <c r="D262" s="30"/>
    </row>
    <row r="263" spans="2:4" x14ac:dyDescent="0.3">
      <c r="B263" s="29" t="s">
        <v>1049</v>
      </c>
      <c r="D263" s="30"/>
    </row>
    <row r="264" spans="2:4" x14ac:dyDescent="0.3">
      <c r="B264" s="29" t="s">
        <v>1049</v>
      </c>
      <c r="D264" s="30"/>
    </row>
    <row r="265" spans="2:4" x14ac:dyDescent="0.3">
      <c r="B265" s="29" t="s">
        <v>1049</v>
      </c>
      <c r="D265" s="30"/>
    </row>
    <row r="266" spans="2:4" x14ac:dyDescent="0.3">
      <c r="B266" s="29" t="s">
        <v>1049</v>
      </c>
      <c r="D266" s="30"/>
    </row>
    <row r="267" spans="2:4" x14ac:dyDescent="0.3">
      <c r="B267" s="29" t="s">
        <v>1049</v>
      </c>
      <c r="D267" s="30"/>
    </row>
    <row r="268" spans="2:4" x14ac:dyDescent="0.3">
      <c r="B268" s="29" t="s">
        <v>1049</v>
      </c>
      <c r="D268" s="30"/>
    </row>
    <row r="269" spans="2:4" x14ac:dyDescent="0.3">
      <c r="B269" s="29" t="s">
        <v>1049</v>
      </c>
      <c r="D269" s="30"/>
    </row>
    <row r="270" spans="2:4" x14ac:dyDescent="0.3">
      <c r="B270" s="29" t="s">
        <v>1049</v>
      </c>
      <c r="D270" s="30"/>
    </row>
    <row r="271" spans="2:4" x14ac:dyDescent="0.3">
      <c r="B271" s="29" t="s">
        <v>1049</v>
      </c>
      <c r="D271" s="30"/>
    </row>
    <row r="272" spans="2:4" x14ac:dyDescent="0.3">
      <c r="B272" s="29" t="s">
        <v>1049</v>
      </c>
      <c r="D272" s="30"/>
    </row>
    <row r="273" spans="2:4" x14ac:dyDescent="0.3">
      <c r="B273" s="29" t="s">
        <v>1049</v>
      </c>
      <c r="D273" s="30"/>
    </row>
    <row r="274" spans="2:4" x14ac:dyDescent="0.3">
      <c r="B274" s="29" t="s">
        <v>1049</v>
      </c>
      <c r="D274" s="30"/>
    </row>
    <row r="275" spans="2:4" x14ac:dyDescent="0.3">
      <c r="B275" s="29" t="s">
        <v>1049</v>
      </c>
      <c r="D275" s="30"/>
    </row>
    <row r="276" spans="2:4" x14ac:dyDescent="0.3">
      <c r="B276" s="29" t="s">
        <v>1049</v>
      </c>
      <c r="D276" s="30"/>
    </row>
    <row r="277" spans="2:4" x14ac:dyDescent="0.3">
      <c r="B277" s="29" t="s">
        <v>1049</v>
      </c>
      <c r="D277" s="30"/>
    </row>
    <row r="278" spans="2:4" x14ac:dyDescent="0.3">
      <c r="B278" s="29" t="s">
        <v>1049</v>
      </c>
      <c r="D278" s="30"/>
    </row>
    <row r="279" spans="2:4" x14ac:dyDescent="0.3">
      <c r="B279" s="29" t="s">
        <v>1049</v>
      </c>
      <c r="D279" s="30"/>
    </row>
    <row r="280" spans="2:4" x14ac:dyDescent="0.3">
      <c r="B280" s="29" t="s">
        <v>1049</v>
      </c>
      <c r="D280" s="30"/>
    </row>
    <row r="281" spans="2:4" x14ac:dyDescent="0.3">
      <c r="B281" s="29" t="s">
        <v>1049</v>
      </c>
      <c r="D281" s="30"/>
    </row>
    <row r="282" spans="2:4" x14ac:dyDescent="0.3">
      <c r="B282" s="29" t="s">
        <v>1049</v>
      </c>
      <c r="D282" s="30"/>
    </row>
    <row r="283" spans="2:4" x14ac:dyDescent="0.3">
      <c r="B283" s="29" t="s">
        <v>1049</v>
      </c>
      <c r="D283" s="30"/>
    </row>
    <row r="284" spans="2:4" x14ac:dyDescent="0.3">
      <c r="B284" s="29" t="s">
        <v>1049</v>
      </c>
      <c r="D284" s="30"/>
    </row>
    <row r="285" spans="2:4" x14ac:dyDescent="0.3">
      <c r="B285" s="29" t="s">
        <v>1049</v>
      </c>
      <c r="D285" s="30"/>
    </row>
    <row r="286" spans="2:4" x14ac:dyDescent="0.3">
      <c r="B286" s="29" t="s">
        <v>1049</v>
      </c>
      <c r="D286" s="30"/>
    </row>
    <row r="287" spans="2:4" x14ac:dyDescent="0.3">
      <c r="B287" s="29" t="s">
        <v>1049</v>
      </c>
      <c r="D287" s="30"/>
    </row>
    <row r="288" spans="2:4" x14ac:dyDescent="0.3">
      <c r="B288" s="29" t="s">
        <v>1049</v>
      </c>
      <c r="D288" s="30"/>
    </row>
    <row r="289" spans="2:4" x14ac:dyDescent="0.3">
      <c r="B289" s="29" t="s">
        <v>1049</v>
      </c>
      <c r="D289" s="30"/>
    </row>
    <row r="290" spans="2:4" x14ac:dyDescent="0.3">
      <c r="B290" s="29" t="s">
        <v>1049</v>
      </c>
      <c r="D290" s="30"/>
    </row>
    <row r="291" spans="2:4" x14ac:dyDescent="0.3">
      <c r="B291" s="29" t="s">
        <v>1049</v>
      </c>
      <c r="D291" s="30"/>
    </row>
    <row r="292" spans="2:4" x14ac:dyDescent="0.3">
      <c r="B292" s="29" t="s">
        <v>1049</v>
      </c>
      <c r="D292" s="30"/>
    </row>
    <row r="293" spans="2:4" x14ac:dyDescent="0.3">
      <c r="B293" s="29" t="s">
        <v>1049</v>
      </c>
      <c r="D293" s="30"/>
    </row>
    <row r="294" spans="2:4" x14ac:dyDescent="0.3">
      <c r="B294" s="29" t="s">
        <v>1049</v>
      </c>
      <c r="D294" s="30"/>
    </row>
    <row r="295" spans="2:4" x14ac:dyDescent="0.3">
      <c r="B295" s="29" t="s">
        <v>1049</v>
      </c>
      <c r="D295" s="30"/>
    </row>
    <row r="296" spans="2:4" x14ac:dyDescent="0.3">
      <c r="B296" s="29" t="s">
        <v>1049</v>
      </c>
      <c r="D296" s="30"/>
    </row>
    <row r="297" spans="2:4" x14ac:dyDescent="0.3">
      <c r="B297" s="29" t="s">
        <v>1049</v>
      </c>
    </row>
    <row r="298" spans="2:4" x14ac:dyDescent="0.3">
      <c r="B298" s="29" t="s">
        <v>1049</v>
      </c>
      <c r="D298" s="30"/>
    </row>
    <row r="299" spans="2:4" x14ac:dyDescent="0.3">
      <c r="B299" s="29" t="s">
        <v>1049</v>
      </c>
      <c r="D299" s="30"/>
    </row>
    <row r="300" spans="2:4" x14ac:dyDescent="0.3">
      <c r="B300" s="29" t="s">
        <v>1049</v>
      </c>
      <c r="D300" s="30"/>
    </row>
    <row r="301" spans="2:4" x14ac:dyDescent="0.3">
      <c r="B301" s="29" t="s">
        <v>1049</v>
      </c>
    </row>
    <row r="302" spans="2:4" x14ac:dyDescent="0.3">
      <c r="B302" s="29" t="s">
        <v>1049</v>
      </c>
      <c r="D302" s="30"/>
    </row>
    <row r="303" spans="2:4" x14ac:dyDescent="0.3">
      <c r="B303" s="29" t="s">
        <v>1049</v>
      </c>
      <c r="D303" s="30"/>
    </row>
    <row r="304" spans="2:4" x14ac:dyDescent="0.3">
      <c r="B304" s="29" t="s">
        <v>1049</v>
      </c>
      <c r="D304" s="30"/>
    </row>
    <row r="305" spans="2:4" x14ac:dyDescent="0.3">
      <c r="B305" s="29" t="s">
        <v>1049</v>
      </c>
    </row>
    <row r="306" spans="2:4" x14ac:dyDescent="0.3">
      <c r="B306" s="29" t="s">
        <v>1049</v>
      </c>
    </row>
    <row r="307" spans="2:4" x14ac:dyDescent="0.3">
      <c r="B307" s="29" t="s">
        <v>1049</v>
      </c>
      <c r="D307" s="30"/>
    </row>
    <row r="308" spans="2:4" x14ac:dyDescent="0.3">
      <c r="B308" s="29" t="s">
        <v>1049</v>
      </c>
    </row>
    <row r="309" spans="2:4" x14ac:dyDescent="0.3">
      <c r="B309" s="29" t="s">
        <v>1049</v>
      </c>
      <c r="D309" s="30"/>
    </row>
    <row r="310" spans="2:4" x14ac:dyDescent="0.3">
      <c r="B310" s="29" t="s">
        <v>1049</v>
      </c>
      <c r="D310" s="30"/>
    </row>
    <row r="311" spans="2:4" x14ac:dyDescent="0.3">
      <c r="B311" s="29" t="s">
        <v>1049</v>
      </c>
    </row>
    <row r="312" spans="2:4" x14ac:dyDescent="0.3">
      <c r="B312" s="29" t="s">
        <v>1049</v>
      </c>
    </row>
    <row r="313" spans="2:4" x14ac:dyDescent="0.3">
      <c r="B313" s="29" t="s">
        <v>1049</v>
      </c>
      <c r="D313" s="30"/>
    </row>
    <row r="314" spans="2:4" x14ac:dyDescent="0.3">
      <c r="B314" s="29" t="s">
        <v>1049</v>
      </c>
      <c r="D314" s="30"/>
    </row>
    <row r="315" spans="2:4" x14ac:dyDescent="0.3">
      <c r="B315" s="29" t="s">
        <v>1049</v>
      </c>
      <c r="D315" s="30"/>
    </row>
    <row r="316" spans="2:4" x14ac:dyDescent="0.3">
      <c r="B316" s="29" t="s">
        <v>1049</v>
      </c>
      <c r="D316" s="30"/>
    </row>
    <row r="317" spans="2:4" x14ac:dyDescent="0.3">
      <c r="B317" s="29" t="s">
        <v>1049</v>
      </c>
      <c r="D317" s="30"/>
    </row>
    <row r="318" spans="2:4" x14ac:dyDescent="0.3">
      <c r="B318" s="29" t="s">
        <v>1049</v>
      </c>
      <c r="D318" s="30"/>
    </row>
    <row r="319" spans="2:4" x14ac:dyDescent="0.3">
      <c r="B319" s="29" t="s">
        <v>1049</v>
      </c>
      <c r="D319" s="30"/>
    </row>
    <row r="320" spans="2:4" x14ac:dyDescent="0.3">
      <c r="B320" s="29" t="s">
        <v>1049</v>
      </c>
      <c r="D320" s="30"/>
    </row>
    <row r="321" spans="2:4" x14ac:dyDescent="0.3">
      <c r="B321" s="29" t="s">
        <v>1049</v>
      </c>
    </row>
    <row r="322" spans="2:4" x14ac:dyDescent="0.3">
      <c r="B322" s="29" t="s">
        <v>1049</v>
      </c>
      <c r="D322" s="30"/>
    </row>
    <row r="323" spans="2:4" x14ac:dyDescent="0.3">
      <c r="B323" s="29" t="s">
        <v>1049</v>
      </c>
      <c r="D323" s="30"/>
    </row>
    <row r="324" spans="2:4" x14ac:dyDescent="0.3">
      <c r="B324" s="29" t="s">
        <v>1049</v>
      </c>
      <c r="D324" s="30"/>
    </row>
    <row r="325" spans="2:4" x14ac:dyDescent="0.3">
      <c r="B325" s="29" t="s">
        <v>1049</v>
      </c>
      <c r="D325" s="30"/>
    </row>
    <row r="326" spans="2:4" x14ac:dyDescent="0.3">
      <c r="B326" s="29" t="s">
        <v>1049</v>
      </c>
    </row>
    <row r="327" spans="2:4" x14ac:dyDescent="0.3">
      <c r="B327" s="29" t="s">
        <v>1049</v>
      </c>
      <c r="D327" s="30"/>
    </row>
    <row r="328" spans="2:4" x14ac:dyDescent="0.3">
      <c r="B328" s="29" t="s">
        <v>1049</v>
      </c>
      <c r="D328" s="30"/>
    </row>
    <row r="329" spans="2:4" x14ac:dyDescent="0.3">
      <c r="B329" s="29" t="s">
        <v>1049</v>
      </c>
      <c r="D329" s="30"/>
    </row>
    <row r="330" spans="2:4" x14ac:dyDescent="0.3">
      <c r="B330" s="29" t="s">
        <v>1049</v>
      </c>
      <c r="D330" s="30"/>
    </row>
    <row r="331" spans="2:4" x14ac:dyDescent="0.3">
      <c r="B331" s="29" t="s">
        <v>1049</v>
      </c>
      <c r="D331" s="30"/>
    </row>
    <row r="332" spans="2:4" x14ac:dyDescent="0.3">
      <c r="B332" s="29" t="s">
        <v>1049</v>
      </c>
      <c r="D332" s="30"/>
    </row>
    <row r="333" spans="2:4" x14ac:dyDescent="0.3">
      <c r="B333" s="29" t="s">
        <v>1049</v>
      </c>
      <c r="D333" s="30"/>
    </row>
    <row r="334" spans="2:4" x14ac:dyDescent="0.3">
      <c r="B334" s="29" t="s">
        <v>1049</v>
      </c>
    </row>
    <row r="335" spans="2:4" x14ac:dyDescent="0.3">
      <c r="B335" s="29" t="s">
        <v>1049</v>
      </c>
      <c r="D335" s="30"/>
    </row>
    <row r="336" spans="2:4" x14ac:dyDescent="0.3">
      <c r="B336" s="29" t="s">
        <v>1049</v>
      </c>
      <c r="D336" s="30"/>
    </row>
    <row r="337" spans="2:4" x14ac:dyDescent="0.3">
      <c r="B337" s="29" t="s">
        <v>1049</v>
      </c>
    </row>
    <row r="338" spans="2:4" x14ac:dyDescent="0.3">
      <c r="B338" s="29" t="s">
        <v>1049</v>
      </c>
      <c r="D338" s="30"/>
    </row>
    <row r="339" spans="2:4" x14ac:dyDescent="0.3">
      <c r="B339" s="29" t="s">
        <v>1049</v>
      </c>
      <c r="D339" s="30"/>
    </row>
    <row r="340" spans="2:4" x14ac:dyDescent="0.3">
      <c r="B340" s="29" t="s">
        <v>1049</v>
      </c>
    </row>
    <row r="341" spans="2:4" x14ac:dyDescent="0.3">
      <c r="B341" s="29" t="s">
        <v>1049</v>
      </c>
      <c r="D341" s="30"/>
    </row>
    <row r="342" spans="2:4" x14ac:dyDescent="0.3">
      <c r="B342" s="29" t="s">
        <v>1049</v>
      </c>
      <c r="D342" s="30"/>
    </row>
    <row r="343" spans="2:4" x14ac:dyDescent="0.3">
      <c r="B343" s="29" t="s">
        <v>1049</v>
      </c>
    </row>
    <row r="344" spans="2:4" x14ac:dyDescent="0.3">
      <c r="B344" s="29" t="s">
        <v>1049</v>
      </c>
      <c r="D344" s="30"/>
    </row>
    <row r="345" spans="2:4" x14ac:dyDescent="0.3">
      <c r="B345" s="29" t="s">
        <v>1049</v>
      </c>
      <c r="D345" s="30"/>
    </row>
    <row r="346" spans="2:4" x14ac:dyDescent="0.3">
      <c r="B346" s="29" t="s">
        <v>1049</v>
      </c>
    </row>
    <row r="347" spans="2:4" x14ac:dyDescent="0.3">
      <c r="B347" s="29" t="s">
        <v>1049</v>
      </c>
    </row>
    <row r="348" spans="2:4" x14ac:dyDescent="0.3">
      <c r="B348" s="29" t="s">
        <v>1049</v>
      </c>
      <c r="D348" s="30"/>
    </row>
    <row r="349" spans="2:4" x14ac:dyDescent="0.3">
      <c r="B349" s="29" t="s">
        <v>1049</v>
      </c>
    </row>
    <row r="350" spans="2:4" x14ac:dyDescent="0.3">
      <c r="B350" s="29" t="s">
        <v>1049</v>
      </c>
      <c r="D350" s="30"/>
    </row>
    <row r="351" spans="2:4" x14ac:dyDescent="0.3">
      <c r="B351" s="29" t="s">
        <v>1049</v>
      </c>
      <c r="D351" s="30"/>
    </row>
    <row r="352" spans="2:4" x14ac:dyDescent="0.3">
      <c r="B352" s="29" t="s">
        <v>1049</v>
      </c>
      <c r="D352" s="30"/>
    </row>
    <row r="353" spans="2:4" x14ac:dyDescent="0.3">
      <c r="B353" s="29" t="s">
        <v>1049</v>
      </c>
    </row>
    <row r="354" spans="2:4" x14ac:dyDescent="0.3">
      <c r="B354" s="29" t="s">
        <v>1049</v>
      </c>
      <c r="D354" s="30"/>
    </row>
    <row r="355" spans="2:4" x14ac:dyDescent="0.3">
      <c r="B355" s="29" t="s">
        <v>1049</v>
      </c>
      <c r="D355" s="30"/>
    </row>
    <row r="356" spans="2:4" x14ac:dyDescent="0.3">
      <c r="B356" s="29" t="s">
        <v>1049</v>
      </c>
    </row>
    <row r="357" spans="2:4" x14ac:dyDescent="0.3">
      <c r="B357" s="29" t="s">
        <v>1049</v>
      </c>
      <c r="D357" s="30"/>
    </row>
    <row r="358" spans="2:4" x14ac:dyDescent="0.3">
      <c r="B358" s="29" t="s">
        <v>1049</v>
      </c>
      <c r="D358" s="30"/>
    </row>
    <row r="359" spans="2:4" x14ac:dyDescent="0.3">
      <c r="B359" s="29" t="s">
        <v>1049</v>
      </c>
      <c r="D359" s="30"/>
    </row>
    <row r="360" spans="2:4" x14ac:dyDescent="0.3">
      <c r="B360" s="29" t="s">
        <v>1049</v>
      </c>
      <c r="D360" s="30"/>
    </row>
    <row r="361" spans="2:4" x14ac:dyDescent="0.3">
      <c r="B361" s="29" t="s">
        <v>1049</v>
      </c>
      <c r="D361" s="30"/>
    </row>
    <row r="362" spans="2:4" x14ac:dyDescent="0.3">
      <c r="B362" s="29" t="s">
        <v>1049</v>
      </c>
    </row>
    <row r="363" spans="2:4" x14ac:dyDescent="0.3">
      <c r="B363" s="29" t="s">
        <v>1049</v>
      </c>
    </row>
    <row r="364" spans="2:4" x14ac:dyDescent="0.3">
      <c r="B364" s="29" t="s">
        <v>1049</v>
      </c>
      <c r="D364" s="30"/>
    </row>
    <row r="365" spans="2:4" x14ac:dyDescent="0.3">
      <c r="B365" s="29" t="s">
        <v>1049</v>
      </c>
      <c r="D365" s="30"/>
    </row>
    <row r="366" spans="2:4" x14ac:dyDescent="0.3">
      <c r="B366" s="29" t="s">
        <v>1049</v>
      </c>
      <c r="D366" s="30"/>
    </row>
    <row r="367" spans="2:4" x14ac:dyDescent="0.3">
      <c r="B367" s="29" t="s">
        <v>1049</v>
      </c>
      <c r="D367" s="30"/>
    </row>
    <row r="368" spans="2:4" x14ac:dyDescent="0.3">
      <c r="B368" s="29" t="s">
        <v>1049</v>
      </c>
      <c r="D368" s="30"/>
    </row>
    <row r="369" spans="2:4" x14ac:dyDescent="0.3">
      <c r="B369" s="29" t="s">
        <v>1049</v>
      </c>
    </row>
    <row r="370" spans="2:4" x14ac:dyDescent="0.3">
      <c r="B370" s="29" t="s">
        <v>1049</v>
      </c>
    </row>
    <row r="371" spans="2:4" x14ac:dyDescent="0.3">
      <c r="B371" s="29" t="s">
        <v>1049</v>
      </c>
      <c r="D371" s="30"/>
    </row>
    <row r="372" spans="2:4" x14ac:dyDescent="0.3">
      <c r="B372" s="29" t="s">
        <v>1049</v>
      </c>
      <c r="D372" s="30"/>
    </row>
    <row r="373" spans="2:4" x14ac:dyDescent="0.3">
      <c r="B373" s="29" t="s">
        <v>1049</v>
      </c>
      <c r="D373" s="30"/>
    </row>
    <row r="374" spans="2:4" x14ac:dyDescent="0.3">
      <c r="B374" s="29" t="s">
        <v>1049</v>
      </c>
      <c r="D374" s="30"/>
    </row>
    <row r="375" spans="2:4" x14ac:dyDescent="0.3">
      <c r="B375" s="29" t="s">
        <v>1049</v>
      </c>
      <c r="D375" s="30"/>
    </row>
    <row r="376" spans="2:4" x14ac:dyDescent="0.3">
      <c r="B376" s="29" t="s">
        <v>1049</v>
      </c>
    </row>
    <row r="377" spans="2:4" x14ac:dyDescent="0.3">
      <c r="B377" s="29" t="s">
        <v>1049</v>
      </c>
      <c r="D377" s="30"/>
    </row>
    <row r="378" spans="2:4" x14ac:dyDescent="0.3">
      <c r="B378" s="29" t="s">
        <v>1049</v>
      </c>
      <c r="D378" s="30"/>
    </row>
    <row r="379" spans="2:4" x14ac:dyDescent="0.3">
      <c r="B379" s="29" t="s">
        <v>1049</v>
      </c>
      <c r="D379" s="30"/>
    </row>
    <row r="380" spans="2:4" x14ac:dyDescent="0.3">
      <c r="B380" s="29" t="s">
        <v>1049</v>
      </c>
      <c r="D380" s="30"/>
    </row>
    <row r="381" spans="2:4" x14ac:dyDescent="0.3">
      <c r="B381" s="29" t="s">
        <v>1049</v>
      </c>
      <c r="D381" s="30"/>
    </row>
    <row r="382" spans="2:4" x14ac:dyDescent="0.3">
      <c r="B382" s="29" t="s">
        <v>1049</v>
      </c>
      <c r="D382" s="30"/>
    </row>
    <row r="383" spans="2:4" x14ac:dyDescent="0.3">
      <c r="B383" s="29" t="s">
        <v>1049</v>
      </c>
    </row>
    <row r="384" spans="2:4" x14ac:dyDescent="0.3">
      <c r="B384" s="29" t="s">
        <v>1049</v>
      </c>
      <c r="D384" s="30"/>
    </row>
    <row r="385" spans="2:4" x14ac:dyDescent="0.3">
      <c r="B385" s="29" t="s">
        <v>1049</v>
      </c>
      <c r="D385" s="30"/>
    </row>
    <row r="386" spans="2:4" x14ac:dyDescent="0.3">
      <c r="B386" s="29" t="s">
        <v>1049</v>
      </c>
      <c r="D386" s="30"/>
    </row>
    <row r="387" spans="2:4" x14ac:dyDescent="0.3">
      <c r="B387" s="29" t="s">
        <v>1049</v>
      </c>
      <c r="D387" s="30"/>
    </row>
    <row r="388" spans="2:4" x14ac:dyDescent="0.3">
      <c r="B388" s="29" t="s">
        <v>1049</v>
      </c>
      <c r="D388" s="30"/>
    </row>
    <row r="389" spans="2:4" x14ac:dyDescent="0.3">
      <c r="B389" s="29" t="s">
        <v>1049</v>
      </c>
      <c r="D389" s="30"/>
    </row>
    <row r="390" spans="2:4" x14ac:dyDescent="0.3">
      <c r="B390" s="29" t="s">
        <v>1049</v>
      </c>
    </row>
    <row r="391" spans="2:4" x14ac:dyDescent="0.3">
      <c r="B391" s="29" t="s">
        <v>1049</v>
      </c>
      <c r="D391" s="30"/>
    </row>
    <row r="392" spans="2:4" x14ac:dyDescent="0.3">
      <c r="B392" s="29" t="s">
        <v>1049</v>
      </c>
      <c r="D392" s="30"/>
    </row>
    <row r="393" spans="2:4" x14ac:dyDescent="0.3">
      <c r="B393" s="29" t="s">
        <v>1049</v>
      </c>
      <c r="D393" s="30"/>
    </row>
    <row r="394" spans="2:4" x14ac:dyDescent="0.3">
      <c r="B394" s="29" t="s">
        <v>1049</v>
      </c>
      <c r="D394" s="30"/>
    </row>
    <row r="395" spans="2:4" x14ac:dyDescent="0.3">
      <c r="B395" s="29" t="s">
        <v>1049</v>
      </c>
      <c r="D395" s="30"/>
    </row>
    <row r="396" spans="2:4" x14ac:dyDescent="0.3">
      <c r="B396" s="29" t="s">
        <v>1049</v>
      </c>
      <c r="D396" s="30"/>
    </row>
    <row r="397" spans="2:4" x14ac:dyDescent="0.3">
      <c r="B397" s="29" t="s">
        <v>1049</v>
      </c>
    </row>
    <row r="398" spans="2:4" x14ac:dyDescent="0.3">
      <c r="B398" s="29" t="s">
        <v>1049</v>
      </c>
    </row>
    <row r="399" spans="2:4" x14ac:dyDescent="0.3">
      <c r="B399" s="29" t="s">
        <v>1049</v>
      </c>
    </row>
    <row r="400" spans="2:4" x14ac:dyDescent="0.3">
      <c r="B400" s="29" t="s">
        <v>1049</v>
      </c>
    </row>
    <row r="401" spans="2:4" x14ac:dyDescent="0.3">
      <c r="B401" s="29" t="s">
        <v>1049</v>
      </c>
    </row>
    <row r="402" spans="2:4" x14ac:dyDescent="0.3">
      <c r="B402" s="29" t="s">
        <v>1049</v>
      </c>
    </row>
    <row r="403" spans="2:4" x14ac:dyDescent="0.3">
      <c r="B403" s="29" t="s">
        <v>1049</v>
      </c>
    </row>
    <row r="404" spans="2:4" x14ac:dyDescent="0.3">
      <c r="B404" s="29" t="s">
        <v>1049</v>
      </c>
    </row>
    <row r="405" spans="2:4" x14ac:dyDescent="0.3">
      <c r="B405" s="29" t="s">
        <v>1049</v>
      </c>
    </row>
    <row r="406" spans="2:4" x14ac:dyDescent="0.3">
      <c r="B406" s="29" t="s">
        <v>1049</v>
      </c>
    </row>
    <row r="407" spans="2:4" x14ac:dyDescent="0.3">
      <c r="B407" s="29" t="s">
        <v>1049</v>
      </c>
    </row>
    <row r="408" spans="2:4" x14ac:dyDescent="0.3">
      <c r="B408" s="29" t="s">
        <v>1049</v>
      </c>
    </row>
    <row r="409" spans="2:4" x14ac:dyDescent="0.3">
      <c r="B409" s="29" t="s">
        <v>1049</v>
      </c>
    </row>
    <row r="410" spans="2:4" x14ac:dyDescent="0.3">
      <c r="B410" s="29" t="s">
        <v>1049</v>
      </c>
      <c r="D410" s="30"/>
    </row>
    <row r="411" spans="2:4" x14ac:dyDescent="0.3">
      <c r="B411" s="29" t="s">
        <v>1049</v>
      </c>
      <c r="D411" s="30"/>
    </row>
    <row r="412" spans="2:4" x14ac:dyDescent="0.3">
      <c r="B412" s="29" t="s">
        <v>1049</v>
      </c>
      <c r="D412" s="30"/>
    </row>
    <row r="413" spans="2:4" x14ac:dyDescent="0.3">
      <c r="B413" s="29" t="s">
        <v>1049</v>
      </c>
      <c r="D413" s="30"/>
    </row>
    <row r="414" spans="2:4" x14ac:dyDescent="0.3">
      <c r="B414" s="29" t="s">
        <v>1049</v>
      </c>
    </row>
    <row r="415" spans="2:4" x14ac:dyDescent="0.3">
      <c r="B415" s="29" t="s">
        <v>1049</v>
      </c>
      <c r="D415" s="30"/>
    </row>
    <row r="416" spans="2:4" x14ac:dyDescent="0.3">
      <c r="B416" s="29" t="s">
        <v>1049</v>
      </c>
      <c r="D416" s="30"/>
    </row>
    <row r="417" spans="2:4" x14ac:dyDescent="0.3">
      <c r="B417" s="29" t="s">
        <v>1049</v>
      </c>
    </row>
    <row r="418" spans="2:4" x14ac:dyDescent="0.3">
      <c r="B418" s="29" t="s">
        <v>1049</v>
      </c>
      <c r="D418" s="30"/>
    </row>
    <row r="419" spans="2:4" x14ac:dyDescent="0.3">
      <c r="B419" s="29" t="s">
        <v>1049</v>
      </c>
      <c r="D419" s="30"/>
    </row>
    <row r="420" spans="2:4" x14ac:dyDescent="0.3">
      <c r="B420" s="29" t="s">
        <v>1049</v>
      </c>
    </row>
    <row r="421" spans="2:4" x14ac:dyDescent="0.3">
      <c r="B421" s="29" t="s">
        <v>1049</v>
      </c>
      <c r="D421" s="30"/>
    </row>
    <row r="422" spans="2:4" x14ac:dyDescent="0.3">
      <c r="B422" s="29" t="s">
        <v>1049</v>
      </c>
      <c r="D422" s="30"/>
    </row>
    <row r="423" spans="2:4" x14ac:dyDescent="0.3">
      <c r="B423" s="29" t="s">
        <v>1049</v>
      </c>
    </row>
    <row r="424" spans="2:4" x14ac:dyDescent="0.3">
      <c r="B424" s="29" t="s">
        <v>1049</v>
      </c>
      <c r="D424" s="30"/>
    </row>
    <row r="425" spans="2:4" x14ac:dyDescent="0.3">
      <c r="B425" s="29" t="s">
        <v>1049</v>
      </c>
      <c r="D425" s="30"/>
    </row>
    <row r="426" spans="2:4" x14ac:dyDescent="0.3">
      <c r="B426" s="29" t="s">
        <v>1049</v>
      </c>
    </row>
    <row r="427" spans="2:4" x14ac:dyDescent="0.3">
      <c r="B427" s="29" t="s">
        <v>1049</v>
      </c>
      <c r="D427" s="30"/>
    </row>
    <row r="428" spans="2:4" x14ac:dyDescent="0.3">
      <c r="B428" s="29" t="s">
        <v>1049</v>
      </c>
      <c r="D428" s="30"/>
    </row>
    <row r="429" spans="2:4" x14ac:dyDescent="0.3">
      <c r="B429" s="29" t="s">
        <v>1049</v>
      </c>
      <c r="D429" s="30"/>
    </row>
    <row r="430" spans="2:4" x14ac:dyDescent="0.3">
      <c r="B430" s="29" t="s">
        <v>1049</v>
      </c>
      <c r="D430" s="30"/>
    </row>
    <row r="431" spans="2:4" x14ac:dyDescent="0.3">
      <c r="B431" s="29" t="s">
        <v>1049</v>
      </c>
      <c r="D431" s="30"/>
    </row>
    <row r="432" spans="2:4" x14ac:dyDescent="0.3">
      <c r="B432" s="29" t="s">
        <v>1049</v>
      </c>
      <c r="D432" s="30"/>
    </row>
    <row r="433" spans="2:4" x14ac:dyDescent="0.3">
      <c r="B433" s="29" t="s">
        <v>1049</v>
      </c>
      <c r="D433" s="30"/>
    </row>
    <row r="434" spans="2:4" x14ac:dyDescent="0.3">
      <c r="B434" s="29" t="s">
        <v>1049</v>
      </c>
      <c r="D434" s="30"/>
    </row>
    <row r="435" spans="2:4" x14ac:dyDescent="0.3">
      <c r="B435" s="29" t="s">
        <v>1049</v>
      </c>
      <c r="D435" s="30"/>
    </row>
    <row r="436" spans="2:4" x14ac:dyDescent="0.3">
      <c r="B436" s="29" t="s">
        <v>1049</v>
      </c>
      <c r="D436" s="30"/>
    </row>
    <row r="437" spans="2:4" x14ac:dyDescent="0.3">
      <c r="B437" s="29" t="s">
        <v>1049</v>
      </c>
      <c r="D437" s="30"/>
    </row>
    <row r="438" spans="2:4" x14ac:dyDescent="0.3">
      <c r="B438" s="29" t="s">
        <v>1049</v>
      </c>
      <c r="D438" s="30"/>
    </row>
    <row r="439" spans="2:4" x14ac:dyDescent="0.3">
      <c r="B439" s="29" t="s">
        <v>1049</v>
      </c>
      <c r="D439" s="30"/>
    </row>
    <row r="440" spans="2:4" x14ac:dyDescent="0.3">
      <c r="B440" s="29" t="s">
        <v>1049</v>
      </c>
      <c r="D440" s="30"/>
    </row>
    <row r="441" spans="2:4" x14ac:dyDescent="0.3">
      <c r="B441" s="29" t="s">
        <v>1049</v>
      </c>
      <c r="D441" s="30"/>
    </row>
    <row r="442" spans="2:4" x14ac:dyDescent="0.3">
      <c r="B442" s="29" t="s">
        <v>1049</v>
      </c>
      <c r="D442" s="30"/>
    </row>
    <row r="443" spans="2:4" x14ac:dyDescent="0.3">
      <c r="B443" s="29" t="s">
        <v>1049</v>
      </c>
      <c r="D443" s="30"/>
    </row>
    <row r="444" spans="2:4" x14ac:dyDescent="0.3">
      <c r="B444" s="29" t="s">
        <v>1049</v>
      </c>
      <c r="D444" s="30"/>
    </row>
    <row r="445" spans="2:4" x14ac:dyDescent="0.3">
      <c r="B445" s="29" t="s">
        <v>1049</v>
      </c>
      <c r="D445" s="30"/>
    </row>
    <row r="446" spans="2:4" x14ac:dyDescent="0.3">
      <c r="B446" s="29" t="s">
        <v>1049</v>
      </c>
      <c r="D446" s="30"/>
    </row>
    <row r="447" spans="2:4" x14ac:dyDescent="0.3">
      <c r="B447" s="29" t="s">
        <v>1049</v>
      </c>
      <c r="D447" s="30"/>
    </row>
    <row r="448" spans="2:4" x14ac:dyDescent="0.3">
      <c r="B448" s="29" t="s">
        <v>1049</v>
      </c>
      <c r="D448" s="30"/>
    </row>
    <row r="449" spans="2:4" x14ac:dyDescent="0.3">
      <c r="B449" s="29" t="s">
        <v>1049</v>
      </c>
      <c r="D449" s="30"/>
    </row>
    <row r="450" spans="2:4" x14ac:dyDescent="0.3">
      <c r="B450" s="29" t="s">
        <v>1049</v>
      </c>
      <c r="D450" s="30"/>
    </row>
    <row r="451" spans="2:4" x14ac:dyDescent="0.3">
      <c r="B451" s="29" t="s">
        <v>1049</v>
      </c>
      <c r="D451" s="30"/>
    </row>
    <row r="452" spans="2:4" x14ac:dyDescent="0.3">
      <c r="B452" s="29" t="s">
        <v>1049</v>
      </c>
      <c r="D452" s="30"/>
    </row>
    <row r="453" spans="2:4" x14ac:dyDescent="0.3">
      <c r="B453" s="29" t="s">
        <v>1049</v>
      </c>
      <c r="D453" s="30"/>
    </row>
    <row r="454" spans="2:4" x14ac:dyDescent="0.3">
      <c r="B454" s="29" t="s">
        <v>1049</v>
      </c>
      <c r="D454" s="30"/>
    </row>
    <row r="455" spans="2:4" x14ac:dyDescent="0.3">
      <c r="B455" s="29" t="s">
        <v>1049</v>
      </c>
      <c r="D455" s="30"/>
    </row>
    <row r="456" spans="2:4" x14ac:dyDescent="0.3">
      <c r="B456" s="29" t="s">
        <v>1049</v>
      </c>
      <c r="D456" s="30"/>
    </row>
    <row r="457" spans="2:4" x14ac:dyDescent="0.3">
      <c r="B457" s="29" t="s">
        <v>1049</v>
      </c>
      <c r="D457" s="30"/>
    </row>
    <row r="458" spans="2:4" x14ac:dyDescent="0.3">
      <c r="B458" s="29" t="s">
        <v>1049</v>
      </c>
      <c r="D458" s="30"/>
    </row>
    <row r="459" spans="2:4" x14ac:dyDescent="0.3">
      <c r="B459" s="29" t="s">
        <v>1049</v>
      </c>
      <c r="D459" s="30"/>
    </row>
    <row r="460" spans="2:4" x14ac:dyDescent="0.3">
      <c r="B460" s="29" t="s">
        <v>1049</v>
      </c>
      <c r="D460" s="30"/>
    </row>
    <row r="461" spans="2:4" x14ac:dyDescent="0.3">
      <c r="B461" s="29" t="s">
        <v>1049</v>
      </c>
      <c r="D461" s="30"/>
    </row>
    <row r="462" spans="2:4" x14ac:dyDescent="0.3">
      <c r="B462" s="29" t="s">
        <v>1049</v>
      </c>
      <c r="D462" s="30"/>
    </row>
    <row r="463" spans="2:4" x14ac:dyDescent="0.3">
      <c r="B463" s="29" t="s">
        <v>1049</v>
      </c>
      <c r="D463" s="30"/>
    </row>
    <row r="464" spans="2:4" x14ac:dyDescent="0.3">
      <c r="B464" s="29" t="s">
        <v>1049</v>
      </c>
      <c r="D464" s="30"/>
    </row>
    <row r="465" spans="2:4" x14ac:dyDescent="0.3">
      <c r="B465" s="29" t="s">
        <v>1049</v>
      </c>
      <c r="D465" s="30"/>
    </row>
    <row r="466" spans="2:4" x14ac:dyDescent="0.3">
      <c r="B466" s="29" t="s">
        <v>1049</v>
      </c>
      <c r="D466" s="30"/>
    </row>
    <row r="467" spans="2:4" x14ac:dyDescent="0.3">
      <c r="B467" s="29" t="s">
        <v>1049</v>
      </c>
      <c r="D467" s="30"/>
    </row>
    <row r="468" spans="2:4" x14ac:dyDescent="0.3">
      <c r="B468" s="29" t="s">
        <v>1049</v>
      </c>
      <c r="D468" s="30"/>
    </row>
    <row r="469" spans="2:4" x14ac:dyDescent="0.3">
      <c r="B469" s="29" t="s">
        <v>1049</v>
      </c>
      <c r="D469" s="30"/>
    </row>
    <row r="470" spans="2:4" x14ac:dyDescent="0.3">
      <c r="B470" s="29" t="s">
        <v>1049</v>
      </c>
      <c r="D470" s="30"/>
    </row>
    <row r="471" spans="2:4" x14ac:dyDescent="0.3">
      <c r="B471" s="29" t="s">
        <v>1049</v>
      </c>
      <c r="D471" s="30"/>
    </row>
    <row r="472" spans="2:4" x14ac:dyDescent="0.3">
      <c r="B472" s="29" t="s">
        <v>1049</v>
      </c>
      <c r="D472" s="30"/>
    </row>
    <row r="473" spans="2:4" x14ac:dyDescent="0.3">
      <c r="B473" s="29" t="s">
        <v>1049</v>
      </c>
      <c r="D473" s="30"/>
    </row>
    <row r="474" spans="2:4" x14ac:dyDescent="0.3">
      <c r="B474" s="29" t="s">
        <v>1049</v>
      </c>
      <c r="D474" s="30"/>
    </row>
    <row r="475" spans="2:4" x14ac:dyDescent="0.3">
      <c r="B475" s="29" t="s">
        <v>1049</v>
      </c>
      <c r="D475" s="30"/>
    </row>
    <row r="476" spans="2:4" x14ac:dyDescent="0.3">
      <c r="B476" s="29" t="s">
        <v>1049</v>
      </c>
      <c r="D476" s="30"/>
    </row>
    <row r="477" spans="2:4" x14ac:dyDescent="0.3">
      <c r="B477" s="29" t="s">
        <v>1049</v>
      </c>
      <c r="D477" s="30"/>
    </row>
    <row r="478" spans="2:4" x14ac:dyDescent="0.3">
      <c r="B478" s="29" t="s">
        <v>1049</v>
      </c>
      <c r="D478" s="30"/>
    </row>
    <row r="479" spans="2:4" x14ac:dyDescent="0.3">
      <c r="B479" s="29" t="s">
        <v>1049</v>
      </c>
      <c r="D479" s="30"/>
    </row>
    <row r="480" spans="2:4" x14ac:dyDescent="0.3">
      <c r="B480" s="29" t="s">
        <v>1049</v>
      </c>
      <c r="D480" s="30"/>
    </row>
    <row r="481" spans="2:4" x14ac:dyDescent="0.3">
      <c r="B481" s="29" t="s">
        <v>1049</v>
      </c>
      <c r="D481" s="30"/>
    </row>
    <row r="482" spans="2:4" x14ac:dyDescent="0.3">
      <c r="B482" s="29" t="s">
        <v>1049</v>
      </c>
      <c r="D482" s="30"/>
    </row>
    <row r="483" spans="2:4" x14ac:dyDescent="0.3">
      <c r="B483" s="29" t="s">
        <v>1049</v>
      </c>
      <c r="D483" s="30"/>
    </row>
    <row r="484" spans="2:4" x14ac:dyDescent="0.3">
      <c r="B484" s="29" t="s">
        <v>1049</v>
      </c>
      <c r="D484" s="30"/>
    </row>
    <row r="485" spans="2:4" x14ac:dyDescent="0.3">
      <c r="B485" s="29" t="s">
        <v>1049</v>
      </c>
      <c r="D485" s="30"/>
    </row>
    <row r="486" spans="2:4" x14ac:dyDescent="0.3">
      <c r="B486" s="29" t="s">
        <v>1049</v>
      </c>
      <c r="D486" s="30"/>
    </row>
    <row r="487" spans="2:4" x14ac:dyDescent="0.3">
      <c r="B487" s="29" t="s">
        <v>1049</v>
      </c>
      <c r="D487" s="30"/>
    </row>
    <row r="488" spans="2:4" x14ac:dyDescent="0.3">
      <c r="B488" s="29" t="s">
        <v>1049</v>
      </c>
      <c r="D488" s="30"/>
    </row>
    <row r="489" spans="2:4" x14ac:dyDescent="0.3">
      <c r="B489" s="29" t="s">
        <v>1049</v>
      </c>
      <c r="D489" s="30"/>
    </row>
    <row r="490" spans="2:4" x14ac:dyDescent="0.3">
      <c r="B490" s="29" t="s">
        <v>1049</v>
      </c>
      <c r="D490" s="30"/>
    </row>
    <row r="491" spans="2:4" x14ac:dyDescent="0.3">
      <c r="B491" s="29" t="s">
        <v>1049</v>
      </c>
      <c r="D491" s="30"/>
    </row>
    <row r="492" spans="2:4" x14ac:dyDescent="0.3">
      <c r="B492" s="29" t="s">
        <v>1049</v>
      </c>
      <c r="D492" s="30"/>
    </row>
    <row r="493" spans="2:4" x14ac:dyDescent="0.3">
      <c r="B493" s="29" t="s">
        <v>1049</v>
      </c>
      <c r="D493" s="30"/>
    </row>
    <row r="494" spans="2:4" x14ac:dyDescent="0.3">
      <c r="B494" s="29" t="s">
        <v>1049</v>
      </c>
      <c r="D494" s="30"/>
    </row>
    <row r="495" spans="2:4" x14ac:dyDescent="0.3">
      <c r="B495" s="29" t="s">
        <v>1049</v>
      </c>
      <c r="D495" s="30"/>
    </row>
    <row r="496" spans="2:4" x14ac:dyDescent="0.3">
      <c r="B496" s="29" t="s">
        <v>1049</v>
      </c>
      <c r="D496" s="30"/>
    </row>
    <row r="497" spans="2:4" x14ac:dyDescent="0.3">
      <c r="B497" s="29" t="s">
        <v>1049</v>
      </c>
      <c r="D497" s="30"/>
    </row>
    <row r="498" spans="2:4" x14ac:dyDescent="0.3">
      <c r="B498" s="29" t="s">
        <v>1049</v>
      </c>
    </row>
    <row r="499" spans="2:4" x14ac:dyDescent="0.3">
      <c r="B499" s="29" t="s">
        <v>1049</v>
      </c>
    </row>
    <row r="500" spans="2:4" x14ac:dyDescent="0.3">
      <c r="B500" s="29" t="s">
        <v>1049</v>
      </c>
    </row>
    <row r="501" spans="2:4" x14ac:dyDescent="0.3">
      <c r="B501" s="29" t="s">
        <v>1049</v>
      </c>
    </row>
    <row r="502" spans="2:4" x14ac:dyDescent="0.3">
      <c r="B502" s="29" t="s">
        <v>1049</v>
      </c>
    </row>
    <row r="503" spans="2:4" x14ac:dyDescent="0.3">
      <c r="B503" s="29" t="s">
        <v>1049</v>
      </c>
    </row>
    <row r="504" spans="2:4" x14ac:dyDescent="0.3">
      <c r="B504" s="29" t="s">
        <v>1049</v>
      </c>
    </row>
    <row r="505" spans="2:4" x14ac:dyDescent="0.3">
      <c r="B505" s="29" t="s">
        <v>1049</v>
      </c>
    </row>
    <row r="506" spans="2:4" x14ac:dyDescent="0.3">
      <c r="B506" s="29" t="s">
        <v>1049</v>
      </c>
    </row>
    <row r="507" spans="2:4" x14ac:dyDescent="0.3">
      <c r="B507" s="29" t="s">
        <v>1049</v>
      </c>
    </row>
    <row r="508" spans="2:4" x14ac:dyDescent="0.3">
      <c r="B508" s="29" t="s">
        <v>1049</v>
      </c>
    </row>
    <row r="509" spans="2:4" x14ac:dyDescent="0.3">
      <c r="B509" s="29" t="s">
        <v>1049</v>
      </c>
    </row>
    <row r="510" spans="2:4" x14ac:dyDescent="0.3">
      <c r="B510" s="29" t="s">
        <v>1049</v>
      </c>
    </row>
    <row r="511" spans="2:4" x14ac:dyDescent="0.3">
      <c r="B511" s="29" t="s">
        <v>1049</v>
      </c>
    </row>
    <row r="512" spans="2:4" x14ac:dyDescent="0.3">
      <c r="B512" s="29" t="s">
        <v>1049</v>
      </c>
    </row>
    <row r="513" spans="2:2" x14ac:dyDescent="0.3">
      <c r="B513" s="29" t="s">
        <v>1049</v>
      </c>
    </row>
    <row r="514" spans="2:2" x14ac:dyDescent="0.3">
      <c r="B514" s="29" t="s">
        <v>1049</v>
      </c>
    </row>
    <row r="515" spans="2:2" x14ac:dyDescent="0.3">
      <c r="B515" s="29" t="s">
        <v>1049</v>
      </c>
    </row>
    <row r="516" spans="2:2" x14ac:dyDescent="0.3">
      <c r="B516" s="29" t="s">
        <v>1049</v>
      </c>
    </row>
    <row r="517" spans="2:2" x14ac:dyDescent="0.3">
      <c r="B517" s="29" t="s">
        <v>1049</v>
      </c>
    </row>
    <row r="518" spans="2:2" x14ac:dyDescent="0.3">
      <c r="B518" s="29" t="s">
        <v>1049</v>
      </c>
    </row>
    <row r="519" spans="2:2" x14ac:dyDescent="0.3">
      <c r="B519" s="29" t="s">
        <v>1049</v>
      </c>
    </row>
    <row r="520" spans="2:2" x14ac:dyDescent="0.3">
      <c r="B520" s="29" t="s">
        <v>1049</v>
      </c>
    </row>
    <row r="521" spans="2:2" x14ac:dyDescent="0.3">
      <c r="B521" s="29" t="s">
        <v>1049</v>
      </c>
    </row>
    <row r="522" spans="2:2" x14ac:dyDescent="0.3">
      <c r="B522" s="29" t="s">
        <v>1049</v>
      </c>
    </row>
    <row r="523" spans="2:2" x14ac:dyDescent="0.3">
      <c r="B523" s="29" t="s">
        <v>1049</v>
      </c>
    </row>
    <row r="524" spans="2:2" x14ac:dyDescent="0.3">
      <c r="B524" s="29" t="s">
        <v>1049</v>
      </c>
    </row>
    <row r="525" spans="2:2" x14ac:dyDescent="0.3">
      <c r="B525" s="29" t="s">
        <v>1049</v>
      </c>
    </row>
    <row r="526" spans="2:2" x14ac:dyDescent="0.3">
      <c r="B526" s="29" t="s">
        <v>1049</v>
      </c>
    </row>
    <row r="527" spans="2:2" x14ac:dyDescent="0.3">
      <c r="B527" s="29" t="s">
        <v>1049</v>
      </c>
    </row>
    <row r="528" spans="2:2" x14ac:dyDescent="0.3">
      <c r="B528" s="29" t="s">
        <v>1049</v>
      </c>
    </row>
    <row r="529" spans="2:2" x14ac:dyDescent="0.3">
      <c r="B529" s="29" t="s">
        <v>1049</v>
      </c>
    </row>
    <row r="530" spans="2:2" x14ac:dyDescent="0.3">
      <c r="B530" s="29" t="s">
        <v>1049</v>
      </c>
    </row>
    <row r="531" spans="2:2" x14ac:dyDescent="0.3">
      <c r="B531" s="29" t="s">
        <v>1049</v>
      </c>
    </row>
    <row r="532" spans="2:2" x14ac:dyDescent="0.3">
      <c r="B532" s="29" t="s">
        <v>1049</v>
      </c>
    </row>
    <row r="533" spans="2:2" x14ac:dyDescent="0.3">
      <c r="B533" s="29" t="s">
        <v>1049</v>
      </c>
    </row>
    <row r="534" spans="2:2" x14ac:dyDescent="0.3">
      <c r="B534" s="29" t="s">
        <v>1049</v>
      </c>
    </row>
    <row r="535" spans="2:2" x14ac:dyDescent="0.3">
      <c r="B535" s="29" t="s">
        <v>1049</v>
      </c>
    </row>
    <row r="536" spans="2:2" x14ac:dyDescent="0.3">
      <c r="B536" s="29" t="s">
        <v>1049</v>
      </c>
    </row>
    <row r="537" spans="2:2" x14ac:dyDescent="0.3">
      <c r="B537" s="29" t="s">
        <v>1049</v>
      </c>
    </row>
    <row r="538" spans="2:2" x14ac:dyDescent="0.3">
      <c r="B538" s="29" t="s">
        <v>1049</v>
      </c>
    </row>
    <row r="539" spans="2:2" x14ac:dyDescent="0.3">
      <c r="B539" s="29" t="s">
        <v>1049</v>
      </c>
    </row>
    <row r="540" spans="2:2" x14ac:dyDescent="0.3">
      <c r="B540" s="29" t="s">
        <v>1049</v>
      </c>
    </row>
    <row r="541" spans="2:2" x14ac:dyDescent="0.3">
      <c r="B541" s="29" t="s">
        <v>1049</v>
      </c>
    </row>
    <row r="542" spans="2:2" x14ac:dyDescent="0.3">
      <c r="B542" s="29" t="s">
        <v>1049</v>
      </c>
    </row>
    <row r="543" spans="2:2" x14ac:dyDescent="0.3">
      <c r="B543" s="29" t="s">
        <v>1049</v>
      </c>
    </row>
    <row r="544" spans="2:2" x14ac:dyDescent="0.3">
      <c r="B544" s="29" t="s">
        <v>1049</v>
      </c>
    </row>
    <row r="545" spans="2:2" x14ac:dyDescent="0.3">
      <c r="B545" s="29" t="s">
        <v>1049</v>
      </c>
    </row>
    <row r="546" spans="2:2" x14ac:dyDescent="0.3">
      <c r="B546" s="29" t="s">
        <v>1049</v>
      </c>
    </row>
    <row r="547" spans="2:2" x14ac:dyDescent="0.3">
      <c r="B547" s="29" t="s">
        <v>1049</v>
      </c>
    </row>
    <row r="548" spans="2:2" x14ac:dyDescent="0.3">
      <c r="B548" s="29" t="s">
        <v>1049</v>
      </c>
    </row>
    <row r="549" spans="2:2" x14ac:dyDescent="0.3">
      <c r="B549" s="29" t="s">
        <v>1049</v>
      </c>
    </row>
    <row r="550" spans="2:2" x14ac:dyDescent="0.3">
      <c r="B550" s="29" t="s">
        <v>1049</v>
      </c>
    </row>
    <row r="551" spans="2:2" x14ac:dyDescent="0.3">
      <c r="B551" s="29" t="s">
        <v>1049</v>
      </c>
    </row>
    <row r="552" spans="2:2" x14ac:dyDescent="0.3">
      <c r="B552" s="29" t="s">
        <v>1049</v>
      </c>
    </row>
    <row r="553" spans="2:2" x14ac:dyDescent="0.3">
      <c r="B553" s="29" t="s">
        <v>1049</v>
      </c>
    </row>
    <row r="554" spans="2:2" x14ac:dyDescent="0.3">
      <c r="B554" s="29" t="s">
        <v>1049</v>
      </c>
    </row>
    <row r="555" spans="2:2" x14ac:dyDescent="0.3">
      <c r="B555" s="29" t="s">
        <v>1049</v>
      </c>
    </row>
    <row r="556" spans="2:2" x14ac:dyDescent="0.3">
      <c r="B556" s="29" t="s">
        <v>1049</v>
      </c>
    </row>
    <row r="557" spans="2:2" x14ac:dyDescent="0.3">
      <c r="B557" s="29" t="s">
        <v>1049</v>
      </c>
    </row>
    <row r="558" spans="2:2" x14ac:dyDescent="0.3">
      <c r="B558" s="29" t="s">
        <v>1049</v>
      </c>
    </row>
    <row r="559" spans="2:2" x14ac:dyDescent="0.3">
      <c r="B559" s="29" t="s">
        <v>1049</v>
      </c>
    </row>
    <row r="560" spans="2:2" x14ac:dyDescent="0.3">
      <c r="B560" s="29" t="s">
        <v>1049</v>
      </c>
    </row>
    <row r="561" spans="2:2" x14ac:dyDescent="0.3">
      <c r="B561" s="29" t="s">
        <v>1049</v>
      </c>
    </row>
    <row r="562" spans="2:2" x14ac:dyDescent="0.3">
      <c r="B562" s="29" t="s">
        <v>1049</v>
      </c>
    </row>
    <row r="563" spans="2:2" x14ac:dyDescent="0.3">
      <c r="B563" s="29" t="s">
        <v>1049</v>
      </c>
    </row>
    <row r="564" spans="2:2" x14ac:dyDescent="0.3">
      <c r="B564" s="29" t="s">
        <v>1049</v>
      </c>
    </row>
    <row r="565" spans="2:2" x14ac:dyDescent="0.3">
      <c r="B565" s="29" t="s">
        <v>1049</v>
      </c>
    </row>
    <row r="566" spans="2:2" x14ac:dyDescent="0.3">
      <c r="B566" s="29" t="s">
        <v>1049</v>
      </c>
    </row>
    <row r="567" spans="2:2" x14ac:dyDescent="0.3">
      <c r="B567" s="29" t="s">
        <v>1049</v>
      </c>
    </row>
    <row r="568" spans="2:2" x14ac:dyDescent="0.3">
      <c r="B568" s="29" t="s">
        <v>1049</v>
      </c>
    </row>
    <row r="569" spans="2:2" x14ac:dyDescent="0.3">
      <c r="B569" s="29" t="s">
        <v>1049</v>
      </c>
    </row>
    <row r="570" spans="2:2" x14ac:dyDescent="0.3">
      <c r="B570" s="29" t="s">
        <v>1049</v>
      </c>
    </row>
    <row r="571" spans="2:2" x14ac:dyDescent="0.3">
      <c r="B571" s="29" t="s">
        <v>1049</v>
      </c>
    </row>
    <row r="572" spans="2:2" x14ac:dyDescent="0.3">
      <c r="B572" s="29" t="s">
        <v>1049</v>
      </c>
    </row>
    <row r="573" spans="2:2" x14ac:dyDescent="0.3">
      <c r="B573" s="29" t="s">
        <v>1049</v>
      </c>
    </row>
    <row r="574" spans="2:2" x14ac:dyDescent="0.3">
      <c r="B574" s="29" t="s">
        <v>1049</v>
      </c>
    </row>
    <row r="575" spans="2:2" x14ac:dyDescent="0.3">
      <c r="B575" s="29" t="s">
        <v>1049</v>
      </c>
    </row>
    <row r="576" spans="2:2" x14ac:dyDescent="0.3">
      <c r="B576" s="29" t="s">
        <v>1049</v>
      </c>
    </row>
    <row r="577" spans="2:2" x14ac:dyDescent="0.3">
      <c r="B577" s="29" t="s">
        <v>1049</v>
      </c>
    </row>
    <row r="578" spans="2:2" x14ac:dyDescent="0.3">
      <c r="B578" s="29" t="s">
        <v>1049</v>
      </c>
    </row>
    <row r="579" spans="2:2" x14ac:dyDescent="0.3">
      <c r="B579" s="29" t="s">
        <v>1049</v>
      </c>
    </row>
    <row r="580" spans="2:2" x14ac:dyDescent="0.3">
      <c r="B580" s="29" t="s">
        <v>1049</v>
      </c>
    </row>
    <row r="581" spans="2:2" x14ac:dyDescent="0.3">
      <c r="B581" s="29" t="s">
        <v>1049</v>
      </c>
    </row>
    <row r="582" spans="2:2" x14ac:dyDescent="0.3">
      <c r="B582" s="29" t="s">
        <v>1049</v>
      </c>
    </row>
    <row r="583" spans="2:2" x14ac:dyDescent="0.3">
      <c r="B583" s="29" t="s">
        <v>1049</v>
      </c>
    </row>
    <row r="584" spans="2:2" x14ac:dyDescent="0.3">
      <c r="B584" s="29" t="s">
        <v>1049</v>
      </c>
    </row>
    <row r="585" spans="2:2" x14ac:dyDescent="0.3">
      <c r="B585" s="29" t="s">
        <v>1049</v>
      </c>
    </row>
    <row r="586" spans="2:2" x14ac:dyDescent="0.3">
      <c r="B586" s="29" t="s">
        <v>1049</v>
      </c>
    </row>
    <row r="587" spans="2:2" x14ac:dyDescent="0.3">
      <c r="B587" s="29" t="s">
        <v>1049</v>
      </c>
    </row>
    <row r="588" spans="2:2" x14ac:dyDescent="0.3">
      <c r="B588" s="29" t="s">
        <v>1049</v>
      </c>
    </row>
    <row r="589" spans="2:2" x14ac:dyDescent="0.3">
      <c r="B589" s="29" t="s">
        <v>1049</v>
      </c>
    </row>
    <row r="590" spans="2:2" x14ac:dyDescent="0.3">
      <c r="B590" s="29" t="s">
        <v>1049</v>
      </c>
    </row>
    <row r="591" spans="2:2" x14ac:dyDescent="0.3">
      <c r="B591" s="29" t="s">
        <v>1049</v>
      </c>
    </row>
    <row r="592" spans="2:2" x14ac:dyDescent="0.3">
      <c r="B592" s="29" t="s">
        <v>1049</v>
      </c>
    </row>
    <row r="593" spans="2:2" x14ac:dyDescent="0.3">
      <c r="B593" s="29" t="s">
        <v>1049</v>
      </c>
    </row>
    <row r="594" spans="2:2" x14ac:dyDescent="0.3">
      <c r="B594" s="29" t="s">
        <v>1049</v>
      </c>
    </row>
    <row r="595" spans="2:2" x14ac:dyDescent="0.3">
      <c r="B595" s="29" t="s">
        <v>1049</v>
      </c>
    </row>
    <row r="596" spans="2:2" x14ac:dyDescent="0.3">
      <c r="B596" s="29" t="s">
        <v>1049</v>
      </c>
    </row>
    <row r="597" spans="2:2" x14ac:dyDescent="0.3">
      <c r="B597" s="29" t="s">
        <v>1049</v>
      </c>
    </row>
    <row r="598" spans="2:2" x14ac:dyDescent="0.3">
      <c r="B598" s="29" t="s">
        <v>1049</v>
      </c>
    </row>
    <row r="599" spans="2:2" x14ac:dyDescent="0.3">
      <c r="B599" s="29" t="s">
        <v>1049</v>
      </c>
    </row>
    <row r="600" spans="2:2" x14ac:dyDescent="0.3">
      <c r="B600" s="29" t="s">
        <v>1049</v>
      </c>
    </row>
    <row r="601" spans="2:2" x14ac:dyDescent="0.3">
      <c r="B601" s="29" t="s">
        <v>1049</v>
      </c>
    </row>
    <row r="602" spans="2:2" x14ac:dyDescent="0.3">
      <c r="B602" s="29" t="s">
        <v>1049</v>
      </c>
    </row>
    <row r="603" spans="2:2" x14ac:dyDescent="0.3">
      <c r="B603" s="29" t="s">
        <v>1049</v>
      </c>
    </row>
    <row r="604" spans="2:2" x14ac:dyDescent="0.3">
      <c r="B604" s="29" t="s">
        <v>1049</v>
      </c>
    </row>
    <row r="605" spans="2:2" x14ac:dyDescent="0.3">
      <c r="B605" s="29" t="s">
        <v>1049</v>
      </c>
    </row>
    <row r="606" spans="2:2" x14ac:dyDescent="0.3">
      <c r="B606" s="29" t="s">
        <v>1049</v>
      </c>
    </row>
    <row r="607" spans="2:2" x14ac:dyDescent="0.3">
      <c r="B607" s="29" t="s">
        <v>1049</v>
      </c>
    </row>
    <row r="608" spans="2:2" x14ac:dyDescent="0.3">
      <c r="B608" s="29" t="s">
        <v>1049</v>
      </c>
    </row>
    <row r="609" spans="2:2" x14ac:dyDescent="0.3">
      <c r="B609" s="29" t="s">
        <v>1049</v>
      </c>
    </row>
    <row r="610" spans="2:2" x14ac:dyDescent="0.3">
      <c r="B610" s="29" t="s">
        <v>1049</v>
      </c>
    </row>
    <row r="611" spans="2:2" x14ac:dyDescent="0.3">
      <c r="B611" s="29" t="s">
        <v>1049</v>
      </c>
    </row>
    <row r="612" spans="2:2" x14ac:dyDescent="0.3">
      <c r="B612" s="29" t="s">
        <v>1049</v>
      </c>
    </row>
    <row r="613" spans="2:2" x14ac:dyDescent="0.3">
      <c r="B613" s="29" t="s">
        <v>1049</v>
      </c>
    </row>
    <row r="614" spans="2:2" x14ac:dyDescent="0.3">
      <c r="B614" s="29" t="s">
        <v>1049</v>
      </c>
    </row>
    <row r="615" spans="2:2" x14ac:dyDescent="0.3">
      <c r="B615" s="29" t="s">
        <v>1049</v>
      </c>
    </row>
    <row r="616" spans="2:2" x14ac:dyDescent="0.3">
      <c r="B616" s="29" t="s">
        <v>1049</v>
      </c>
    </row>
    <row r="617" spans="2:2" x14ac:dyDescent="0.3">
      <c r="B617" s="29" t="s">
        <v>1049</v>
      </c>
    </row>
    <row r="618" spans="2:2" x14ac:dyDescent="0.3">
      <c r="B618" s="29" t="s">
        <v>1049</v>
      </c>
    </row>
    <row r="619" spans="2:2" x14ac:dyDescent="0.3">
      <c r="B619" s="29" t="s">
        <v>1049</v>
      </c>
    </row>
    <row r="620" spans="2:2" x14ac:dyDescent="0.3">
      <c r="B620" s="29" t="s">
        <v>1049</v>
      </c>
    </row>
    <row r="621" spans="2:2" x14ac:dyDescent="0.3">
      <c r="B621" s="29" t="s">
        <v>1049</v>
      </c>
    </row>
    <row r="622" spans="2:2" x14ac:dyDescent="0.3">
      <c r="B622" s="29" t="s">
        <v>1049</v>
      </c>
    </row>
    <row r="623" spans="2:2" x14ac:dyDescent="0.3">
      <c r="B623" s="29" t="s">
        <v>1049</v>
      </c>
    </row>
    <row r="624" spans="2:2" x14ac:dyDescent="0.3">
      <c r="B624" s="29" t="s">
        <v>1049</v>
      </c>
    </row>
    <row r="625" spans="2:2" x14ac:dyDescent="0.3">
      <c r="B625" s="29" t="s">
        <v>1049</v>
      </c>
    </row>
    <row r="626" spans="2:2" x14ac:dyDescent="0.3">
      <c r="B626" s="29" t="s">
        <v>1049</v>
      </c>
    </row>
    <row r="627" spans="2:2" x14ac:dyDescent="0.3">
      <c r="B627" s="29" t="s">
        <v>1049</v>
      </c>
    </row>
    <row r="628" spans="2:2" x14ac:dyDescent="0.3">
      <c r="B628" s="29" t="s">
        <v>1049</v>
      </c>
    </row>
    <row r="629" spans="2:2" x14ac:dyDescent="0.3">
      <c r="B629" s="29" t="s">
        <v>1049</v>
      </c>
    </row>
    <row r="630" spans="2:2" x14ac:dyDescent="0.3">
      <c r="B630" s="29" t="s">
        <v>1049</v>
      </c>
    </row>
    <row r="631" spans="2:2" x14ac:dyDescent="0.3">
      <c r="B631" s="29" t="s">
        <v>1049</v>
      </c>
    </row>
    <row r="632" spans="2:2" x14ac:dyDescent="0.3">
      <c r="B632" s="29" t="s">
        <v>1049</v>
      </c>
    </row>
    <row r="633" spans="2:2" x14ac:dyDescent="0.3">
      <c r="B633" s="29" t="s">
        <v>1049</v>
      </c>
    </row>
    <row r="634" spans="2:2" x14ac:dyDescent="0.3">
      <c r="B634" s="29" t="s">
        <v>1049</v>
      </c>
    </row>
    <row r="635" spans="2:2" x14ac:dyDescent="0.3">
      <c r="B635" s="29" t="s">
        <v>1049</v>
      </c>
    </row>
    <row r="636" spans="2:2" x14ac:dyDescent="0.3">
      <c r="B636" s="29" t="s">
        <v>1049</v>
      </c>
    </row>
    <row r="637" spans="2:2" x14ac:dyDescent="0.3">
      <c r="B637" s="29" t="s">
        <v>1049</v>
      </c>
    </row>
    <row r="638" spans="2:2" x14ac:dyDescent="0.3">
      <c r="B638" s="29" t="s">
        <v>1049</v>
      </c>
    </row>
    <row r="639" spans="2:2" x14ac:dyDescent="0.3">
      <c r="B639" s="29" t="s">
        <v>1049</v>
      </c>
    </row>
    <row r="640" spans="2:2" x14ac:dyDescent="0.3">
      <c r="B640" s="29" t="s">
        <v>1049</v>
      </c>
    </row>
    <row r="641" spans="2:4" x14ac:dyDescent="0.3">
      <c r="B641" s="29" t="s">
        <v>1049</v>
      </c>
    </row>
    <row r="642" spans="2:4" x14ac:dyDescent="0.3">
      <c r="B642" s="29" t="s">
        <v>1049</v>
      </c>
    </row>
    <row r="643" spans="2:4" x14ac:dyDescent="0.3">
      <c r="B643" s="29" t="s">
        <v>1049</v>
      </c>
    </row>
    <row r="644" spans="2:4" x14ac:dyDescent="0.3">
      <c r="B644" s="29" t="s">
        <v>1049</v>
      </c>
    </row>
    <row r="645" spans="2:4" x14ac:dyDescent="0.3">
      <c r="B645" s="29" t="s">
        <v>1049</v>
      </c>
    </row>
    <row r="646" spans="2:4" x14ac:dyDescent="0.3">
      <c r="B646" s="29" t="s">
        <v>1049</v>
      </c>
    </row>
    <row r="647" spans="2:4" x14ac:dyDescent="0.3">
      <c r="B647" s="29" t="s">
        <v>1049</v>
      </c>
    </row>
    <row r="648" spans="2:4" x14ac:dyDescent="0.3">
      <c r="B648" s="29" t="s">
        <v>1049</v>
      </c>
    </row>
    <row r="649" spans="2:4" x14ac:dyDescent="0.3">
      <c r="B649" s="29" t="s">
        <v>1049</v>
      </c>
    </row>
    <row r="650" spans="2:4" x14ac:dyDescent="0.3">
      <c r="B650" s="29" t="s">
        <v>1049</v>
      </c>
      <c r="D650" s="30"/>
    </row>
    <row r="651" spans="2:4" x14ac:dyDescent="0.3">
      <c r="B651" s="29" t="s">
        <v>1049</v>
      </c>
    </row>
    <row r="652" spans="2:4" x14ac:dyDescent="0.3">
      <c r="B652" s="29" t="s">
        <v>1049</v>
      </c>
      <c r="D652" s="30"/>
    </row>
    <row r="653" spans="2:4" x14ac:dyDescent="0.3">
      <c r="B653" s="29" t="s">
        <v>1049</v>
      </c>
    </row>
    <row r="654" spans="2:4" x14ac:dyDescent="0.3">
      <c r="B654" s="29" t="s">
        <v>1049</v>
      </c>
      <c r="D654" s="30"/>
    </row>
    <row r="655" spans="2:4" x14ac:dyDescent="0.3">
      <c r="B655" s="29" t="s">
        <v>1049</v>
      </c>
    </row>
    <row r="656" spans="2:4" x14ac:dyDescent="0.3">
      <c r="B656" s="29" t="s">
        <v>1049</v>
      </c>
      <c r="D656" s="30"/>
    </row>
    <row r="657" spans="2:4" x14ac:dyDescent="0.3">
      <c r="B657" s="29" t="s">
        <v>1049</v>
      </c>
    </row>
    <row r="658" spans="2:4" x14ac:dyDescent="0.3">
      <c r="B658" s="29" t="s">
        <v>1049</v>
      </c>
      <c r="D658" s="30"/>
    </row>
    <row r="659" spans="2:4" x14ac:dyDescent="0.3">
      <c r="B659" s="29" t="s">
        <v>1049</v>
      </c>
    </row>
    <row r="660" spans="2:4" x14ac:dyDescent="0.3">
      <c r="B660" s="29" t="s">
        <v>1049</v>
      </c>
      <c r="D660" s="30"/>
    </row>
    <row r="661" spans="2:4" x14ac:dyDescent="0.3">
      <c r="B661" s="29" t="s">
        <v>1049</v>
      </c>
    </row>
    <row r="662" spans="2:4" x14ac:dyDescent="0.3">
      <c r="B662" s="29" t="s">
        <v>1049</v>
      </c>
      <c r="D662" s="30"/>
    </row>
    <row r="663" spans="2:4" x14ac:dyDescent="0.3">
      <c r="B663" s="29" t="s">
        <v>1049</v>
      </c>
    </row>
    <row r="664" spans="2:4" x14ac:dyDescent="0.3">
      <c r="B664" s="29" t="s">
        <v>1049</v>
      </c>
      <c r="D664" s="30"/>
    </row>
    <row r="665" spans="2:4" x14ac:dyDescent="0.3">
      <c r="B665" s="29" t="s">
        <v>1049</v>
      </c>
    </row>
    <row r="666" spans="2:4" x14ac:dyDescent="0.3">
      <c r="B666" s="29" t="s">
        <v>1049</v>
      </c>
      <c r="D666" s="30"/>
    </row>
    <row r="667" spans="2:4" x14ac:dyDescent="0.3">
      <c r="B667" s="29" t="s">
        <v>1049</v>
      </c>
    </row>
    <row r="668" spans="2:4" x14ac:dyDescent="0.3">
      <c r="B668" s="29" t="s">
        <v>1049</v>
      </c>
      <c r="D668" s="30"/>
    </row>
    <row r="669" spans="2:4" x14ac:dyDescent="0.3">
      <c r="B669" s="29" t="s">
        <v>1049</v>
      </c>
    </row>
    <row r="670" spans="2:4" x14ac:dyDescent="0.3">
      <c r="B670" s="29" t="s">
        <v>1049</v>
      </c>
      <c r="D670" s="30"/>
    </row>
    <row r="671" spans="2:4" x14ac:dyDescent="0.3">
      <c r="B671" s="29" t="s">
        <v>1049</v>
      </c>
    </row>
    <row r="672" spans="2:4" x14ac:dyDescent="0.3">
      <c r="B672" s="29" t="s">
        <v>1049</v>
      </c>
      <c r="D672" s="30"/>
    </row>
    <row r="673" spans="2:4" x14ac:dyDescent="0.3">
      <c r="B673" s="29" t="s">
        <v>1049</v>
      </c>
    </row>
    <row r="674" spans="2:4" x14ac:dyDescent="0.3">
      <c r="B674" s="29" t="s">
        <v>1049</v>
      </c>
      <c r="D674" s="30"/>
    </row>
    <row r="675" spans="2:4" x14ac:dyDescent="0.3">
      <c r="B675" s="29" t="s">
        <v>1049</v>
      </c>
    </row>
    <row r="676" spans="2:4" x14ac:dyDescent="0.3">
      <c r="B676" s="29" t="s">
        <v>1049</v>
      </c>
      <c r="D676" s="30"/>
    </row>
    <row r="677" spans="2:4" x14ac:dyDescent="0.3">
      <c r="B677" s="29" t="s">
        <v>1049</v>
      </c>
    </row>
    <row r="678" spans="2:4" x14ac:dyDescent="0.3">
      <c r="B678" s="29" t="s">
        <v>1049</v>
      </c>
      <c r="D678" s="30"/>
    </row>
    <row r="679" spans="2:4" x14ac:dyDescent="0.3">
      <c r="B679" s="29" t="s">
        <v>1049</v>
      </c>
    </row>
    <row r="680" spans="2:4" x14ac:dyDescent="0.3">
      <c r="B680" s="29" t="s">
        <v>1049</v>
      </c>
      <c r="D680" s="30"/>
    </row>
    <row r="681" spans="2:4" x14ac:dyDescent="0.3">
      <c r="B681" s="29" t="s">
        <v>1049</v>
      </c>
    </row>
    <row r="682" spans="2:4" x14ac:dyDescent="0.3">
      <c r="B682" s="29" t="s">
        <v>1049</v>
      </c>
      <c r="D682" s="30"/>
    </row>
    <row r="683" spans="2:4" x14ac:dyDescent="0.3">
      <c r="B683" s="29" t="s">
        <v>1049</v>
      </c>
    </row>
    <row r="684" spans="2:4" x14ac:dyDescent="0.3">
      <c r="B684" s="29" t="s">
        <v>1049</v>
      </c>
      <c r="D684" s="30"/>
    </row>
    <row r="685" spans="2:4" x14ac:dyDescent="0.3">
      <c r="B685" s="29" t="s">
        <v>1049</v>
      </c>
    </row>
    <row r="686" spans="2:4" x14ac:dyDescent="0.3">
      <c r="B686" s="29" t="s">
        <v>1049</v>
      </c>
      <c r="D686" s="30"/>
    </row>
    <row r="687" spans="2:4" x14ac:dyDescent="0.3">
      <c r="B687" s="29" t="s">
        <v>1049</v>
      </c>
    </row>
    <row r="688" spans="2:4" x14ac:dyDescent="0.3">
      <c r="B688" s="29" t="s">
        <v>1049</v>
      </c>
      <c r="D688" s="30"/>
    </row>
    <row r="689" spans="2:4" x14ac:dyDescent="0.3">
      <c r="B689" s="29" t="s">
        <v>1049</v>
      </c>
    </row>
    <row r="690" spans="2:4" x14ac:dyDescent="0.3">
      <c r="B690" s="29" t="s">
        <v>1049</v>
      </c>
      <c r="D690" s="30"/>
    </row>
    <row r="691" spans="2:4" x14ac:dyDescent="0.3">
      <c r="B691" s="29" t="s">
        <v>1049</v>
      </c>
    </row>
    <row r="692" spans="2:4" x14ac:dyDescent="0.3">
      <c r="B692" s="29" t="s">
        <v>1049</v>
      </c>
      <c r="D692" s="30"/>
    </row>
    <row r="693" spans="2:4" x14ac:dyDescent="0.3">
      <c r="B693" s="29" t="s">
        <v>1049</v>
      </c>
    </row>
    <row r="694" spans="2:4" x14ac:dyDescent="0.3">
      <c r="B694" s="29" t="s">
        <v>1049</v>
      </c>
      <c r="D694" s="30"/>
    </row>
    <row r="695" spans="2:4" x14ac:dyDescent="0.3">
      <c r="B695" s="29" t="s">
        <v>1049</v>
      </c>
    </row>
    <row r="696" spans="2:4" x14ac:dyDescent="0.3">
      <c r="B696" s="29" t="s">
        <v>1049</v>
      </c>
      <c r="D696" s="30"/>
    </row>
    <row r="697" spans="2:4" x14ac:dyDescent="0.3">
      <c r="B697" s="29" t="s">
        <v>1049</v>
      </c>
    </row>
    <row r="698" spans="2:4" x14ac:dyDescent="0.3">
      <c r="B698" s="29" t="s">
        <v>1049</v>
      </c>
      <c r="D698" s="30"/>
    </row>
    <row r="699" spans="2:4" x14ac:dyDescent="0.3">
      <c r="B699" s="29" t="s">
        <v>1049</v>
      </c>
    </row>
    <row r="700" spans="2:4" x14ac:dyDescent="0.3">
      <c r="B700" s="29" t="s">
        <v>1049</v>
      </c>
      <c r="D700" s="30"/>
    </row>
    <row r="701" spans="2:4" x14ac:dyDescent="0.3">
      <c r="B701" s="29" t="s">
        <v>1049</v>
      </c>
    </row>
    <row r="702" spans="2:4" x14ac:dyDescent="0.3">
      <c r="B702" s="29" t="s">
        <v>1049</v>
      </c>
      <c r="D702" s="30"/>
    </row>
    <row r="703" spans="2:4" x14ac:dyDescent="0.3">
      <c r="B703" s="29" t="s">
        <v>1049</v>
      </c>
    </row>
    <row r="704" spans="2:4" x14ac:dyDescent="0.3">
      <c r="B704" s="29" t="s">
        <v>1049</v>
      </c>
      <c r="D704" s="30"/>
    </row>
    <row r="705" spans="2:4" x14ac:dyDescent="0.3">
      <c r="B705" s="29" t="s">
        <v>1049</v>
      </c>
    </row>
    <row r="706" spans="2:4" x14ac:dyDescent="0.3">
      <c r="B706" s="29" t="s">
        <v>1049</v>
      </c>
      <c r="D706" s="30"/>
    </row>
    <row r="707" spans="2:4" x14ac:dyDescent="0.3">
      <c r="B707" s="29" t="s">
        <v>1049</v>
      </c>
    </row>
    <row r="708" spans="2:4" x14ac:dyDescent="0.3">
      <c r="B708" s="29" t="s">
        <v>1049</v>
      </c>
      <c r="D708" s="30"/>
    </row>
    <row r="709" spans="2:4" x14ac:dyDescent="0.3">
      <c r="B709" s="29" t="s">
        <v>1049</v>
      </c>
    </row>
    <row r="710" spans="2:4" x14ac:dyDescent="0.3">
      <c r="B710" s="29" t="s">
        <v>1049</v>
      </c>
      <c r="D710" s="30"/>
    </row>
    <row r="711" spans="2:4" x14ac:dyDescent="0.3">
      <c r="B711" s="29" t="s">
        <v>1049</v>
      </c>
    </row>
    <row r="712" spans="2:4" x14ac:dyDescent="0.3">
      <c r="B712" s="29" t="s">
        <v>1049</v>
      </c>
      <c r="D712" s="30"/>
    </row>
    <row r="713" spans="2:4" x14ac:dyDescent="0.3">
      <c r="B713" s="29" t="s">
        <v>1049</v>
      </c>
    </row>
    <row r="714" spans="2:4" x14ac:dyDescent="0.3">
      <c r="B714" s="29" t="s">
        <v>1049</v>
      </c>
      <c r="D714" s="30"/>
    </row>
    <row r="715" spans="2:4" x14ac:dyDescent="0.3">
      <c r="B715" s="29" t="s">
        <v>1049</v>
      </c>
    </row>
    <row r="716" spans="2:4" x14ac:dyDescent="0.3">
      <c r="B716" s="29" t="s">
        <v>1049</v>
      </c>
      <c r="D716" s="30"/>
    </row>
    <row r="717" spans="2:4" x14ac:dyDescent="0.3">
      <c r="B717" s="29" t="s">
        <v>1049</v>
      </c>
    </row>
    <row r="718" spans="2:4" x14ac:dyDescent="0.3">
      <c r="B718" s="29" t="s">
        <v>1049</v>
      </c>
      <c r="D718" s="30"/>
    </row>
    <row r="719" spans="2:4" x14ac:dyDescent="0.3">
      <c r="B719" s="29" t="s">
        <v>1049</v>
      </c>
    </row>
    <row r="720" spans="2:4" x14ac:dyDescent="0.3">
      <c r="B720" s="29" t="s">
        <v>1049</v>
      </c>
      <c r="D720" s="30"/>
    </row>
    <row r="721" spans="2:4" x14ac:dyDescent="0.3">
      <c r="B721" s="29" t="s">
        <v>1049</v>
      </c>
    </row>
    <row r="722" spans="2:4" x14ac:dyDescent="0.3">
      <c r="B722" s="29" t="s">
        <v>1049</v>
      </c>
      <c r="D722" s="30"/>
    </row>
    <row r="723" spans="2:4" x14ac:dyDescent="0.3">
      <c r="B723" s="29" t="s">
        <v>1049</v>
      </c>
    </row>
    <row r="724" spans="2:4" x14ac:dyDescent="0.3">
      <c r="B724" s="29" t="s">
        <v>1049</v>
      </c>
      <c r="D724" s="30"/>
    </row>
    <row r="725" spans="2:4" x14ac:dyDescent="0.3">
      <c r="B725" s="29" t="s">
        <v>1049</v>
      </c>
    </row>
    <row r="726" spans="2:4" x14ac:dyDescent="0.3">
      <c r="B726" s="29" t="s">
        <v>1049</v>
      </c>
      <c r="D726" s="30"/>
    </row>
    <row r="727" spans="2:4" x14ac:dyDescent="0.3">
      <c r="B727" s="29" t="s">
        <v>1049</v>
      </c>
    </row>
    <row r="728" spans="2:4" x14ac:dyDescent="0.3">
      <c r="B728" s="29" t="s">
        <v>1049</v>
      </c>
      <c r="D728" s="30"/>
    </row>
    <row r="729" spans="2:4" x14ac:dyDescent="0.3">
      <c r="B729" s="29" t="s">
        <v>1049</v>
      </c>
    </row>
    <row r="730" spans="2:4" x14ac:dyDescent="0.3">
      <c r="B730" s="29" t="s">
        <v>1049</v>
      </c>
      <c r="D730" s="30"/>
    </row>
    <row r="731" spans="2:4" x14ac:dyDescent="0.3">
      <c r="B731" s="29" t="s">
        <v>1049</v>
      </c>
    </row>
    <row r="732" spans="2:4" x14ac:dyDescent="0.3">
      <c r="B732" s="29" t="s">
        <v>1049</v>
      </c>
      <c r="D732" s="30"/>
    </row>
    <row r="733" spans="2:4" x14ac:dyDescent="0.3">
      <c r="B733" s="29" t="s">
        <v>1049</v>
      </c>
    </row>
    <row r="734" spans="2:4" x14ac:dyDescent="0.3">
      <c r="B734" s="29" t="s">
        <v>1049</v>
      </c>
      <c r="D734" s="30"/>
    </row>
    <row r="735" spans="2:4" x14ac:dyDescent="0.3">
      <c r="B735" s="29" t="s">
        <v>1049</v>
      </c>
    </row>
    <row r="736" spans="2:4" x14ac:dyDescent="0.3">
      <c r="B736" s="29" t="s">
        <v>1049</v>
      </c>
      <c r="D736" s="30"/>
    </row>
    <row r="737" spans="2:4" x14ac:dyDescent="0.3">
      <c r="B737" s="29" t="s">
        <v>1049</v>
      </c>
    </row>
    <row r="738" spans="2:4" x14ac:dyDescent="0.3">
      <c r="B738" s="29" t="s">
        <v>1049</v>
      </c>
      <c r="D738" s="30"/>
    </row>
    <row r="739" spans="2:4" x14ac:dyDescent="0.3">
      <c r="B739" s="29" t="s">
        <v>1049</v>
      </c>
    </row>
    <row r="740" spans="2:4" x14ac:dyDescent="0.3">
      <c r="B740" s="29" t="s">
        <v>1049</v>
      </c>
      <c r="D740" s="30"/>
    </row>
    <row r="741" spans="2:4" x14ac:dyDescent="0.3">
      <c r="B741" s="29" t="s">
        <v>1049</v>
      </c>
    </row>
    <row r="742" spans="2:4" x14ac:dyDescent="0.3">
      <c r="B742" s="29" t="s">
        <v>1049</v>
      </c>
      <c r="D742" s="30"/>
    </row>
    <row r="743" spans="2:4" x14ac:dyDescent="0.3">
      <c r="B743" s="29" t="s">
        <v>1049</v>
      </c>
    </row>
    <row r="744" spans="2:4" x14ac:dyDescent="0.3">
      <c r="B744" s="29" t="s">
        <v>1049</v>
      </c>
      <c r="D744" s="30"/>
    </row>
    <row r="745" spans="2:4" x14ac:dyDescent="0.3">
      <c r="B745" s="29" t="s">
        <v>1049</v>
      </c>
    </row>
    <row r="746" spans="2:4" x14ac:dyDescent="0.3">
      <c r="B746" s="29" t="s">
        <v>1049</v>
      </c>
      <c r="D746" s="30"/>
    </row>
    <row r="747" spans="2:4" x14ac:dyDescent="0.3">
      <c r="B747" s="29" t="s">
        <v>1049</v>
      </c>
    </row>
    <row r="748" spans="2:4" x14ac:dyDescent="0.3">
      <c r="B748" s="29" t="s">
        <v>1049</v>
      </c>
      <c r="D748" s="30"/>
    </row>
    <row r="749" spans="2:4" x14ac:dyDescent="0.3">
      <c r="B749" s="29" t="s">
        <v>1049</v>
      </c>
    </row>
    <row r="750" spans="2:4" x14ac:dyDescent="0.3">
      <c r="B750" s="29" t="s">
        <v>1049</v>
      </c>
      <c r="D750" s="30"/>
    </row>
    <row r="751" spans="2:4" x14ac:dyDescent="0.3">
      <c r="B751" s="29" t="s">
        <v>1049</v>
      </c>
    </row>
    <row r="752" spans="2:4" x14ac:dyDescent="0.3">
      <c r="B752" s="29" t="s">
        <v>1049</v>
      </c>
      <c r="D752" s="30"/>
    </row>
    <row r="753" spans="2:4" x14ac:dyDescent="0.3">
      <c r="B753" s="29" t="s">
        <v>1049</v>
      </c>
    </row>
    <row r="754" spans="2:4" x14ac:dyDescent="0.3">
      <c r="B754" s="29" t="s">
        <v>1049</v>
      </c>
      <c r="D754" s="30"/>
    </row>
    <row r="755" spans="2:4" x14ac:dyDescent="0.3">
      <c r="B755" s="29" t="s">
        <v>1049</v>
      </c>
    </row>
    <row r="756" spans="2:4" x14ac:dyDescent="0.3">
      <c r="B756" s="29" t="s">
        <v>1049</v>
      </c>
      <c r="D756" s="30"/>
    </row>
    <row r="757" spans="2:4" x14ac:dyDescent="0.3">
      <c r="B757" s="29" t="s">
        <v>1049</v>
      </c>
    </row>
    <row r="758" spans="2:4" x14ac:dyDescent="0.3">
      <c r="B758" s="29" t="s">
        <v>1049</v>
      </c>
      <c r="D758" s="30"/>
    </row>
    <row r="759" spans="2:4" x14ac:dyDescent="0.3">
      <c r="B759" s="29" t="s">
        <v>1049</v>
      </c>
    </row>
    <row r="760" spans="2:4" x14ac:dyDescent="0.3">
      <c r="B760" s="29" t="s">
        <v>1049</v>
      </c>
      <c r="D760" s="30"/>
    </row>
    <row r="761" spans="2:4" x14ac:dyDescent="0.3">
      <c r="B761" s="29" t="s">
        <v>1049</v>
      </c>
    </row>
    <row r="762" spans="2:4" x14ac:dyDescent="0.3">
      <c r="B762" s="29" t="s">
        <v>1049</v>
      </c>
      <c r="D762" s="30"/>
    </row>
    <row r="763" spans="2:4" x14ac:dyDescent="0.3">
      <c r="B763" s="29" t="s">
        <v>1049</v>
      </c>
    </row>
    <row r="764" spans="2:4" x14ac:dyDescent="0.3">
      <c r="B764" s="29" t="s">
        <v>1049</v>
      </c>
      <c r="D764" s="30"/>
    </row>
    <row r="765" spans="2:4" x14ac:dyDescent="0.3">
      <c r="B765" s="29" t="s">
        <v>1049</v>
      </c>
    </row>
    <row r="766" spans="2:4" x14ac:dyDescent="0.3">
      <c r="B766" s="29" t="s">
        <v>1049</v>
      </c>
      <c r="D766" s="30"/>
    </row>
    <row r="767" spans="2:4" x14ac:dyDescent="0.3">
      <c r="B767" s="29" t="s">
        <v>1049</v>
      </c>
    </row>
    <row r="768" spans="2:4" x14ac:dyDescent="0.3">
      <c r="B768" s="29" t="s">
        <v>1049</v>
      </c>
      <c r="D768" s="30"/>
    </row>
    <row r="769" spans="2:4" x14ac:dyDescent="0.3">
      <c r="B769" s="29" t="s">
        <v>1049</v>
      </c>
    </row>
    <row r="770" spans="2:4" x14ac:dyDescent="0.3">
      <c r="B770" s="29" t="s">
        <v>1049</v>
      </c>
      <c r="D770" s="30"/>
    </row>
    <row r="771" spans="2:4" x14ac:dyDescent="0.3">
      <c r="B771" s="29" t="s">
        <v>1049</v>
      </c>
    </row>
    <row r="772" spans="2:4" x14ac:dyDescent="0.3">
      <c r="B772" s="29" t="s">
        <v>1049</v>
      </c>
      <c r="D772" s="30"/>
    </row>
    <row r="773" spans="2:4" x14ac:dyDescent="0.3">
      <c r="B773" s="29" t="s">
        <v>1049</v>
      </c>
    </row>
    <row r="774" spans="2:4" x14ac:dyDescent="0.3">
      <c r="B774" s="29" t="s">
        <v>1049</v>
      </c>
      <c r="D774" s="30"/>
    </row>
    <row r="775" spans="2:4" x14ac:dyDescent="0.3">
      <c r="B775" s="29" t="s">
        <v>1049</v>
      </c>
    </row>
    <row r="776" spans="2:4" x14ac:dyDescent="0.3">
      <c r="B776" s="29" t="s">
        <v>1049</v>
      </c>
      <c r="D776" s="30"/>
    </row>
    <row r="777" spans="2:4" x14ac:dyDescent="0.3">
      <c r="B777" s="29" t="s">
        <v>1049</v>
      </c>
    </row>
    <row r="778" spans="2:4" x14ac:dyDescent="0.3">
      <c r="B778" s="29" t="s">
        <v>1049</v>
      </c>
      <c r="D778" s="30"/>
    </row>
    <row r="779" spans="2:4" x14ac:dyDescent="0.3">
      <c r="B779" s="29" t="s">
        <v>1049</v>
      </c>
    </row>
    <row r="780" spans="2:4" x14ac:dyDescent="0.3">
      <c r="B780" s="29" t="s">
        <v>1049</v>
      </c>
      <c r="D780" s="30"/>
    </row>
    <row r="781" spans="2:4" x14ac:dyDescent="0.3">
      <c r="B781" s="29" t="s">
        <v>1049</v>
      </c>
    </row>
    <row r="782" spans="2:4" x14ac:dyDescent="0.3">
      <c r="B782" s="29" t="s">
        <v>1049</v>
      </c>
      <c r="D782" s="30"/>
    </row>
    <row r="783" spans="2:4" x14ac:dyDescent="0.3">
      <c r="B783" s="29" t="s">
        <v>1049</v>
      </c>
    </row>
    <row r="784" spans="2:4" x14ac:dyDescent="0.3">
      <c r="B784" s="29" t="s">
        <v>1049</v>
      </c>
      <c r="D784" s="30"/>
    </row>
    <row r="785" spans="2:4" x14ac:dyDescent="0.3">
      <c r="B785" s="29" t="s">
        <v>1049</v>
      </c>
    </row>
    <row r="786" spans="2:4" x14ac:dyDescent="0.3">
      <c r="B786" s="29" t="s">
        <v>1049</v>
      </c>
      <c r="D786" s="30"/>
    </row>
    <row r="787" spans="2:4" x14ac:dyDescent="0.3">
      <c r="B787" s="29" t="s">
        <v>1049</v>
      </c>
    </row>
    <row r="788" spans="2:4" x14ac:dyDescent="0.3">
      <c r="B788" s="29" t="s">
        <v>1049</v>
      </c>
      <c r="D788" s="30"/>
    </row>
    <row r="789" spans="2:4" x14ac:dyDescent="0.3">
      <c r="B789" s="29" t="s">
        <v>1049</v>
      </c>
    </row>
    <row r="790" spans="2:4" x14ac:dyDescent="0.3">
      <c r="B790" s="29" t="s">
        <v>1049</v>
      </c>
      <c r="D790" s="30"/>
    </row>
    <row r="791" spans="2:4" x14ac:dyDescent="0.3">
      <c r="B791" s="29" t="s">
        <v>1049</v>
      </c>
    </row>
    <row r="792" spans="2:4" x14ac:dyDescent="0.3">
      <c r="B792" s="29" t="s">
        <v>1049</v>
      </c>
      <c r="D792" s="30"/>
    </row>
    <row r="793" spans="2:4" x14ac:dyDescent="0.3">
      <c r="B793" s="29" t="s">
        <v>1049</v>
      </c>
    </row>
    <row r="794" spans="2:4" x14ac:dyDescent="0.3">
      <c r="B794" s="29" t="s">
        <v>1049</v>
      </c>
    </row>
    <row r="795" spans="2:4" x14ac:dyDescent="0.3">
      <c r="B795" s="29" t="s">
        <v>1049</v>
      </c>
    </row>
    <row r="796" spans="2:4" x14ac:dyDescent="0.3">
      <c r="B796" s="29" t="s">
        <v>1049</v>
      </c>
    </row>
    <row r="797" spans="2:4" x14ac:dyDescent="0.3">
      <c r="B797" s="29" t="s">
        <v>1049</v>
      </c>
    </row>
    <row r="798" spans="2:4" x14ac:dyDescent="0.3">
      <c r="B798" s="29" t="s">
        <v>1049</v>
      </c>
    </row>
    <row r="799" spans="2:4" x14ac:dyDescent="0.3">
      <c r="B799" s="29" t="s">
        <v>1049</v>
      </c>
    </row>
    <row r="800" spans="2:4" x14ac:dyDescent="0.3">
      <c r="B800" s="29" t="s">
        <v>1049</v>
      </c>
    </row>
    <row r="801" spans="2:2" x14ac:dyDescent="0.3">
      <c r="B801" s="29" t="s">
        <v>1049</v>
      </c>
    </row>
    <row r="802" spans="2:2" x14ac:dyDescent="0.3">
      <c r="B802" s="29" t="s">
        <v>1049</v>
      </c>
    </row>
    <row r="803" spans="2:2" x14ac:dyDescent="0.3">
      <c r="B803" s="29" t="s">
        <v>1049</v>
      </c>
    </row>
    <row r="804" spans="2:2" x14ac:dyDescent="0.3">
      <c r="B804" s="29" t="s">
        <v>1049</v>
      </c>
    </row>
    <row r="805" spans="2:2" x14ac:dyDescent="0.3">
      <c r="B805" s="29" t="s">
        <v>1049</v>
      </c>
    </row>
    <row r="806" spans="2:2" x14ac:dyDescent="0.3">
      <c r="B806" s="29" t="s">
        <v>1049</v>
      </c>
    </row>
    <row r="807" spans="2:2" x14ac:dyDescent="0.3">
      <c r="B807" s="29" t="s">
        <v>1049</v>
      </c>
    </row>
    <row r="808" spans="2:2" x14ac:dyDescent="0.3">
      <c r="B808" s="29" t="s">
        <v>1049</v>
      </c>
    </row>
    <row r="809" spans="2:2" x14ac:dyDescent="0.3">
      <c r="B809" s="29" t="s">
        <v>1049</v>
      </c>
    </row>
    <row r="810" spans="2:2" x14ac:dyDescent="0.3">
      <c r="B810" s="29" t="s">
        <v>1049</v>
      </c>
    </row>
    <row r="811" spans="2:2" x14ac:dyDescent="0.3">
      <c r="B811" s="29" t="s">
        <v>1049</v>
      </c>
    </row>
    <row r="812" spans="2:2" x14ac:dyDescent="0.3">
      <c r="B812" s="29" t="s">
        <v>1049</v>
      </c>
    </row>
    <row r="813" spans="2:2" x14ac:dyDescent="0.3">
      <c r="B813" s="29" t="s">
        <v>1049</v>
      </c>
    </row>
    <row r="814" spans="2:2" x14ac:dyDescent="0.3">
      <c r="B814" s="29" t="s">
        <v>1049</v>
      </c>
    </row>
    <row r="815" spans="2:2" x14ac:dyDescent="0.3">
      <c r="B815" s="29" t="s">
        <v>1049</v>
      </c>
    </row>
    <row r="816" spans="2:2" x14ac:dyDescent="0.3">
      <c r="B816" s="29" t="s">
        <v>1049</v>
      </c>
    </row>
    <row r="817" spans="2:2" x14ac:dyDescent="0.3">
      <c r="B817" s="29" t="s">
        <v>1049</v>
      </c>
    </row>
    <row r="818" spans="2:2" x14ac:dyDescent="0.3">
      <c r="B818" s="29" t="s">
        <v>1049</v>
      </c>
    </row>
    <row r="819" spans="2:2" x14ac:dyDescent="0.3">
      <c r="B819" s="29" t="s">
        <v>1049</v>
      </c>
    </row>
    <row r="820" spans="2:2" x14ac:dyDescent="0.3">
      <c r="B820" s="29" t="s">
        <v>1049</v>
      </c>
    </row>
    <row r="821" spans="2:2" x14ac:dyDescent="0.3">
      <c r="B821" s="29" t="s">
        <v>1049</v>
      </c>
    </row>
    <row r="822" spans="2:2" x14ac:dyDescent="0.3">
      <c r="B822" s="29" t="s">
        <v>1049</v>
      </c>
    </row>
    <row r="823" spans="2:2" x14ac:dyDescent="0.3">
      <c r="B823" s="29" t="s">
        <v>1049</v>
      </c>
    </row>
    <row r="824" spans="2:2" x14ac:dyDescent="0.3">
      <c r="B824" s="29" t="s">
        <v>1049</v>
      </c>
    </row>
    <row r="825" spans="2:2" x14ac:dyDescent="0.3">
      <c r="B825" s="29" t="s">
        <v>1049</v>
      </c>
    </row>
    <row r="826" spans="2:2" x14ac:dyDescent="0.3">
      <c r="B826" s="29" t="s">
        <v>1049</v>
      </c>
    </row>
    <row r="827" spans="2:2" x14ac:dyDescent="0.3">
      <c r="B827" s="29" t="s">
        <v>1049</v>
      </c>
    </row>
    <row r="828" spans="2:2" x14ac:dyDescent="0.3">
      <c r="B828" s="29" t="s">
        <v>1049</v>
      </c>
    </row>
    <row r="829" spans="2:2" x14ac:dyDescent="0.3">
      <c r="B829" s="29" t="s">
        <v>1049</v>
      </c>
    </row>
    <row r="830" spans="2:2" x14ac:dyDescent="0.3">
      <c r="B830" s="29" t="s">
        <v>1049</v>
      </c>
    </row>
    <row r="831" spans="2:2" x14ac:dyDescent="0.3">
      <c r="B831" s="29" t="s">
        <v>1049</v>
      </c>
    </row>
    <row r="832" spans="2:2" x14ac:dyDescent="0.3">
      <c r="B832" s="29" t="s">
        <v>1049</v>
      </c>
    </row>
    <row r="833" spans="2:2" x14ac:dyDescent="0.3">
      <c r="B833" s="29" t="s">
        <v>1049</v>
      </c>
    </row>
    <row r="834" spans="2:2" x14ac:dyDescent="0.3">
      <c r="B834" s="29" t="s">
        <v>1049</v>
      </c>
    </row>
    <row r="835" spans="2:2" x14ac:dyDescent="0.3">
      <c r="B835" s="29" t="s">
        <v>1049</v>
      </c>
    </row>
    <row r="836" spans="2:2" x14ac:dyDescent="0.3">
      <c r="B836" s="29" t="s">
        <v>1049</v>
      </c>
    </row>
    <row r="837" spans="2:2" x14ac:dyDescent="0.3">
      <c r="B837" s="29" t="s">
        <v>1049</v>
      </c>
    </row>
    <row r="838" spans="2:2" x14ac:dyDescent="0.3">
      <c r="B838" s="29" t="s">
        <v>1049</v>
      </c>
    </row>
    <row r="839" spans="2:2" x14ac:dyDescent="0.3">
      <c r="B839" s="29" t="s">
        <v>1049</v>
      </c>
    </row>
    <row r="840" spans="2:2" x14ac:dyDescent="0.3">
      <c r="B840" s="29" t="s">
        <v>1049</v>
      </c>
    </row>
    <row r="841" spans="2:2" x14ac:dyDescent="0.3">
      <c r="B841" s="29" t="s">
        <v>1049</v>
      </c>
    </row>
    <row r="842" spans="2:2" x14ac:dyDescent="0.3">
      <c r="B842" s="29" t="s">
        <v>1049</v>
      </c>
    </row>
    <row r="843" spans="2:2" x14ac:dyDescent="0.3">
      <c r="B843" s="29" t="s">
        <v>1049</v>
      </c>
    </row>
    <row r="844" spans="2:2" x14ac:dyDescent="0.3">
      <c r="B844" s="29" t="s">
        <v>1049</v>
      </c>
    </row>
    <row r="845" spans="2:2" x14ac:dyDescent="0.3">
      <c r="B845" s="29" t="s">
        <v>1049</v>
      </c>
    </row>
    <row r="846" spans="2:2" x14ac:dyDescent="0.3">
      <c r="B846" s="29" t="s">
        <v>1049</v>
      </c>
    </row>
    <row r="847" spans="2:2" x14ac:dyDescent="0.3">
      <c r="B847" s="29" t="s">
        <v>1049</v>
      </c>
    </row>
    <row r="848" spans="2:2" x14ac:dyDescent="0.3">
      <c r="B848" s="29" t="s">
        <v>1049</v>
      </c>
    </row>
    <row r="849" spans="2:2" x14ac:dyDescent="0.3">
      <c r="B849" s="29" t="s">
        <v>1049</v>
      </c>
    </row>
    <row r="850" spans="2:2" x14ac:dyDescent="0.3">
      <c r="B850" s="29" t="s">
        <v>1049</v>
      </c>
    </row>
    <row r="851" spans="2:2" x14ac:dyDescent="0.3">
      <c r="B851" s="29" t="s">
        <v>1049</v>
      </c>
    </row>
    <row r="852" spans="2:2" x14ac:dyDescent="0.3">
      <c r="B852" s="29" t="s">
        <v>1049</v>
      </c>
    </row>
    <row r="853" spans="2:2" x14ac:dyDescent="0.3">
      <c r="B853" s="29" t="s">
        <v>1049</v>
      </c>
    </row>
    <row r="854" spans="2:2" x14ac:dyDescent="0.3">
      <c r="B854" s="29" t="s">
        <v>1049</v>
      </c>
    </row>
    <row r="855" spans="2:2" x14ac:dyDescent="0.3">
      <c r="B855" s="29" t="s">
        <v>1049</v>
      </c>
    </row>
    <row r="856" spans="2:2" x14ac:dyDescent="0.3">
      <c r="B856" s="29" t="s">
        <v>1049</v>
      </c>
    </row>
    <row r="857" spans="2:2" x14ac:dyDescent="0.3">
      <c r="B857" s="29" t="s">
        <v>1049</v>
      </c>
    </row>
    <row r="858" spans="2:2" x14ac:dyDescent="0.3">
      <c r="B858" s="29" t="s">
        <v>1049</v>
      </c>
    </row>
    <row r="859" spans="2:2" x14ac:dyDescent="0.3">
      <c r="B859" s="29" t="s">
        <v>1049</v>
      </c>
    </row>
    <row r="860" spans="2:2" x14ac:dyDescent="0.3">
      <c r="B860" s="29" t="s">
        <v>1049</v>
      </c>
    </row>
    <row r="861" spans="2:2" x14ac:dyDescent="0.3">
      <c r="B861" s="29" t="s">
        <v>1049</v>
      </c>
    </row>
    <row r="862" spans="2:2" x14ac:dyDescent="0.3">
      <c r="B862" s="29" t="s">
        <v>1049</v>
      </c>
    </row>
    <row r="863" spans="2:2" x14ac:dyDescent="0.3">
      <c r="B863" s="29" t="s">
        <v>1049</v>
      </c>
    </row>
    <row r="864" spans="2:2" x14ac:dyDescent="0.3">
      <c r="B864" s="29" t="s">
        <v>1049</v>
      </c>
    </row>
    <row r="865" spans="2:4" x14ac:dyDescent="0.3">
      <c r="B865" s="29" t="s">
        <v>1049</v>
      </c>
    </row>
    <row r="866" spans="2:4" x14ac:dyDescent="0.3">
      <c r="B866" s="29" t="s">
        <v>1049</v>
      </c>
    </row>
    <row r="867" spans="2:4" x14ac:dyDescent="0.3">
      <c r="B867" s="29" t="s">
        <v>1049</v>
      </c>
    </row>
    <row r="868" spans="2:4" x14ac:dyDescent="0.3">
      <c r="B868" s="29" t="s">
        <v>1049</v>
      </c>
    </row>
    <row r="869" spans="2:4" x14ac:dyDescent="0.3">
      <c r="B869" s="29" t="s">
        <v>1049</v>
      </c>
    </row>
    <row r="870" spans="2:4" x14ac:dyDescent="0.3">
      <c r="B870" s="29" t="s">
        <v>1049</v>
      </c>
    </row>
    <row r="871" spans="2:4" x14ac:dyDescent="0.3">
      <c r="B871" s="29" t="s">
        <v>1049</v>
      </c>
    </row>
    <row r="872" spans="2:4" x14ac:dyDescent="0.3">
      <c r="B872" s="29" t="s">
        <v>1049</v>
      </c>
    </row>
    <row r="873" spans="2:4" x14ac:dyDescent="0.3">
      <c r="B873" s="29" t="s">
        <v>1049</v>
      </c>
    </row>
    <row r="874" spans="2:4" x14ac:dyDescent="0.3">
      <c r="B874" s="29" t="s">
        <v>1049</v>
      </c>
    </row>
    <row r="875" spans="2:4" x14ac:dyDescent="0.3">
      <c r="B875" s="29" t="s">
        <v>1049</v>
      </c>
    </row>
    <row r="876" spans="2:4" x14ac:dyDescent="0.3">
      <c r="B876" s="29" t="s">
        <v>1049</v>
      </c>
    </row>
    <row r="877" spans="2:4" x14ac:dyDescent="0.3">
      <c r="B877" s="29" t="s">
        <v>1049</v>
      </c>
    </row>
    <row r="878" spans="2:4" x14ac:dyDescent="0.3">
      <c r="B878" s="29" t="s">
        <v>1049</v>
      </c>
      <c r="D878" s="30"/>
    </row>
    <row r="879" spans="2:4" x14ac:dyDescent="0.3">
      <c r="B879" s="29" t="s">
        <v>1049</v>
      </c>
    </row>
    <row r="880" spans="2:4" x14ac:dyDescent="0.3">
      <c r="B880" s="29" t="s">
        <v>1049</v>
      </c>
    </row>
    <row r="881" spans="2:4" x14ac:dyDescent="0.3">
      <c r="B881" s="29" t="s">
        <v>1049</v>
      </c>
    </row>
    <row r="882" spans="2:4" x14ac:dyDescent="0.3">
      <c r="B882" s="29" t="s">
        <v>1049</v>
      </c>
      <c r="D882" s="30"/>
    </row>
    <row r="883" spans="2:4" x14ac:dyDescent="0.3">
      <c r="B883" s="29" t="s">
        <v>1049</v>
      </c>
    </row>
    <row r="884" spans="2:4" x14ac:dyDescent="0.3">
      <c r="B884" s="29" t="s">
        <v>1049</v>
      </c>
    </row>
    <row r="885" spans="2:4" x14ac:dyDescent="0.3">
      <c r="B885" s="29" t="s">
        <v>1049</v>
      </c>
    </row>
    <row r="886" spans="2:4" x14ac:dyDescent="0.3">
      <c r="B886" s="29" t="s">
        <v>1049</v>
      </c>
      <c r="D886" s="30"/>
    </row>
    <row r="887" spans="2:4" x14ac:dyDescent="0.3">
      <c r="B887" s="29" t="s">
        <v>1049</v>
      </c>
      <c r="D887" s="30"/>
    </row>
    <row r="888" spans="2:4" x14ac:dyDescent="0.3">
      <c r="B888" s="29" t="s">
        <v>1049</v>
      </c>
    </row>
    <row r="889" spans="2:4" x14ac:dyDescent="0.3">
      <c r="B889" s="29" t="s">
        <v>1049</v>
      </c>
    </row>
    <row r="890" spans="2:4" x14ac:dyDescent="0.3">
      <c r="B890" s="29" t="s">
        <v>1049</v>
      </c>
    </row>
    <row r="891" spans="2:4" x14ac:dyDescent="0.3">
      <c r="B891" s="29" t="s">
        <v>1049</v>
      </c>
      <c r="D891" s="30"/>
    </row>
    <row r="892" spans="2:4" x14ac:dyDescent="0.3">
      <c r="B892" s="29" t="s">
        <v>1049</v>
      </c>
      <c r="D892" s="30"/>
    </row>
    <row r="893" spans="2:4" x14ac:dyDescent="0.3">
      <c r="B893" s="29" t="s">
        <v>1049</v>
      </c>
    </row>
    <row r="894" spans="2:4" x14ac:dyDescent="0.3">
      <c r="B894" s="29" t="s">
        <v>1049</v>
      </c>
    </row>
    <row r="895" spans="2:4" x14ac:dyDescent="0.3">
      <c r="B895" s="29" t="s">
        <v>1049</v>
      </c>
      <c r="D895" s="30"/>
    </row>
    <row r="896" spans="2:4" x14ac:dyDescent="0.3">
      <c r="B896" s="29" t="s">
        <v>1049</v>
      </c>
    </row>
    <row r="897" spans="2:4" x14ac:dyDescent="0.3">
      <c r="B897" s="29" t="s">
        <v>1049</v>
      </c>
    </row>
    <row r="898" spans="2:4" x14ac:dyDescent="0.3">
      <c r="B898" s="29" t="s">
        <v>1049</v>
      </c>
      <c r="D898" s="30"/>
    </row>
    <row r="899" spans="2:4" x14ac:dyDescent="0.3">
      <c r="B899" s="29" t="s">
        <v>1049</v>
      </c>
    </row>
    <row r="900" spans="2:4" x14ac:dyDescent="0.3">
      <c r="B900" s="29" t="s">
        <v>1049</v>
      </c>
    </row>
    <row r="901" spans="2:4" x14ac:dyDescent="0.3">
      <c r="B901" s="29" t="s">
        <v>1049</v>
      </c>
      <c r="D901" s="30"/>
    </row>
    <row r="902" spans="2:4" x14ac:dyDescent="0.3">
      <c r="B902" s="29" t="s">
        <v>1049</v>
      </c>
    </row>
    <row r="903" spans="2:4" x14ac:dyDescent="0.3">
      <c r="B903" s="29" t="s">
        <v>1049</v>
      </c>
    </row>
    <row r="904" spans="2:4" x14ac:dyDescent="0.3">
      <c r="B904" s="29" t="s">
        <v>1049</v>
      </c>
      <c r="D904" s="30"/>
    </row>
    <row r="905" spans="2:4" x14ac:dyDescent="0.3">
      <c r="B905" s="29" t="s">
        <v>1049</v>
      </c>
      <c r="D905" s="30"/>
    </row>
    <row r="906" spans="2:4" x14ac:dyDescent="0.3">
      <c r="B906" s="29" t="s">
        <v>1049</v>
      </c>
    </row>
    <row r="907" spans="2:4" x14ac:dyDescent="0.3">
      <c r="B907" s="29" t="s">
        <v>1049</v>
      </c>
      <c r="D907" s="30"/>
    </row>
    <row r="908" spans="2:4" x14ac:dyDescent="0.3">
      <c r="B908" s="29" t="s">
        <v>1049</v>
      </c>
    </row>
    <row r="909" spans="2:4" x14ac:dyDescent="0.3">
      <c r="B909" s="29" t="s">
        <v>1049</v>
      </c>
      <c r="D909" s="30"/>
    </row>
    <row r="910" spans="2:4" x14ac:dyDescent="0.3">
      <c r="B910" s="29" t="s">
        <v>1049</v>
      </c>
      <c r="D910" s="30"/>
    </row>
    <row r="911" spans="2:4" x14ac:dyDescent="0.3">
      <c r="B911" s="29" t="s">
        <v>1049</v>
      </c>
    </row>
    <row r="912" spans="2:4" x14ac:dyDescent="0.3">
      <c r="B912" s="29" t="s">
        <v>1049</v>
      </c>
    </row>
    <row r="913" spans="2:4" x14ac:dyDescent="0.3">
      <c r="B913" s="29" t="s">
        <v>1049</v>
      </c>
      <c r="D913" s="30"/>
    </row>
    <row r="914" spans="2:4" x14ac:dyDescent="0.3">
      <c r="B914" s="29" t="s">
        <v>1049</v>
      </c>
    </row>
    <row r="915" spans="2:4" x14ac:dyDescent="0.3">
      <c r="B915" s="29" t="s">
        <v>1049</v>
      </c>
    </row>
    <row r="916" spans="2:4" x14ac:dyDescent="0.3">
      <c r="B916" s="29" t="s">
        <v>1049</v>
      </c>
      <c r="D916" s="30"/>
    </row>
    <row r="917" spans="2:4" x14ac:dyDescent="0.3">
      <c r="B917" s="29" t="s">
        <v>1049</v>
      </c>
      <c r="D917" s="30"/>
    </row>
    <row r="918" spans="2:4" x14ac:dyDescent="0.3">
      <c r="B918" s="29" t="s">
        <v>1049</v>
      </c>
    </row>
    <row r="919" spans="2:4" x14ac:dyDescent="0.3">
      <c r="B919" s="29" t="s">
        <v>1049</v>
      </c>
      <c r="D919" s="30"/>
    </row>
    <row r="920" spans="2:4" x14ac:dyDescent="0.3">
      <c r="B920" s="29" t="s">
        <v>1049</v>
      </c>
    </row>
    <row r="921" spans="2:4" x14ac:dyDescent="0.3">
      <c r="B921" s="29" t="s">
        <v>1049</v>
      </c>
    </row>
    <row r="922" spans="2:4" x14ac:dyDescent="0.3">
      <c r="B922" s="29" t="s">
        <v>1049</v>
      </c>
      <c r="D922" s="30"/>
    </row>
    <row r="923" spans="2:4" x14ac:dyDescent="0.3">
      <c r="B923" s="29" t="s">
        <v>1049</v>
      </c>
      <c r="D923" s="30"/>
    </row>
    <row r="924" spans="2:4" x14ac:dyDescent="0.3">
      <c r="B924" s="29" t="s">
        <v>1049</v>
      </c>
    </row>
    <row r="925" spans="2:4" x14ac:dyDescent="0.3">
      <c r="B925" s="29" t="s">
        <v>1049</v>
      </c>
      <c r="D925" s="30"/>
    </row>
    <row r="926" spans="2:4" x14ac:dyDescent="0.3">
      <c r="B926" s="29" t="s">
        <v>1049</v>
      </c>
      <c r="D926" s="30"/>
    </row>
    <row r="927" spans="2:4" x14ac:dyDescent="0.3">
      <c r="B927" s="29" t="s">
        <v>1049</v>
      </c>
    </row>
    <row r="928" spans="2:4" x14ac:dyDescent="0.3">
      <c r="B928" s="29" t="s">
        <v>1049</v>
      </c>
      <c r="D928" s="30"/>
    </row>
    <row r="929" spans="2:4" x14ac:dyDescent="0.3">
      <c r="B929" s="29" t="s">
        <v>1049</v>
      </c>
      <c r="D929" s="30"/>
    </row>
    <row r="930" spans="2:4" x14ac:dyDescent="0.3">
      <c r="B930" s="29" t="s">
        <v>1049</v>
      </c>
    </row>
    <row r="931" spans="2:4" x14ac:dyDescent="0.3">
      <c r="B931" s="29" t="s">
        <v>1049</v>
      </c>
      <c r="D931" s="30"/>
    </row>
    <row r="932" spans="2:4" x14ac:dyDescent="0.3">
      <c r="B932" s="29" t="s">
        <v>1049</v>
      </c>
      <c r="D932" s="30"/>
    </row>
    <row r="933" spans="2:4" x14ac:dyDescent="0.3">
      <c r="B933" s="29" t="s">
        <v>1049</v>
      </c>
    </row>
    <row r="934" spans="2:4" x14ac:dyDescent="0.3">
      <c r="B934" s="29" t="s">
        <v>1049</v>
      </c>
      <c r="D934" s="30"/>
    </row>
    <row r="935" spans="2:4" x14ac:dyDescent="0.3">
      <c r="B935" s="29" t="s">
        <v>1049</v>
      </c>
      <c r="D935" s="30"/>
    </row>
    <row r="936" spans="2:4" x14ac:dyDescent="0.3">
      <c r="B936" s="29" t="s">
        <v>1049</v>
      </c>
    </row>
    <row r="937" spans="2:4" x14ac:dyDescent="0.3">
      <c r="B937" s="29" t="s">
        <v>1049</v>
      </c>
      <c r="D937" s="30"/>
    </row>
    <row r="938" spans="2:4" x14ac:dyDescent="0.3">
      <c r="B938" s="29" t="s">
        <v>1049</v>
      </c>
      <c r="D938" s="30"/>
    </row>
    <row r="939" spans="2:4" x14ac:dyDescent="0.3">
      <c r="B939" s="29" t="s">
        <v>1049</v>
      </c>
    </row>
    <row r="940" spans="2:4" x14ac:dyDescent="0.3">
      <c r="B940" s="29" t="s">
        <v>1049</v>
      </c>
      <c r="D940" s="30"/>
    </row>
    <row r="941" spans="2:4" x14ac:dyDescent="0.3">
      <c r="B941" s="29" t="s">
        <v>1049</v>
      </c>
      <c r="D941" s="30"/>
    </row>
    <row r="942" spans="2:4" x14ac:dyDescent="0.3">
      <c r="B942" s="29" t="s">
        <v>1049</v>
      </c>
    </row>
    <row r="943" spans="2:4" x14ac:dyDescent="0.3">
      <c r="B943" s="29" t="s">
        <v>1049</v>
      </c>
      <c r="D943" s="30"/>
    </row>
    <row r="944" spans="2:4" x14ac:dyDescent="0.3">
      <c r="B944" s="29" t="s">
        <v>1049</v>
      </c>
      <c r="D944" s="30"/>
    </row>
    <row r="945" spans="2:4" x14ac:dyDescent="0.3">
      <c r="B945" s="29" t="s">
        <v>1049</v>
      </c>
    </row>
    <row r="946" spans="2:4" x14ac:dyDescent="0.3">
      <c r="B946" s="29" t="s">
        <v>1049</v>
      </c>
      <c r="D946" s="30"/>
    </row>
    <row r="947" spans="2:4" x14ac:dyDescent="0.3">
      <c r="B947" s="29" t="s">
        <v>1049</v>
      </c>
      <c r="D947" s="30"/>
    </row>
    <row r="948" spans="2:4" x14ac:dyDescent="0.3">
      <c r="B948" s="29" t="s">
        <v>1049</v>
      </c>
    </row>
    <row r="949" spans="2:4" x14ac:dyDescent="0.3">
      <c r="B949" s="29" t="s">
        <v>1049</v>
      </c>
    </row>
    <row r="950" spans="2:4" x14ac:dyDescent="0.3">
      <c r="B950" s="29" t="s">
        <v>1049</v>
      </c>
      <c r="D950" s="30"/>
    </row>
    <row r="951" spans="2:4" x14ac:dyDescent="0.3">
      <c r="B951" s="29" t="s">
        <v>1049</v>
      </c>
    </row>
    <row r="952" spans="2:4" x14ac:dyDescent="0.3">
      <c r="B952" s="29" t="s">
        <v>1049</v>
      </c>
    </row>
    <row r="953" spans="2:4" x14ac:dyDescent="0.3">
      <c r="B953" s="29" t="s">
        <v>1049</v>
      </c>
    </row>
    <row r="954" spans="2:4" x14ac:dyDescent="0.3">
      <c r="B954" s="29" t="s">
        <v>1049</v>
      </c>
    </row>
    <row r="955" spans="2:4" x14ac:dyDescent="0.3">
      <c r="B955" s="29" t="s">
        <v>1049</v>
      </c>
    </row>
    <row r="956" spans="2:4" x14ac:dyDescent="0.3">
      <c r="B956" s="29" t="s">
        <v>1049</v>
      </c>
    </row>
    <row r="957" spans="2:4" x14ac:dyDescent="0.3">
      <c r="B957" s="29" t="s">
        <v>1049</v>
      </c>
    </row>
    <row r="958" spans="2:4" x14ac:dyDescent="0.3">
      <c r="B958" s="29" t="s">
        <v>1049</v>
      </c>
    </row>
    <row r="959" spans="2:4" x14ac:dyDescent="0.3">
      <c r="B959" s="29" t="s">
        <v>1049</v>
      </c>
    </row>
    <row r="960" spans="2:4" x14ac:dyDescent="0.3">
      <c r="B960" s="29" t="s">
        <v>1049</v>
      </c>
    </row>
    <row r="961" spans="2:2" x14ac:dyDescent="0.3">
      <c r="B961" s="29" t="s">
        <v>1049</v>
      </c>
    </row>
    <row r="962" spans="2:2" x14ac:dyDescent="0.3">
      <c r="B962" s="29" t="s">
        <v>1049</v>
      </c>
    </row>
    <row r="963" spans="2:2" x14ac:dyDescent="0.3">
      <c r="B963" s="29" t="s">
        <v>1049</v>
      </c>
    </row>
    <row r="964" spans="2:2" x14ac:dyDescent="0.3">
      <c r="B964" s="29" t="s">
        <v>1049</v>
      </c>
    </row>
    <row r="965" spans="2:2" x14ac:dyDescent="0.3">
      <c r="B965" s="29" t="s">
        <v>1049</v>
      </c>
    </row>
    <row r="966" spans="2:2" x14ac:dyDescent="0.3">
      <c r="B966" s="29" t="s">
        <v>1049</v>
      </c>
    </row>
    <row r="967" spans="2:2" x14ac:dyDescent="0.3">
      <c r="B967" s="29" t="s">
        <v>1049</v>
      </c>
    </row>
    <row r="968" spans="2:2" x14ac:dyDescent="0.3">
      <c r="B968" s="29" t="s">
        <v>1049</v>
      </c>
    </row>
    <row r="969" spans="2:2" x14ac:dyDescent="0.3">
      <c r="B969" s="29" t="s">
        <v>1049</v>
      </c>
    </row>
    <row r="970" spans="2:2" x14ac:dyDescent="0.3">
      <c r="B970" s="29" t="s">
        <v>1049</v>
      </c>
    </row>
    <row r="971" spans="2:2" x14ac:dyDescent="0.3">
      <c r="B971" s="29" t="s">
        <v>1049</v>
      </c>
    </row>
    <row r="972" spans="2:2" x14ac:dyDescent="0.3">
      <c r="B972" s="29" t="s">
        <v>1049</v>
      </c>
    </row>
    <row r="973" spans="2:2" x14ac:dyDescent="0.3">
      <c r="B973" s="29" t="s">
        <v>1049</v>
      </c>
    </row>
    <row r="974" spans="2:2" x14ac:dyDescent="0.3">
      <c r="B974" s="29" t="s">
        <v>1049</v>
      </c>
    </row>
    <row r="975" spans="2:2" x14ac:dyDescent="0.3">
      <c r="B975" s="29" t="s">
        <v>1049</v>
      </c>
    </row>
    <row r="976" spans="2:2" x14ac:dyDescent="0.3">
      <c r="B976" s="29" t="s">
        <v>1049</v>
      </c>
    </row>
    <row r="977" spans="2:2" x14ac:dyDescent="0.3">
      <c r="B977" s="29" t="s">
        <v>1049</v>
      </c>
    </row>
    <row r="978" spans="2:2" x14ac:dyDescent="0.3">
      <c r="B978" s="29" t="s">
        <v>1049</v>
      </c>
    </row>
    <row r="979" spans="2:2" x14ac:dyDescent="0.3">
      <c r="B979" s="29" t="s">
        <v>1049</v>
      </c>
    </row>
    <row r="980" spans="2:2" x14ac:dyDescent="0.3">
      <c r="B980" s="29" t="s">
        <v>1049</v>
      </c>
    </row>
    <row r="981" spans="2:2" x14ac:dyDescent="0.3">
      <c r="B981" s="29" t="s">
        <v>1049</v>
      </c>
    </row>
    <row r="982" spans="2:2" x14ac:dyDescent="0.3">
      <c r="B982" s="29" t="s">
        <v>1049</v>
      </c>
    </row>
    <row r="983" spans="2:2" x14ac:dyDescent="0.3">
      <c r="B983" s="29" t="s">
        <v>1049</v>
      </c>
    </row>
    <row r="984" spans="2:2" x14ac:dyDescent="0.3">
      <c r="B984" s="29" t="s">
        <v>1049</v>
      </c>
    </row>
    <row r="985" spans="2:2" x14ac:dyDescent="0.3">
      <c r="B985" s="29" t="s">
        <v>1049</v>
      </c>
    </row>
    <row r="986" spans="2:2" x14ac:dyDescent="0.3">
      <c r="B986" s="29" t="s">
        <v>1049</v>
      </c>
    </row>
    <row r="987" spans="2:2" x14ac:dyDescent="0.3">
      <c r="B987" s="29" t="s">
        <v>1049</v>
      </c>
    </row>
    <row r="988" spans="2:2" x14ac:dyDescent="0.3">
      <c r="B988" s="29" t="s">
        <v>1049</v>
      </c>
    </row>
    <row r="989" spans="2:2" x14ac:dyDescent="0.3">
      <c r="B989" s="29" t="s">
        <v>1049</v>
      </c>
    </row>
    <row r="990" spans="2:2" x14ac:dyDescent="0.3">
      <c r="B990" s="29" t="s">
        <v>1049</v>
      </c>
    </row>
    <row r="991" spans="2:2" x14ac:dyDescent="0.3">
      <c r="B991" s="29" t="s">
        <v>1049</v>
      </c>
    </row>
    <row r="992" spans="2:2" x14ac:dyDescent="0.3">
      <c r="B992" s="29" t="s">
        <v>1049</v>
      </c>
    </row>
    <row r="993" spans="2:2" x14ac:dyDescent="0.3">
      <c r="B993" s="29" t="s">
        <v>1049</v>
      </c>
    </row>
    <row r="994" spans="2:2" x14ac:dyDescent="0.3">
      <c r="B994" s="29" t="s">
        <v>1049</v>
      </c>
    </row>
    <row r="995" spans="2:2" x14ac:dyDescent="0.3">
      <c r="B995" s="29" t="s">
        <v>1049</v>
      </c>
    </row>
    <row r="996" spans="2:2" x14ac:dyDescent="0.3">
      <c r="B996" s="29" t="s">
        <v>1049</v>
      </c>
    </row>
    <row r="997" spans="2:2" x14ac:dyDescent="0.3">
      <c r="B997" s="29" t="s">
        <v>1049</v>
      </c>
    </row>
    <row r="998" spans="2:2" x14ac:dyDescent="0.3">
      <c r="B998" s="29" t="s">
        <v>1049</v>
      </c>
    </row>
    <row r="999" spans="2:2" x14ac:dyDescent="0.3">
      <c r="B999" s="29" t="s">
        <v>1049</v>
      </c>
    </row>
    <row r="1000" spans="2:2" x14ac:dyDescent="0.3">
      <c r="B1000" s="29" t="s">
        <v>1049</v>
      </c>
    </row>
    <row r="1001" spans="2:2" x14ac:dyDescent="0.3">
      <c r="B1001" s="29" t="s">
        <v>1049</v>
      </c>
    </row>
    <row r="1002" spans="2:2" x14ac:dyDescent="0.3">
      <c r="B1002" s="29" t="s">
        <v>1049</v>
      </c>
    </row>
    <row r="1003" spans="2:2" x14ac:dyDescent="0.3">
      <c r="B1003" s="29" t="s">
        <v>1049</v>
      </c>
    </row>
    <row r="1004" spans="2:2" x14ac:dyDescent="0.3">
      <c r="B1004" s="29" t="s">
        <v>1049</v>
      </c>
    </row>
    <row r="1005" spans="2:2" x14ac:dyDescent="0.3">
      <c r="B1005" s="29" t="s">
        <v>1049</v>
      </c>
    </row>
    <row r="1006" spans="2:2" x14ac:dyDescent="0.3">
      <c r="B1006" s="29" t="s">
        <v>1049</v>
      </c>
    </row>
    <row r="1007" spans="2:2" x14ac:dyDescent="0.3">
      <c r="B1007" s="29" t="s">
        <v>1049</v>
      </c>
    </row>
    <row r="1008" spans="2:2" x14ac:dyDescent="0.3">
      <c r="B1008" s="29" t="s">
        <v>1049</v>
      </c>
    </row>
    <row r="1009" spans="2:4" x14ac:dyDescent="0.3">
      <c r="B1009" s="29" t="s">
        <v>1049</v>
      </c>
    </row>
    <row r="1010" spans="2:4" x14ac:dyDescent="0.3">
      <c r="B1010" s="29" t="s">
        <v>1049</v>
      </c>
    </row>
    <row r="1011" spans="2:4" x14ac:dyDescent="0.3">
      <c r="B1011" s="29" t="s">
        <v>1049</v>
      </c>
    </row>
    <row r="1012" spans="2:4" x14ac:dyDescent="0.3">
      <c r="B1012" s="29" t="s">
        <v>1049</v>
      </c>
    </row>
    <row r="1013" spans="2:4" x14ac:dyDescent="0.3">
      <c r="B1013" s="29" t="s">
        <v>1049</v>
      </c>
    </row>
    <row r="1014" spans="2:4" x14ac:dyDescent="0.3">
      <c r="B1014" s="29" t="s">
        <v>1049</v>
      </c>
    </row>
    <row r="1015" spans="2:4" x14ac:dyDescent="0.3">
      <c r="B1015" s="29" t="s">
        <v>1049</v>
      </c>
      <c r="D1015" s="30"/>
    </row>
    <row r="1016" spans="2:4" x14ac:dyDescent="0.3">
      <c r="B1016" s="29" t="s">
        <v>1049</v>
      </c>
    </row>
    <row r="1017" spans="2:4" x14ac:dyDescent="0.3">
      <c r="B1017" s="29" t="s">
        <v>1049</v>
      </c>
      <c r="D1017" s="30"/>
    </row>
    <row r="1018" spans="2:4" x14ac:dyDescent="0.3">
      <c r="B1018" s="29" t="s">
        <v>1049</v>
      </c>
    </row>
    <row r="1019" spans="2:4" x14ac:dyDescent="0.3">
      <c r="B1019" s="29" t="s">
        <v>1049</v>
      </c>
    </row>
    <row r="1020" spans="2:4" x14ac:dyDescent="0.3">
      <c r="B1020" s="29" t="s">
        <v>1049</v>
      </c>
    </row>
    <row r="1021" spans="2:4" x14ac:dyDescent="0.3">
      <c r="B1021" s="29" t="s">
        <v>1049</v>
      </c>
      <c r="D1021" s="30"/>
    </row>
    <row r="1022" spans="2:4" x14ac:dyDescent="0.3">
      <c r="B1022" s="29" t="s">
        <v>1049</v>
      </c>
    </row>
    <row r="1023" spans="2:4" x14ac:dyDescent="0.3">
      <c r="B1023" s="29" t="s">
        <v>1049</v>
      </c>
      <c r="D1023" s="30"/>
    </row>
    <row r="1024" spans="2:4" x14ac:dyDescent="0.3">
      <c r="B1024" s="29" t="s">
        <v>1049</v>
      </c>
    </row>
    <row r="1025" spans="2:4" x14ac:dyDescent="0.3">
      <c r="B1025" s="29" t="s">
        <v>1049</v>
      </c>
      <c r="D1025" s="30"/>
    </row>
    <row r="1026" spans="2:4" x14ac:dyDescent="0.3">
      <c r="B1026" s="29" t="s">
        <v>1049</v>
      </c>
    </row>
    <row r="1027" spans="2:4" x14ac:dyDescent="0.3">
      <c r="B1027" s="29" t="s">
        <v>1049</v>
      </c>
      <c r="D1027" s="30"/>
    </row>
    <row r="1028" spans="2:4" x14ac:dyDescent="0.3">
      <c r="B1028" s="29" t="s">
        <v>1049</v>
      </c>
    </row>
    <row r="1029" spans="2:4" x14ac:dyDescent="0.3">
      <c r="B1029" s="29" t="s">
        <v>1049</v>
      </c>
      <c r="D1029" s="30"/>
    </row>
    <row r="1030" spans="2:4" x14ac:dyDescent="0.3">
      <c r="B1030" s="29" t="s">
        <v>1049</v>
      </c>
    </row>
    <row r="1031" spans="2:4" x14ac:dyDescent="0.3">
      <c r="B1031" s="29" t="s">
        <v>1049</v>
      </c>
      <c r="D1031" s="30"/>
    </row>
    <row r="1032" spans="2:4" x14ac:dyDescent="0.3">
      <c r="B1032" s="29" t="s">
        <v>1049</v>
      </c>
    </row>
    <row r="1033" spans="2:4" x14ac:dyDescent="0.3">
      <c r="B1033" s="29" t="s">
        <v>1049</v>
      </c>
    </row>
    <row r="1034" spans="2:4" x14ac:dyDescent="0.3">
      <c r="B1034" s="29" t="s">
        <v>1049</v>
      </c>
      <c r="D1034" s="30"/>
    </row>
    <row r="1035" spans="2:4" x14ac:dyDescent="0.3">
      <c r="B1035" s="29" t="s">
        <v>1049</v>
      </c>
      <c r="D1035" s="30"/>
    </row>
    <row r="1036" spans="2:4" x14ac:dyDescent="0.3">
      <c r="B1036" s="29" t="s">
        <v>1049</v>
      </c>
    </row>
    <row r="1037" spans="2:4" x14ac:dyDescent="0.3">
      <c r="B1037" s="29" t="s">
        <v>1049</v>
      </c>
      <c r="D1037" s="30"/>
    </row>
    <row r="1038" spans="2:4" x14ac:dyDescent="0.3">
      <c r="B1038" s="29" t="s">
        <v>1049</v>
      </c>
      <c r="D1038" s="30"/>
    </row>
    <row r="1039" spans="2:4" x14ac:dyDescent="0.3">
      <c r="B1039" s="29" t="s">
        <v>1049</v>
      </c>
    </row>
    <row r="1040" spans="2:4" x14ac:dyDescent="0.3">
      <c r="B1040" s="29" t="s">
        <v>1049</v>
      </c>
      <c r="D1040" s="30"/>
    </row>
    <row r="1041" spans="2:4" x14ac:dyDescent="0.3">
      <c r="B1041" s="29" t="s">
        <v>1049</v>
      </c>
      <c r="D1041" s="30"/>
    </row>
    <row r="1042" spans="2:4" x14ac:dyDescent="0.3">
      <c r="B1042" s="29" t="s">
        <v>1049</v>
      </c>
    </row>
    <row r="1043" spans="2:4" x14ac:dyDescent="0.3">
      <c r="B1043" s="29" t="s">
        <v>1049</v>
      </c>
      <c r="D1043" s="30"/>
    </row>
    <row r="1044" spans="2:4" x14ac:dyDescent="0.3">
      <c r="B1044" s="29" t="s">
        <v>1049</v>
      </c>
      <c r="D1044" s="30"/>
    </row>
    <row r="1045" spans="2:4" x14ac:dyDescent="0.3">
      <c r="B1045" s="29" t="s">
        <v>1049</v>
      </c>
    </row>
    <row r="1046" spans="2:4" x14ac:dyDescent="0.3">
      <c r="B1046" s="29" t="s">
        <v>1049</v>
      </c>
      <c r="D1046" s="30"/>
    </row>
    <row r="1047" spans="2:4" x14ac:dyDescent="0.3">
      <c r="B1047" s="29" t="s">
        <v>1049</v>
      </c>
      <c r="D1047" s="30"/>
    </row>
    <row r="1048" spans="2:4" x14ac:dyDescent="0.3">
      <c r="B1048" s="29" t="s">
        <v>1049</v>
      </c>
    </row>
    <row r="1049" spans="2:4" x14ac:dyDescent="0.3">
      <c r="B1049" s="29" t="s">
        <v>1049</v>
      </c>
      <c r="D1049" s="30"/>
    </row>
    <row r="1050" spans="2:4" x14ac:dyDescent="0.3">
      <c r="B1050" s="29" t="s">
        <v>1049</v>
      </c>
      <c r="D1050" s="30"/>
    </row>
    <row r="1051" spans="2:4" x14ac:dyDescent="0.3">
      <c r="B1051" s="29" t="s">
        <v>1049</v>
      </c>
    </row>
    <row r="1052" spans="2:4" x14ac:dyDescent="0.3">
      <c r="B1052" s="29" t="s">
        <v>1049</v>
      </c>
      <c r="D1052" s="30"/>
    </row>
    <row r="1053" spans="2:4" x14ac:dyDescent="0.3">
      <c r="B1053" s="29" t="s">
        <v>1049</v>
      </c>
      <c r="D1053" s="30"/>
    </row>
    <row r="1054" spans="2:4" x14ac:dyDescent="0.3">
      <c r="B1054" s="29" t="s">
        <v>1049</v>
      </c>
    </row>
    <row r="1055" spans="2:4" x14ac:dyDescent="0.3">
      <c r="B1055" s="29" t="s">
        <v>1049</v>
      </c>
      <c r="D1055" s="30"/>
    </row>
    <row r="1056" spans="2:4" x14ac:dyDescent="0.3">
      <c r="B1056" s="29" t="s">
        <v>1049</v>
      </c>
      <c r="D1056" s="30"/>
    </row>
    <row r="1057" spans="2:4" x14ac:dyDescent="0.3">
      <c r="B1057" s="29" t="s">
        <v>1049</v>
      </c>
    </row>
    <row r="1058" spans="2:4" x14ac:dyDescent="0.3">
      <c r="B1058" s="29" t="s">
        <v>1049</v>
      </c>
      <c r="D1058" s="30"/>
    </row>
    <row r="1059" spans="2:4" x14ac:dyDescent="0.3">
      <c r="B1059" s="29" t="s">
        <v>1049</v>
      </c>
      <c r="D1059" s="30"/>
    </row>
    <row r="1060" spans="2:4" x14ac:dyDescent="0.3">
      <c r="B1060" s="29" t="s">
        <v>1049</v>
      </c>
    </row>
    <row r="1061" spans="2:4" x14ac:dyDescent="0.3">
      <c r="B1061" s="29" t="s">
        <v>1049</v>
      </c>
      <c r="D1061" s="30"/>
    </row>
    <row r="1062" spans="2:4" x14ac:dyDescent="0.3">
      <c r="B1062" s="29" t="s">
        <v>1049</v>
      </c>
      <c r="D1062" s="30"/>
    </row>
    <row r="1063" spans="2:4" x14ac:dyDescent="0.3">
      <c r="B1063" s="29" t="s">
        <v>1049</v>
      </c>
    </row>
    <row r="1064" spans="2:4" x14ac:dyDescent="0.3">
      <c r="B1064" s="29" t="s">
        <v>1049</v>
      </c>
      <c r="D1064" s="30"/>
    </row>
    <row r="1065" spans="2:4" x14ac:dyDescent="0.3">
      <c r="B1065" s="29" t="s">
        <v>1049</v>
      </c>
    </row>
    <row r="1066" spans="2:4" x14ac:dyDescent="0.3">
      <c r="B1066" s="29" t="s">
        <v>1049</v>
      </c>
    </row>
    <row r="1067" spans="2:4" x14ac:dyDescent="0.3">
      <c r="B1067" s="29" t="s">
        <v>1049</v>
      </c>
    </row>
    <row r="1068" spans="2:4" x14ac:dyDescent="0.3">
      <c r="B1068" s="29" t="s">
        <v>1049</v>
      </c>
    </row>
    <row r="1069" spans="2:4" x14ac:dyDescent="0.3">
      <c r="B1069" s="29" t="s">
        <v>1049</v>
      </c>
    </row>
    <row r="1070" spans="2:4" x14ac:dyDescent="0.3">
      <c r="B1070" s="29" t="s">
        <v>1049</v>
      </c>
    </row>
    <row r="1071" spans="2:4" x14ac:dyDescent="0.3">
      <c r="B1071" s="29" t="s">
        <v>1049</v>
      </c>
    </row>
    <row r="1072" spans="2:4" x14ac:dyDescent="0.3">
      <c r="B1072" s="29" t="s">
        <v>1049</v>
      </c>
    </row>
    <row r="1073" spans="2:2" x14ac:dyDescent="0.3">
      <c r="B1073" s="29" t="s">
        <v>1049</v>
      </c>
    </row>
    <row r="1074" spans="2:2" x14ac:dyDescent="0.3">
      <c r="B1074" s="29" t="s">
        <v>1049</v>
      </c>
    </row>
    <row r="1075" spans="2:2" x14ac:dyDescent="0.3">
      <c r="B1075" s="29" t="s">
        <v>1049</v>
      </c>
    </row>
    <row r="1076" spans="2:2" x14ac:dyDescent="0.3">
      <c r="B1076" s="29" t="s">
        <v>1049</v>
      </c>
    </row>
    <row r="1077" spans="2:2" x14ac:dyDescent="0.3">
      <c r="B1077" s="29" t="s">
        <v>1049</v>
      </c>
    </row>
    <row r="1078" spans="2:2" x14ac:dyDescent="0.3">
      <c r="B1078" s="29" t="s">
        <v>1049</v>
      </c>
    </row>
    <row r="1079" spans="2:2" x14ac:dyDescent="0.3">
      <c r="B1079" s="29" t="s">
        <v>1049</v>
      </c>
    </row>
    <row r="1080" spans="2:2" x14ac:dyDescent="0.3">
      <c r="B1080" s="29" t="s">
        <v>1049</v>
      </c>
    </row>
    <row r="1081" spans="2:2" x14ac:dyDescent="0.3">
      <c r="B1081" s="29" t="s">
        <v>1049</v>
      </c>
    </row>
    <row r="1082" spans="2:2" x14ac:dyDescent="0.3">
      <c r="B1082" s="29" t="s">
        <v>1049</v>
      </c>
    </row>
    <row r="1083" spans="2:2" x14ac:dyDescent="0.3">
      <c r="B1083" s="29" t="s">
        <v>1049</v>
      </c>
    </row>
    <row r="1084" spans="2:2" x14ac:dyDescent="0.3">
      <c r="B1084" s="29" t="s">
        <v>1049</v>
      </c>
    </row>
    <row r="1085" spans="2:2" x14ac:dyDescent="0.3">
      <c r="B1085" s="29" t="s">
        <v>1049</v>
      </c>
    </row>
    <row r="1086" spans="2:2" x14ac:dyDescent="0.3">
      <c r="B1086" s="29" t="s">
        <v>1049</v>
      </c>
    </row>
    <row r="1087" spans="2:2" x14ac:dyDescent="0.3">
      <c r="B1087" s="29" t="s">
        <v>1049</v>
      </c>
    </row>
    <row r="1088" spans="2:2" x14ac:dyDescent="0.3">
      <c r="B1088" s="29" t="s">
        <v>1049</v>
      </c>
    </row>
    <row r="1089" spans="2:2" x14ac:dyDescent="0.3">
      <c r="B1089" s="29" t="s">
        <v>1049</v>
      </c>
    </row>
    <row r="1090" spans="2:2" x14ac:dyDescent="0.3">
      <c r="B1090" s="29" t="s">
        <v>1049</v>
      </c>
    </row>
    <row r="1091" spans="2:2" x14ac:dyDescent="0.3">
      <c r="B1091" s="29" t="s">
        <v>1049</v>
      </c>
    </row>
    <row r="1092" spans="2:2" x14ac:dyDescent="0.3">
      <c r="B1092" s="29" t="s">
        <v>1049</v>
      </c>
    </row>
    <row r="1093" spans="2:2" x14ac:dyDescent="0.3">
      <c r="B1093" s="29" t="s">
        <v>1049</v>
      </c>
    </row>
    <row r="1094" spans="2:2" x14ac:dyDescent="0.3">
      <c r="B1094" s="29" t="s">
        <v>1049</v>
      </c>
    </row>
    <row r="1095" spans="2:2" x14ac:dyDescent="0.3">
      <c r="B1095" s="29" t="s">
        <v>1049</v>
      </c>
    </row>
    <row r="1096" spans="2:2" x14ac:dyDescent="0.3">
      <c r="B1096" s="29" t="s">
        <v>1049</v>
      </c>
    </row>
    <row r="1097" spans="2:2" x14ac:dyDescent="0.3">
      <c r="B1097" s="29" t="s">
        <v>1049</v>
      </c>
    </row>
    <row r="1098" spans="2:2" x14ac:dyDescent="0.3">
      <c r="B1098" s="29" t="s">
        <v>1049</v>
      </c>
    </row>
    <row r="1099" spans="2:2" x14ac:dyDescent="0.3">
      <c r="B1099" s="29" t="s">
        <v>1049</v>
      </c>
    </row>
    <row r="1100" spans="2:2" x14ac:dyDescent="0.3">
      <c r="B1100" s="29" t="s">
        <v>1049</v>
      </c>
    </row>
    <row r="1101" spans="2:2" x14ac:dyDescent="0.3">
      <c r="B1101" s="29" t="s">
        <v>1049</v>
      </c>
    </row>
    <row r="1102" spans="2:2" x14ac:dyDescent="0.3">
      <c r="B1102" s="29" t="s">
        <v>1049</v>
      </c>
    </row>
    <row r="1103" spans="2:2" x14ac:dyDescent="0.3">
      <c r="B1103" s="29" t="s">
        <v>1049</v>
      </c>
    </row>
    <row r="1104" spans="2:2" x14ac:dyDescent="0.3">
      <c r="B1104" s="29" t="s">
        <v>1049</v>
      </c>
    </row>
    <row r="1105" spans="2:2" x14ac:dyDescent="0.3">
      <c r="B1105" s="29" t="s">
        <v>1049</v>
      </c>
    </row>
    <row r="1106" spans="2:2" x14ac:dyDescent="0.3">
      <c r="B1106" s="29" t="s">
        <v>1049</v>
      </c>
    </row>
    <row r="1107" spans="2:2" x14ac:dyDescent="0.3">
      <c r="B1107" s="29" t="s">
        <v>1049</v>
      </c>
    </row>
    <row r="1108" spans="2:2" x14ac:dyDescent="0.3">
      <c r="B1108" s="29" t="s">
        <v>1049</v>
      </c>
    </row>
    <row r="1109" spans="2:2" x14ac:dyDescent="0.3">
      <c r="B1109" s="29" t="s">
        <v>1049</v>
      </c>
    </row>
    <row r="1110" spans="2:2" x14ac:dyDescent="0.3">
      <c r="B1110" s="29" t="s">
        <v>1049</v>
      </c>
    </row>
    <row r="1111" spans="2:2" x14ac:dyDescent="0.3">
      <c r="B1111" s="29" t="s">
        <v>1049</v>
      </c>
    </row>
    <row r="1112" spans="2:2" x14ac:dyDescent="0.3">
      <c r="B1112" s="29" t="s">
        <v>1049</v>
      </c>
    </row>
    <row r="1113" spans="2:2" x14ac:dyDescent="0.3">
      <c r="B1113" s="29" t="s">
        <v>1049</v>
      </c>
    </row>
    <row r="1114" spans="2:2" x14ac:dyDescent="0.3">
      <c r="B1114" s="29" t="s">
        <v>1049</v>
      </c>
    </row>
    <row r="1115" spans="2:2" x14ac:dyDescent="0.3">
      <c r="B1115" s="29" t="s">
        <v>1049</v>
      </c>
    </row>
    <row r="1116" spans="2:2" x14ac:dyDescent="0.3">
      <c r="B1116" s="29" t="s">
        <v>1049</v>
      </c>
    </row>
    <row r="1117" spans="2:2" x14ac:dyDescent="0.3">
      <c r="B1117" s="29" t="s">
        <v>1049</v>
      </c>
    </row>
    <row r="1118" spans="2:2" x14ac:dyDescent="0.3">
      <c r="B1118" s="29" t="s">
        <v>1049</v>
      </c>
    </row>
    <row r="1119" spans="2:2" x14ac:dyDescent="0.3">
      <c r="B1119" s="29" t="s">
        <v>1049</v>
      </c>
    </row>
    <row r="1120" spans="2:2" x14ac:dyDescent="0.3">
      <c r="B1120" s="29" t="s">
        <v>1049</v>
      </c>
    </row>
    <row r="1121" spans="2:2" x14ac:dyDescent="0.3">
      <c r="B1121" s="29" t="s">
        <v>1049</v>
      </c>
    </row>
    <row r="1122" spans="2:2" x14ac:dyDescent="0.3">
      <c r="B1122" s="29" t="s">
        <v>1049</v>
      </c>
    </row>
    <row r="1123" spans="2:2" x14ac:dyDescent="0.3">
      <c r="B1123" s="29" t="s">
        <v>1049</v>
      </c>
    </row>
    <row r="1124" spans="2:2" x14ac:dyDescent="0.3">
      <c r="B1124" s="29" t="s">
        <v>1049</v>
      </c>
    </row>
    <row r="1125" spans="2:2" x14ac:dyDescent="0.3">
      <c r="B1125" s="29" t="s">
        <v>1049</v>
      </c>
    </row>
    <row r="1126" spans="2:2" x14ac:dyDescent="0.3">
      <c r="B1126" s="29" t="s">
        <v>1049</v>
      </c>
    </row>
    <row r="1127" spans="2:2" x14ac:dyDescent="0.3">
      <c r="B1127" s="29" t="s">
        <v>1049</v>
      </c>
    </row>
    <row r="1128" spans="2:2" x14ac:dyDescent="0.3">
      <c r="B1128" s="29" t="s">
        <v>1049</v>
      </c>
    </row>
    <row r="1129" spans="2:2" x14ac:dyDescent="0.3">
      <c r="B1129" s="29" t="s">
        <v>1049</v>
      </c>
    </row>
    <row r="1130" spans="2:2" x14ac:dyDescent="0.3">
      <c r="B1130" s="29" t="s">
        <v>1049</v>
      </c>
    </row>
    <row r="1131" spans="2:2" x14ac:dyDescent="0.3">
      <c r="B1131" s="29" t="s">
        <v>1049</v>
      </c>
    </row>
    <row r="1132" spans="2:2" x14ac:dyDescent="0.3">
      <c r="B1132" s="29" t="s">
        <v>1049</v>
      </c>
    </row>
    <row r="1133" spans="2:2" x14ac:dyDescent="0.3">
      <c r="B1133" s="29" t="s">
        <v>1049</v>
      </c>
    </row>
    <row r="1134" spans="2:2" x14ac:dyDescent="0.3">
      <c r="B1134" s="29" t="s">
        <v>1049</v>
      </c>
    </row>
    <row r="1135" spans="2:2" x14ac:dyDescent="0.3">
      <c r="B1135" s="29" t="s">
        <v>1049</v>
      </c>
    </row>
    <row r="1136" spans="2:2" x14ac:dyDescent="0.3">
      <c r="B1136" s="29" t="s">
        <v>1049</v>
      </c>
    </row>
    <row r="1137" spans="2:2" x14ac:dyDescent="0.3">
      <c r="B1137" s="29" t="s">
        <v>1049</v>
      </c>
    </row>
    <row r="1138" spans="2:2" x14ac:dyDescent="0.3">
      <c r="B1138" s="29" t="s">
        <v>1049</v>
      </c>
    </row>
    <row r="1139" spans="2:2" x14ac:dyDescent="0.3">
      <c r="B1139" s="29" t="s">
        <v>1049</v>
      </c>
    </row>
    <row r="1140" spans="2:2" x14ac:dyDescent="0.3">
      <c r="B1140" s="29" t="s">
        <v>1049</v>
      </c>
    </row>
    <row r="1141" spans="2:2" x14ac:dyDescent="0.3">
      <c r="B1141" s="29" t="s">
        <v>1049</v>
      </c>
    </row>
    <row r="1142" spans="2:2" x14ac:dyDescent="0.3">
      <c r="B1142" s="29" t="s">
        <v>1049</v>
      </c>
    </row>
    <row r="1143" spans="2:2" x14ac:dyDescent="0.3">
      <c r="B1143" s="29" t="s">
        <v>1049</v>
      </c>
    </row>
    <row r="1144" spans="2:2" x14ac:dyDescent="0.3">
      <c r="B1144" s="29" t="s">
        <v>1049</v>
      </c>
    </row>
    <row r="1145" spans="2:2" x14ac:dyDescent="0.3">
      <c r="B1145" s="29" t="s">
        <v>1049</v>
      </c>
    </row>
    <row r="1146" spans="2:2" x14ac:dyDescent="0.3">
      <c r="B1146" s="29" t="s">
        <v>1049</v>
      </c>
    </row>
    <row r="1147" spans="2:2" x14ac:dyDescent="0.3">
      <c r="B1147" s="29" t="s">
        <v>1049</v>
      </c>
    </row>
    <row r="1148" spans="2:2" x14ac:dyDescent="0.3">
      <c r="B1148" s="29" t="s">
        <v>1049</v>
      </c>
    </row>
    <row r="1149" spans="2:2" x14ac:dyDescent="0.3">
      <c r="B1149" s="29" t="s">
        <v>1049</v>
      </c>
    </row>
    <row r="1150" spans="2:2" x14ac:dyDescent="0.3">
      <c r="B1150" s="29" t="s">
        <v>1049</v>
      </c>
    </row>
    <row r="1151" spans="2:2" x14ac:dyDescent="0.3">
      <c r="B1151" s="29" t="s">
        <v>1049</v>
      </c>
    </row>
    <row r="1152" spans="2:2" x14ac:dyDescent="0.3">
      <c r="B1152" s="29" t="s">
        <v>1049</v>
      </c>
    </row>
    <row r="1153" spans="2:2" x14ac:dyDescent="0.3">
      <c r="B1153" s="29" t="s">
        <v>1049</v>
      </c>
    </row>
    <row r="1154" spans="2:2" x14ac:dyDescent="0.3">
      <c r="B1154" s="29" t="s">
        <v>1049</v>
      </c>
    </row>
    <row r="1155" spans="2:2" x14ac:dyDescent="0.3">
      <c r="B1155" s="29" t="s">
        <v>1049</v>
      </c>
    </row>
    <row r="1156" spans="2:2" x14ac:dyDescent="0.3">
      <c r="B1156" s="29" t="s">
        <v>1049</v>
      </c>
    </row>
    <row r="1157" spans="2:2" x14ac:dyDescent="0.3">
      <c r="B1157" s="29" t="s">
        <v>1049</v>
      </c>
    </row>
    <row r="1158" spans="2:2" x14ac:dyDescent="0.3">
      <c r="B1158" s="29" t="s">
        <v>1049</v>
      </c>
    </row>
    <row r="1159" spans="2:2" x14ac:dyDescent="0.3">
      <c r="B1159" s="29" t="s">
        <v>1049</v>
      </c>
    </row>
    <row r="1160" spans="2:2" x14ac:dyDescent="0.3">
      <c r="B1160" s="29" t="s">
        <v>1049</v>
      </c>
    </row>
    <row r="1161" spans="2:2" x14ac:dyDescent="0.3">
      <c r="B1161" s="29" t="s">
        <v>1049</v>
      </c>
    </row>
    <row r="1162" spans="2:2" x14ac:dyDescent="0.3">
      <c r="B1162" s="29" t="s">
        <v>1049</v>
      </c>
    </row>
    <row r="1163" spans="2:2" x14ac:dyDescent="0.3">
      <c r="B1163" s="29" t="s">
        <v>1049</v>
      </c>
    </row>
    <row r="1164" spans="2:2" x14ac:dyDescent="0.3">
      <c r="B1164" s="29" t="s">
        <v>1049</v>
      </c>
    </row>
    <row r="1165" spans="2:2" x14ac:dyDescent="0.3">
      <c r="B1165" s="29" t="s">
        <v>1049</v>
      </c>
    </row>
    <row r="1166" spans="2:2" x14ac:dyDescent="0.3">
      <c r="B1166" s="29" t="s">
        <v>1049</v>
      </c>
    </row>
    <row r="1167" spans="2:2" x14ac:dyDescent="0.3">
      <c r="B1167" s="29" t="s">
        <v>1049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D707-EE38-48D3-B591-428324B9DCED}">
  <sheetPr codeName="工作表8"/>
  <dimension ref="A1:N1118"/>
  <sheetViews>
    <sheetView tabSelected="1" workbookViewId="0">
      <selection activeCell="J12" sqref="J12"/>
    </sheetView>
  </sheetViews>
  <sheetFormatPr defaultRowHeight="16.2" x14ac:dyDescent="0.3"/>
  <cols>
    <col min="1" max="1" width="22.33203125" bestFit="1" customWidth="1"/>
    <col min="2" max="2" width="19" bestFit="1" customWidth="1"/>
    <col min="11" max="11" width="22.33203125" bestFit="1" customWidth="1"/>
    <col min="13" max="13" width="10.5546875" bestFit="1" customWidth="1"/>
  </cols>
  <sheetData>
    <row r="1" spans="1:14" x14ac:dyDescent="0.3">
      <c r="K1" t="s">
        <v>1053</v>
      </c>
      <c r="L1" t="s">
        <v>79</v>
      </c>
      <c r="M1" t="s">
        <v>1054</v>
      </c>
      <c r="N1" t="s">
        <v>1055</v>
      </c>
    </row>
    <row r="2" spans="1:14" x14ac:dyDescent="0.3">
      <c r="K2" t="s">
        <v>294</v>
      </c>
      <c r="L2">
        <v>63.005400000000002</v>
      </c>
      <c r="M2">
        <f>_xlfn.XLOOKUP(K2,A:A,B:B)</f>
        <v>63.622989999999994</v>
      </c>
      <c r="N2">
        <f>L2-M2</f>
        <v>-0.61758999999999276</v>
      </c>
    </row>
    <row r="3" spans="1:14" x14ac:dyDescent="0.3">
      <c r="A3" s="68" t="s">
        <v>1050</v>
      </c>
      <c r="B3" t="s">
        <v>1052</v>
      </c>
      <c r="K3" t="s">
        <v>295</v>
      </c>
      <c r="L3">
        <v>63.005400000000002</v>
      </c>
      <c r="M3">
        <f t="shared" ref="M3:M66" si="0">_xlfn.XLOOKUP(K3,A:A,B:B)</f>
        <v>127.24598</v>
      </c>
      <c r="N3">
        <f t="shared" ref="N3:N66" si="1">L3-M3</f>
        <v>-64.240579999999994</v>
      </c>
    </row>
    <row r="4" spans="1:14" x14ac:dyDescent="0.3">
      <c r="A4" s="69" t="s">
        <v>294</v>
      </c>
      <c r="B4" s="70">
        <v>63.622989999999994</v>
      </c>
      <c r="K4" t="s">
        <v>295</v>
      </c>
      <c r="L4">
        <v>63.005400000000002</v>
      </c>
      <c r="M4">
        <f t="shared" si="0"/>
        <v>127.24598</v>
      </c>
      <c r="N4">
        <f t="shared" si="1"/>
        <v>-64.240579999999994</v>
      </c>
    </row>
    <row r="5" spans="1:14" x14ac:dyDescent="0.3">
      <c r="A5" s="69" t="s">
        <v>295</v>
      </c>
      <c r="B5" s="70">
        <v>127.24598</v>
      </c>
      <c r="K5" t="s">
        <v>296</v>
      </c>
      <c r="L5">
        <v>66.381200000000007</v>
      </c>
      <c r="M5">
        <f t="shared" si="0"/>
        <v>66.992990000000006</v>
      </c>
      <c r="N5">
        <f t="shared" si="1"/>
        <v>-0.61178999999999917</v>
      </c>
    </row>
    <row r="6" spans="1:14" x14ac:dyDescent="0.3">
      <c r="A6" s="69" t="s">
        <v>296</v>
      </c>
      <c r="B6" s="70">
        <v>66.992990000000006</v>
      </c>
      <c r="K6" t="s">
        <v>297</v>
      </c>
      <c r="L6">
        <v>41.540599999999998</v>
      </c>
      <c r="M6">
        <f t="shared" si="0"/>
        <v>42.186340000000001</v>
      </c>
      <c r="N6">
        <f t="shared" si="1"/>
        <v>-0.64574000000000353</v>
      </c>
    </row>
    <row r="7" spans="1:14" x14ac:dyDescent="0.3">
      <c r="A7" s="69" t="s">
        <v>297</v>
      </c>
      <c r="B7" s="70">
        <v>42.186340000000001</v>
      </c>
      <c r="K7" t="s">
        <v>298</v>
      </c>
      <c r="L7">
        <v>54.323</v>
      </c>
      <c r="M7">
        <f t="shared" si="0"/>
        <v>54.951340000000002</v>
      </c>
      <c r="N7">
        <f t="shared" si="1"/>
        <v>-0.62834000000000145</v>
      </c>
    </row>
    <row r="8" spans="1:14" x14ac:dyDescent="0.3">
      <c r="A8" s="69" t="s">
        <v>298</v>
      </c>
      <c r="B8" s="70">
        <v>54.951340000000002</v>
      </c>
      <c r="K8" t="s">
        <v>299</v>
      </c>
      <c r="L8">
        <v>53.302100000000003</v>
      </c>
      <c r="M8">
        <f t="shared" si="0"/>
        <v>54.253010000000003</v>
      </c>
      <c r="N8">
        <f t="shared" si="1"/>
        <v>-0.95091000000000037</v>
      </c>
    </row>
    <row r="9" spans="1:14" x14ac:dyDescent="0.3">
      <c r="A9" s="69" t="s">
        <v>299</v>
      </c>
      <c r="B9" s="70">
        <v>54.253010000000003</v>
      </c>
      <c r="K9" t="s">
        <v>300</v>
      </c>
      <c r="L9">
        <v>3.8959999999999999</v>
      </c>
      <c r="M9">
        <f t="shared" si="0"/>
        <v>3.9353249999999997</v>
      </c>
      <c r="N9">
        <f t="shared" si="1"/>
        <v>-3.9324999999999832E-2</v>
      </c>
    </row>
    <row r="10" spans="1:14" x14ac:dyDescent="0.3">
      <c r="A10" s="69" t="s">
        <v>300</v>
      </c>
      <c r="B10" s="70">
        <v>3.9353249999999997</v>
      </c>
      <c r="K10" t="s">
        <v>301</v>
      </c>
      <c r="L10">
        <v>13.8994</v>
      </c>
      <c r="M10">
        <f t="shared" si="0"/>
        <v>15.499989999999999</v>
      </c>
      <c r="N10">
        <f t="shared" si="1"/>
        <v>-1.6005899999999986</v>
      </c>
    </row>
    <row r="11" spans="1:14" x14ac:dyDescent="0.3">
      <c r="A11" s="69" t="s">
        <v>301</v>
      </c>
      <c r="B11" s="70">
        <v>15.499989999999999</v>
      </c>
      <c r="K11" t="s">
        <v>291</v>
      </c>
      <c r="L11">
        <v>13.0144</v>
      </c>
      <c r="M11">
        <f t="shared" si="0"/>
        <v>15.499989999999999</v>
      </c>
      <c r="N11">
        <f t="shared" si="1"/>
        <v>-2.4855899999999984</v>
      </c>
    </row>
    <row r="12" spans="1:14" x14ac:dyDescent="0.3">
      <c r="A12" s="69" t="s">
        <v>291</v>
      </c>
      <c r="B12" s="70">
        <v>15.499989999999999</v>
      </c>
      <c r="K12" t="s">
        <v>302</v>
      </c>
      <c r="L12">
        <v>5.5213999999999999</v>
      </c>
      <c r="M12">
        <f t="shared" si="0"/>
        <v>5.558325</v>
      </c>
      <c r="N12">
        <f t="shared" si="1"/>
        <v>-3.6925000000000097E-2</v>
      </c>
    </row>
    <row r="13" spans="1:14" x14ac:dyDescent="0.3">
      <c r="A13" s="69" t="s">
        <v>302</v>
      </c>
      <c r="B13" s="70">
        <v>5.558325</v>
      </c>
      <c r="K13" t="s">
        <v>303</v>
      </c>
      <c r="L13">
        <v>14.098000000000001</v>
      </c>
      <c r="M13">
        <f t="shared" si="0"/>
        <v>16.581990000000001</v>
      </c>
      <c r="N13">
        <f t="shared" si="1"/>
        <v>-2.4839900000000004</v>
      </c>
    </row>
    <row r="14" spans="1:14" x14ac:dyDescent="0.3">
      <c r="A14" s="69" t="s">
        <v>303</v>
      </c>
      <c r="B14" s="70">
        <v>16.581990000000001</v>
      </c>
      <c r="K14" t="s">
        <v>304</v>
      </c>
      <c r="L14">
        <v>14.098000000000001</v>
      </c>
      <c r="M14">
        <f t="shared" si="0"/>
        <v>16.581990000000001</v>
      </c>
      <c r="N14">
        <f t="shared" si="1"/>
        <v>-2.4839900000000004</v>
      </c>
    </row>
    <row r="15" spans="1:14" x14ac:dyDescent="0.3">
      <c r="A15" s="69" t="s">
        <v>304</v>
      </c>
      <c r="B15" s="70">
        <v>16.581990000000001</v>
      </c>
      <c r="K15" t="s">
        <v>305</v>
      </c>
      <c r="L15">
        <v>13.754799999999999</v>
      </c>
      <c r="M15">
        <f t="shared" si="0"/>
        <v>16.23799</v>
      </c>
      <c r="N15">
        <f t="shared" si="1"/>
        <v>-2.4831900000000005</v>
      </c>
    </row>
    <row r="16" spans="1:14" x14ac:dyDescent="0.3">
      <c r="A16" s="69" t="s">
        <v>305</v>
      </c>
      <c r="B16" s="70">
        <v>16.23799</v>
      </c>
      <c r="K16" t="s">
        <v>377</v>
      </c>
      <c r="L16">
        <v>15.7234</v>
      </c>
      <c r="M16">
        <f t="shared" si="0"/>
        <v>18.204990000000002</v>
      </c>
      <c r="N16">
        <f t="shared" si="1"/>
        <v>-2.4815900000000024</v>
      </c>
    </row>
    <row r="17" spans="1:14" x14ac:dyDescent="0.3">
      <c r="A17" s="69" t="s">
        <v>377</v>
      </c>
      <c r="B17" s="70">
        <v>18.204990000000002</v>
      </c>
      <c r="K17" t="s">
        <v>378</v>
      </c>
      <c r="L17">
        <v>15.7234</v>
      </c>
      <c r="M17">
        <f t="shared" si="0"/>
        <v>18.204990000000002</v>
      </c>
      <c r="N17">
        <f t="shared" si="1"/>
        <v>-2.4815900000000024</v>
      </c>
    </row>
    <row r="18" spans="1:14" x14ac:dyDescent="0.3">
      <c r="A18" s="69" t="s">
        <v>378</v>
      </c>
      <c r="B18" s="70">
        <v>18.204990000000002</v>
      </c>
      <c r="K18" t="s">
        <v>379</v>
      </c>
      <c r="L18">
        <v>4.0225</v>
      </c>
      <c r="M18">
        <f t="shared" si="0"/>
        <v>4.0685450000000003</v>
      </c>
      <c r="N18">
        <f t="shared" si="1"/>
        <v>-4.6045000000000336E-2</v>
      </c>
    </row>
    <row r="19" spans="1:14" x14ac:dyDescent="0.3">
      <c r="A19" s="69" t="s">
        <v>379</v>
      </c>
      <c r="B19" s="70">
        <v>4.0685450000000003</v>
      </c>
      <c r="K19" t="s">
        <v>380</v>
      </c>
      <c r="L19">
        <v>4.0225</v>
      </c>
      <c r="M19">
        <f t="shared" si="0"/>
        <v>4.0685450000000003</v>
      </c>
      <c r="N19">
        <f t="shared" si="1"/>
        <v>-4.6045000000000336E-2</v>
      </c>
    </row>
    <row r="20" spans="1:14" x14ac:dyDescent="0.3">
      <c r="A20" s="69" t="s">
        <v>380</v>
      </c>
      <c r="B20" s="70">
        <v>4.0685450000000003</v>
      </c>
      <c r="K20" t="s">
        <v>381</v>
      </c>
      <c r="L20">
        <v>4.5675999999999997</v>
      </c>
      <c r="M20">
        <f t="shared" si="0"/>
        <v>4.6125449999999999</v>
      </c>
      <c r="N20">
        <f t="shared" si="1"/>
        <v>-4.4945000000000235E-2</v>
      </c>
    </row>
    <row r="21" spans="1:14" x14ac:dyDescent="0.3">
      <c r="A21" s="69" t="s">
        <v>381</v>
      </c>
      <c r="B21" s="70">
        <v>4.6125449999999999</v>
      </c>
      <c r="K21" t="s">
        <v>382</v>
      </c>
      <c r="L21">
        <v>13.149699999999999</v>
      </c>
      <c r="M21">
        <f t="shared" si="0"/>
        <v>15.64221</v>
      </c>
      <c r="N21">
        <f t="shared" si="1"/>
        <v>-2.4925100000000011</v>
      </c>
    </row>
    <row r="22" spans="1:14" x14ac:dyDescent="0.3">
      <c r="A22" s="69" t="s">
        <v>382</v>
      </c>
      <c r="B22" s="70">
        <v>15.64221</v>
      </c>
      <c r="K22" t="s">
        <v>383</v>
      </c>
      <c r="L22">
        <v>14.034700000000001</v>
      </c>
      <c r="M22">
        <f t="shared" si="0"/>
        <v>15.64221</v>
      </c>
      <c r="N22">
        <f t="shared" si="1"/>
        <v>-1.6075099999999996</v>
      </c>
    </row>
    <row r="23" spans="1:14" x14ac:dyDescent="0.3">
      <c r="A23" s="69" t="s">
        <v>383</v>
      </c>
      <c r="B23" s="70">
        <v>15.64221</v>
      </c>
      <c r="K23" t="s">
        <v>384</v>
      </c>
      <c r="L23">
        <v>13.149699999999999</v>
      </c>
      <c r="M23">
        <f t="shared" si="0"/>
        <v>31.284420000000001</v>
      </c>
      <c r="N23">
        <f t="shared" si="1"/>
        <v>-18.134720000000002</v>
      </c>
    </row>
    <row r="24" spans="1:14" x14ac:dyDescent="0.3">
      <c r="A24" s="69" t="s">
        <v>384</v>
      </c>
      <c r="B24" s="70">
        <v>31.284420000000001</v>
      </c>
      <c r="K24" t="s">
        <v>384</v>
      </c>
      <c r="L24">
        <v>13.149699999999999</v>
      </c>
      <c r="M24">
        <f t="shared" si="0"/>
        <v>31.284420000000001</v>
      </c>
      <c r="N24">
        <f t="shared" si="1"/>
        <v>-18.134720000000002</v>
      </c>
    </row>
    <row r="25" spans="1:14" x14ac:dyDescent="0.3">
      <c r="A25" s="69" t="s">
        <v>385</v>
      </c>
      <c r="B25" s="70">
        <v>5.3595450000000007</v>
      </c>
      <c r="K25" t="s">
        <v>385</v>
      </c>
      <c r="L25">
        <v>5.3178999999999998</v>
      </c>
      <c r="M25">
        <f t="shared" si="0"/>
        <v>5.3595450000000007</v>
      </c>
      <c r="N25">
        <f t="shared" si="1"/>
        <v>-4.164500000000082E-2</v>
      </c>
    </row>
    <row r="26" spans="1:14" x14ac:dyDescent="0.3">
      <c r="A26" s="69" t="s">
        <v>386</v>
      </c>
      <c r="B26" s="70">
        <v>16.389209999999999</v>
      </c>
      <c r="K26" t="s">
        <v>386</v>
      </c>
      <c r="L26">
        <v>13.9</v>
      </c>
      <c r="M26">
        <f t="shared" si="0"/>
        <v>16.389209999999999</v>
      </c>
      <c r="N26">
        <f t="shared" si="1"/>
        <v>-2.4892099999999981</v>
      </c>
    </row>
    <row r="27" spans="1:14" x14ac:dyDescent="0.3">
      <c r="A27" s="69" t="s">
        <v>387</v>
      </c>
      <c r="B27" s="70">
        <v>34.54842</v>
      </c>
      <c r="K27" t="s">
        <v>387</v>
      </c>
      <c r="L27">
        <v>14.785</v>
      </c>
      <c r="M27">
        <f t="shared" si="0"/>
        <v>34.54842</v>
      </c>
      <c r="N27">
        <f t="shared" si="1"/>
        <v>-19.76342</v>
      </c>
    </row>
    <row r="28" spans="1:14" x14ac:dyDescent="0.3">
      <c r="A28" s="69" t="s">
        <v>388</v>
      </c>
      <c r="B28" s="70">
        <v>17.477209999999999</v>
      </c>
      <c r="K28" t="s">
        <v>387</v>
      </c>
      <c r="L28">
        <v>14.785</v>
      </c>
      <c r="M28">
        <f t="shared" si="0"/>
        <v>34.54842</v>
      </c>
      <c r="N28">
        <f t="shared" si="1"/>
        <v>-19.76342</v>
      </c>
    </row>
    <row r="29" spans="1:14" x14ac:dyDescent="0.3">
      <c r="A29" s="69" t="s">
        <v>389</v>
      </c>
      <c r="B29" s="70">
        <v>12.863804999999997</v>
      </c>
      <c r="K29" t="s">
        <v>388</v>
      </c>
      <c r="L29">
        <v>14.9902</v>
      </c>
      <c r="M29">
        <f t="shared" si="0"/>
        <v>17.477209999999999</v>
      </c>
      <c r="N29">
        <f t="shared" si="1"/>
        <v>-2.4870099999999997</v>
      </c>
    </row>
    <row r="30" spans="1:14" x14ac:dyDescent="0.3">
      <c r="A30" s="69" t="s">
        <v>390</v>
      </c>
      <c r="B30" s="70">
        <v>6.3019349999999994</v>
      </c>
      <c r="K30" t="s">
        <v>389</v>
      </c>
      <c r="L30">
        <v>4.2767999999999997</v>
      </c>
      <c r="M30">
        <f t="shared" si="0"/>
        <v>12.863804999999997</v>
      </c>
      <c r="N30">
        <f t="shared" si="1"/>
        <v>-8.5870049999999978</v>
      </c>
    </row>
    <row r="31" spans="1:14" x14ac:dyDescent="0.3">
      <c r="A31" s="69" t="s">
        <v>391</v>
      </c>
      <c r="B31" s="70">
        <v>7.6749349999999996</v>
      </c>
      <c r="K31" t="s">
        <v>389</v>
      </c>
      <c r="L31">
        <v>4.2767999999999997</v>
      </c>
      <c r="M31">
        <f t="shared" si="0"/>
        <v>12.863804999999997</v>
      </c>
      <c r="N31">
        <f t="shared" si="1"/>
        <v>-8.5870049999999978</v>
      </c>
    </row>
    <row r="32" spans="1:14" x14ac:dyDescent="0.3">
      <c r="A32" s="69" t="s">
        <v>392</v>
      </c>
      <c r="B32" s="70">
        <v>39.261199999999995</v>
      </c>
      <c r="K32" t="s">
        <v>389</v>
      </c>
      <c r="L32">
        <v>4.2767999999999997</v>
      </c>
      <c r="M32">
        <f t="shared" si="0"/>
        <v>12.863804999999997</v>
      </c>
      <c r="N32">
        <f t="shared" si="1"/>
        <v>-8.5870049999999978</v>
      </c>
    </row>
    <row r="33" spans="1:14" x14ac:dyDescent="0.3">
      <c r="A33" s="69" t="s">
        <v>393</v>
      </c>
      <c r="B33" s="70">
        <v>58.891799999999989</v>
      </c>
      <c r="K33" t="s">
        <v>390</v>
      </c>
      <c r="L33">
        <v>6.1905000000000001</v>
      </c>
      <c r="M33">
        <f t="shared" si="0"/>
        <v>6.3019349999999994</v>
      </c>
      <c r="N33">
        <f t="shared" si="1"/>
        <v>-0.11143499999999928</v>
      </c>
    </row>
    <row r="34" spans="1:14" x14ac:dyDescent="0.3">
      <c r="A34" s="69" t="s">
        <v>394</v>
      </c>
      <c r="B34" s="70">
        <v>21.003599999999999</v>
      </c>
      <c r="K34" t="s">
        <v>391</v>
      </c>
      <c r="L34">
        <v>7.5664999999999996</v>
      </c>
      <c r="M34">
        <f t="shared" si="0"/>
        <v>7.6749349999999996</v>
      </c>
      <c r="N34">
        <f t="shared" si="1"/>
        <v>-0.10843500000000006</v>
      </c>
    </row>
    <row r="35" spans="1:14" x14ac:dyDescent="0.3">
      <c r="A35" s="69" t="s">
        <v>395</v>
      </c>
      <c r="B35" s="70">
        <v>21.8886</v>
      </c>
      <c r="K35" t="s">
        <v>392</v>
      </c>
      <c r="L35">
        <v>16.8749</v>
      </c>
      <c r="M35">
        <f t="shared" si="0"/>
        <v>39.261199999999995</v>
      </c>
      <c r="N35">
        <f t="shared" si="1"/>
        <v>-22.386299999999995</v>
      </c>
    </row>
    <row r="36" spans="1:14" x14ac:dyDescent="0.3">
      <c r="A36" s="69" t="s">
        <v>396</v>
      </c>
      <c r="B36" s="70">
        <v>43.777199999999993</v>
      </c>
      <c r="K36" t="s">
        <v>392</v>
      </c>
      <c r="L36">
        <v>16.8749</v>
      </c>
      <c r="M36">
        <f t="shared" si="0"/>
        <v>39.261199999999995</v>
      </c>
      <c r="N36">
        <f t="shared" si="1"/>
        <v>-22.386299999999995</v>
      </c>
    </row>
    <row r="37" spans="1:14" x14ac:dyDescent="0.3">
      <c r="A37" s="69" t="s">
        <v>397</v>
      </c>
      <c r="B37" s="70">
        <v>23.017599999999998</v>
      </c>
      <c r="K37" t="s">
        <v>393</v>
      </c>
      <c r="L37">
        <v>16.8749</v>
      </c>
      <c r="M37">
        <f t="shared" si="0"/>
        <v>58.891799999999989</v>
      </c>
      <c r="N37">
        <f t="shared" si="1"/>
        <v>-42.016899999999993</v>
      </c>
    </row>
    <row r="38" spans="1:14" x14ac:dyDescent="0.3">
      <c r="A38" s="69" t="s">
        <v>398</v>
      </c>
      <c r="B38" s="70">
        <v>21.658529999999999</v>
      </c>
      <c r="K38" t="s">
        <v>393</v>
      </c>
      <c r="L38">
        <v>16.8749</v>
      </c>
      <c r="M38">
        <f t="shared" si="0"/>
        <v>58.891799999999989</v>
      </c>
      <c r="N38">
        <f t="shared" si="1"/>
        <v>-42.016899999999993</v>
      </c>
    </row>
    <row r="39" spans="1:14" x14ac:dyDescent="0.3">
      <c r="A39" s="69" t="s">
        <v>399</v>
      </c>
      <c r="B39" s="70">
        <v>28.090529999999998</v>
      </c>
      <c r="K39" t="s">
        <v>393</v>
      </c>
      <c r="L39">
        <v>16.8749</v>
      </c>
      <c r="M39">
        <f t="shared" si="0"/>
        <v>58.891799999999989</v>
      </c>
      <c r="N39">
        <f t="shared" si="1"/>
        <v>-42.016899999999993</v>
      </c>
    </row>
    <row r="40" spans="1:14" x14ac:dyDescent="0.3">
      <c r="A40" s="69" t="s">
        <v>400</v>
      </c>
      <c r="B40" s="70">
        <v>19.806819999999998</v>
      </c>
      <c r="K40" t="s">
        <v>394</v>
      </c>
      <c r="L40">
        <v>18.250900000000001</v>
      </c>
      <c r="M40">
        <f t="shared" si="0"/>
        <v>21.003599999999999</v>
      </c>
      <c r="N40">
        <f t="shared" si="1"/>
        <v>-2.7526999999999973</v>
      </c>
    </row>
    <row r="41" spans="1:14" x14ac:dyDescent="0.3">
      <c r="A41" s="69" t="s">
        <v>401</v>
      </c>
      <c r="B41" s="70">
        <v>17.261264999999998</v>
      </c>
      <c r="K41" t="s">
        <v>395</v>
      </c>
      <c r="L41">
        <v>19.135899999999999</v>
      </c>
      <c r="M41">
        <f t="shared" si="0"/>
        <v>21.8886</v>
      </c>
      <c r="N41">
        <f t="shared" si="1"/>
        <v>-2.7527000000000008</v>
      </c>
    </row>
    <row r="42" spans="1:14" x14ac:dyDescent="0.3">
      <c r="A42" s="69" t="s">
        <v>402</v>
      </c>
      <c r="B42" s="70">
        <v>32.541249999999998</v>
      </c>
      <c r="K42" t="s">
        <v>396</v>
      </c>
      <c r="L42">
        <v>19.135899999999999</v>
      </c>
      <c r="M42">
        <f t="shared" si="0"/>
        <v>43.777199999999993</v>
      </c>
      <c r="N42">
        <f t="shared" si="1"/>
        <v>-24.641299999999994</v>
      </c>
    </row>
    <row r="43" spans="1:14" x14ac:dyDescent="0.3">
      <c r="A43" s="69" t="s">
        <v>403</v>
      </c>
      <c r="B43" s="70">
        <v>32.541249999999998</v>
      </c>
      <c r="K43" t="s">
        <v>396</v>
      </c>
      <c r="L43">
        <v>19.135899999999999</v>
      </c>
      <c r="M43">
        <f t="shared" si="0"/>
        <v>43.777199999999993</v>
      </c>
      <c r="N43">
        <f t="shared" si="1"/>
        <v>-24.641299999999994</v>
      </c>
    </row>
    <row r="44" spans="1:14" x14ac:dyDescent="0.3">
      <c r="A44" s="69" t="s">
        <v>404</v>
      </c>
      <c r="B44" s="70">
        <v>34.149249999999995</v>
      </c>
      <c r="K44" t="s">
        <v>397</v>
      </c>
      <c r="L44">
        <v>20.266400000000001</v>
      </c>
      <c r="M44">
        <f t="shared" si="0"/>
        <v>23.017599999999998</v>
      </c>
      <c r="N44">
        <f t="shared" si="1"/>
        <v>-2.7511999999999972</v>
      </c>
    </row>
    <row r="45" spans="1:14" x14ac:dyDescent="0.3">
      <c r="A45" s="69" t="s">
        <v>405</v>
      </c>
      <c r="B45" s="70">
        <v>34.149249999999995</v>
      </c>
      <c r="K45" t="s">
        <v>398</v>
      </c>
      <c r="L45">
        <v>10.696300000000001</v>
      </c>
      <c r="M45">
        <f t="shared" si="0"/>
        <v>21.658529999999999</v>
      </c>
      <c r="N45">
        <f t="shared" si="1"/>
        <v>-10.962229999999998</v>
      </c>
    </row>
    <row r="46" spans="1:14" x14ac:dyDescent="0.3">
      <c r="A46" s="69" t="s">
        <v>406</v>
      </c>
      <c r="B46" s="70">
        <v>17.047845000000002</v>
      </c>
      <c r="K46" t="s">
        <v>398</v>
      </c>
      <c r="L46">
        <v>10.696300000000001</v>
      </c>
      <c r="M46">
        <f t="shared" si="0"/>
        <v>21.658529999999999</v>
      </c>
      <c r="N46">
        <f t="shared" si="1"/>
        <v>-10.962229999999998</v>
      </c>
    </row>
    <row r="47" spans="1:14" x14ac:dyDescent="0.3">
      <c r="A47" s="69" t="s">
        <v>407</v>
      </c>
      <c r="B47" s="70">
        <v>39.197829999999996</v>
      </c>
      <c r="K47" t="s">
        <v>399</v>
      </c>
      <c r="L47">
        <v>13.916499999999999</v>
      </c>
      <c r="M47">
        <f t="shared" si="0"/>
        <v>28.090529999999998</v>
      </c>
      <c r="N47">
        <f t="shared" si="1"/>
        <v>-14.174029999999998</v>
      </c>
    </row>
    <row r="48" spans="1:14" x14ac:dyDescent="0.3">
      <c r="A48" s="69" t="s">
        <v>408</v>
      </c>
      <c r="B48" s="70">
        <v>25.525845</v>
      </c>
      <c r="K48" t="s">
        <v>399</v>
      </c>
      <c r="L48">
        <v>13.916499999999999</v>
      </c>
      <c r="M48">
        <f t="shared" si="0"/>
        <v>28.090529999999998</v>
      </c>
      <c r="N48">
        <f t="shared" si="1"/>
        <v>-14.174029999999998</v>
      </c>
    </row>
    <row r="49" spans="1:14" x14ac:dyDescent="0.3">
      <c r="A49" s="69" t="s">
        <v>409</v>
      </c>
      <c r="B49" s="70">
        <v>40.082829999999994</v>
      </c>
      <c r="K49" t="s">
        <v>400</v>
      </c>
      <c r="L49">
        <v>17.007000000000001</v>
      </c>
      <c r="M49">
        <f t="shared" si="0"/>
        <v>19.806819999999998</v>
      </c>
      <c r="N49">
        <f t="shared" si="1"/>
        <v>-2.7998199999999969</v>
      </c>
    </row>
    <row r="50" spans="1:14" x14ac:dyDescent="0.3">
      <c r="A50" s="69" t="s">
        <v>410</v>
      </c>
      <c r="B50" s="70">
        <v>40.082829999999994</v>
      </c>
      <c r="K50" t="s">
        <v>401</v>
      </c>
      <c r="L50">
        <v>17.136700000000001</v>
      </c>
      <c r="M50">
        <f t="shared" si="0"/>
        <v>17.261264999999998</v>
      </c>
      <c r="N50">
        <f t="shared" si="1"/>
        <v>-0.12456499999999693</v>
      </c>
    </row>
    <row r="51" spans="1:14" x14ac:dyDescent="0.3">
      <c r="A51" s="69" t="s">
        <v>411</v>
      </c>
      <c r="B51" s="70">
        <v>25.525845</v>
      </c>
      <c r="K51" t="s">
        <v>402</v>
      </c>
      <c r="L51">
        <v>29.611699999999999</v>
      </c>
      <c r="M51">
        <f t="shared" si="0"/>
        <v>32.541249999999998</v>
      </c>
      <c r="N51">
        <f t="shared" si="1"/>
        <v>-2.929549999999999</v>
      </c>
    </row>
    <row r="52" spans="1:14" x14ac:dyDescent="0.3">
      <c r="A52" s="69" t="s">
        <v>412</v>
      </c>
      <c r="B52" s="70">
        <v>28.351845000000001</v>
      </c>
      <c r="K52" t="s">
        <v>403</v>
      </c>
      <c r="L52">
        <v>29.611699999999999</v>
      </c>
      <c r="M52">
        <f t="shared" si="0"/>
        <v>32.541249999999998</v>
      </c>
      <c r="N52">
        <f t="shared" si="1"/>
        <v>-2.929549999999999</v>
      </c>
    </row>
    <row r="53" spans="1:14" x14ac:dyDescent="0.3">
      <c r="A53" s="69" t="s">
        <v>413</v>
      </c>
      <c r="B53" s="70">
        <v>29.236845000000002</v>
      </c>
      <c r="K53" t="s">
        <v>404</v>
      </c>
      <c r="L53">
        <v>31.221800000000002</v>
      </c>
      <c r="M53">
        <f t="shared" si="0"/>
        <v>34.149249999999995</v>
      </c>
      <c r="N53">
        <f t="shared" si="1"/>
        <v>-2.9274499999999932</v>
      </c>
    </row>
    <row r="54" spans="1:14" x14ac:dyDescent="0.3">
      <c r="A54" s="69" t="s">
        <v>414</v>
      </c>
      <c r="B54" s="70">
        <v>29.236845000000002</v>
      </c>
      <c r="K54" t="s">
        <v>405</v>
      </c>
      <c r="L54">
        <v>31.221800000000002</v>
      </c>
      <c r="M54">
        <f t="shared" si="0"/>
        <v>34.149249999999995</v>
      </c>
      <c r="N54">
        <f t="shared" si="1"/>
        <v>-2.9274499999999932</v>
      </c>
    </row>
    <row r="55" spans="1:14" x14ac:dyDescent="0.3">
      <c r="A55" s="69" t="s">
        <v>415</v>
      </c>
      <c r="B55" s="70">
        <v>34.775804999999998</v>
      </c>
      <c r="K55" t="s">
        <v>406</v>
      </c>
      <c r="L55">
        <v>16.8445</v>
      </c>
      <c r="M55">
        <f t="shared" si="0"/>
        <v>17.047845000000002</v>
      </c>
      <c r="N55">
        <f t="shared" si="1"/>
        <v>-0.20334500000000233</v>
      </c>
    </row>
    <row r="56" spans="1:14" x14ac:dyDescent="0.3">
      <c r="A56" s="69" t="s">
        <v>416</v>
      </c>
      <c r="B56" s="70">
        <v>44.849829999999997</v>
      </c>
      <c r="K56" t="s">
        <v>407</v>
      </c>
      <c r="L56">
        <v>35.787999999999997</v>
      </c>
      <c r="M56">
        <f t="shared" si="0"/>
        <v>39.197829999999996</v>
      </c>
      <c r="N56">
        <f t="shared" si="1"/>
        <v>-3.4098299999999995</v>
      </c>
    </row>
    <row r="57" spans="1:14" x14ac:dyDescent="0.3">
      <c r="A57" s="69" t="s">
        <v>417</v>
      </c>
      <c r="B57" s="70">
        <v>45.734829999999995</v>
      </c>
      <c r="K57" t="s">
        <v>408</v>
      </c>
      <c r="L57">
        <v>25.3384</v>
      </c>
      <c r="M57">
        <f t="shared" si="0"/>
        <v>25.525845</v>
      </c>
      <c r="N57">
        <f t="shared" si="1"/>
        <v>-0.18744500000000031</v>
      </c>
    </row>
    <row r="58" spans="1:14" x14ac:dyDescent="0.3">
      <c r="A58" s="69" t="s">
        <v>418</v>
      </c>
      <c r="B58" s="70">
        <v>45.734829999999995</v>
      </c>
      <c r="K58" t="s">
        <v>409</v>
      </c>
      <c r="L58">
        <v>36.673000000000002</v>
      </c>
      <c r="M58">
        <f t="shared" si="0"/>
        <v>40.082829999999994</v>
      </c>
      <c r="N58">
        <f t="shared" si="1"/>
        <v>-3.4098299999999924</v>
      </c>
    </row>
    <row r="59" spans="1:14" x14ac:dyDescent="0.3">
      <c r="A59" s="69" t="s">
        <v>419</v>
      </c>
      <c r="B59" s="70">
        <v>34.003844999999998</v>
      </c>
      <c r="K59" t="s">
        <v>410</v>
      </c>
      <c r="L59">
        <v>36.673000000000002</v>
      </c>
      <c r="M59">
        <f t="shared" si="0"/>
        <v>40.082829999999994</v>
      </c>
      <c r="N59">
        <f t="shared" si="1"/>
        <v>-3.4098299999999924</v>
      </c>
    </row>
    <row r="60" spans="1:14" x14ac:dyDescent="0.3">
      <c r="A60" s="69" t="s">
        <v>420</v>
      </c>
      <c r="B60" s="70">
        <v>69.777690000000007</v>
      </c>
      <c r="K60" t="s">
        <v>411</v>
      </c>
      <c r="L60">
        <v>25.3384</v>
      </c>
      <c r="M60">
        <f t="shared" si="0"/>
        <v>25.525845</v>
      </c>
      <c r="N60">
        <f t="shared" si="1"/>
        <v>-0.18744500000000031</v>
      </c>
    </row>
    <row r="61" spans="1:14" x14ac:dyDescent="0.3">
      <c r="A61" s="69" t="s">
        <v>421</v>
      </c>
      <c r="B61" s="70">
        <v>39.948785000000001</v>
      </c>
      <c r="K61" t="s">
        <v>412</v>
      </c>
      <c r="L61">
        <v>28.169699999999999</v>
      </c>
      <c r="M61">
        <f t="shared" si="0"/>
        <v>28.351845000000001</v>
      </c>
      <c r="N61">
        <f t="shared" si="1"/>
        <v>-0.182145000000002</v>
      </c>
    </row>
    <row r="62" spans="1:14" x14ac:dyDescent="0.3">
      <c r="A62" s="69" t="s">
        <v>422</v>
      </c>
      <c r="B62" s="70">
        <v>36.812169999999995</v>
      </c>
      <c r="K62" t="s">
        <v>413</v>
      </c>
      <c r="L62">
        <v>29.0547</v>
      </c>
      <c r="M62">
        <f t="shared" si="0"/>
        <v>29.236845000000002</v>
      </c>
      <c r="N62">
        <f t="shared" si="1"/>
        <v>-0.182145000000002</v>
      </c>
    </row>
    <row r="63" spans="1:14" x14ac:dyDescent="0.3">
      <c r="A63" s="69" t="s">
        <v>423</v>
      </c>
      <c r="B63" s="70">
        <v>39.109210000000004</v>
      </c>
      <c r="K63" t="s">
        <v>414</v>
      </c>
      <c r="L63">
        <v>29.0547</v>
      </c>
      <c r="M63">
        <f t="shared" si="0"/>
        <v>29.236845000000002</v>
      </c>
      <c r="N63">
        <f t="shared" si="1"/>
        <v>-0.182145000000002</v>
      </c>
    </row>
    <row r="64" spans="1:14" x14ac:dyDescent="0.3">
      <c r="A64" s="69" t="s">
        <v>424</v>
      </c>
      <c r="B64" s="70">
        <v>40.197209999999998</v>
      </c>
      <c r="K64" t="s">
        <v>415</v>
      </c>
      <c r="L64">
        <v>35.230899999999998</v>
      </c>
      <c r="M64">
        <f t="shared" si="0"/>
        <v>34.775804999999998</v>
      </c>
      <c r="N64">
        <f t="shared" si="1"/>
        <v>0.45509500000000003</v>
      </c>
    </row>
    <row r="65" spans="1:14" x14ac:dyDescent="0.3">
      <c r="A65" s="69" t="s">
        <v>425</v>
      </c>
      <c r="B65" s="70">
        <v>23.798265000000001</v>
      </c>
      <c r="K65" t="s">
        <v>416</v>
      </c>
      <c r="L65">
        <v>41.450600000000001</v>
      </c>
      <c r="M65">
        <f t="shared" si="0"/>
        <v>44.849829999999997</v>
      </c>
      <c r="N65">
        <f t="shared" si="1"/>
        <v>-3.3992299999999958</v>
      </c>
    </row>
    <row r="66" spans="1:14" x14ac:dyDescent="0.3">
      <c r="A66" s="69" t="s">
        <v>426</v>
      </c>
      <c r="B66" s="70">
        <v>35.915930000000003</v>
      </c>
      <c r="K66" t="s">
        <v>417</v>
      </c>
      <c r="L66">
        <v>42.335599999999999</v>
      </c>
      <c r="M66">
        <f t="shared" si="0"/>
        <v>45.734829999999995</v>
      </c>
      <c r="N66">
        <f t="shared" si="1"/>
        <v>-3.3992299999999958</v>
      </c>
    </row>
    <row r="67" spans="1:14" x14ac:dyDescent="0.3">
      <c r="A67" s="69" t="s">
        <v>427</v>
      </c>
      <c r="B67" s="70">
        <v>36.45993</v>
      </c>
      <c r="K67" t="s">
        <v>418</v>
      </c>
      <c r="L67">
        <v>42.335599999999999</v>
      </c>
      <c r="M67">
        <f t="shared" ref="M67:M130" si="2">_xlfn.XLOOKUP(K67,A:A,B:B)</f>
        <v>45.734829999999995</v>
      </c>
      <c r="N67">
        <f t="shared" ref="N67:N130" si="3">L67-M67</f>
        <v>-3.3992299999999958</v>
      </c>
    </row>
    <row r="68" spans="1:14" x14ac:dyDescent="0.3">
      <c r="A68" s="69" t="s">
        <v>428</v>
      </c>
      <c r="B68" s="70"/>
      <c r="K68" t="s">
        <v>419</v>
      </c>
      <c r="L68">
        <v>33.832299999999996</v>
      </c>
      <c r="M68">
        <f t="shared" si="2"/>
        <v>34.003844999999998</v>
      </c>
      <c r="N68">
        <f t="shared" si="3"/>
        <v>-0.17154500000000183</v>
      </c>
    </row>
    <row r="69" spans="1:14" x14ac:dyDescent="0.3">
      <c r="A69" s="69" t="s">
        <v>429</v>
      </c>
      <c r="B69" s="70"/>
      <c r="K69" t="s">
        <v>420</v>
      </c>
      <c r="L69">
        <v>34.717300000000002</v>
      </c>
      <c r="M69">
        <f t="shared" si="2"/>
        <v>69.777690000000007</v>
      </c>
      <c r="N69">
        <f t="shared" si="3"/>
        <v>-35.060390000000005</v>
      </c>
    </row>
    <row r="70" spans="1:14" x14ac:dyDescent="0.3">
      <c r="A70" s="69" t="s">
        <v>430</v>
      </c>
      <c r="B70" s="70"/>
      <c r="K70" t="s">
        <v>420</v>
      </c>
      <c r="L70">
        <v>34.717300000000002</v>
      </c>
      <c r="M70">
        <f t="shared" si="2"/>
        <v>69.777690000000007</v>
      </c>
      <c r="N70">
        <f t="shared" si="3"/>
        <v>-35.060390000000005</v>
      </c>
    </row>
    <row r="71" spans="1:14" x14ac:dyDescent="0.3">
      <c r="A71" s="69" t="s">
        <v>431</v>
      </c>
      <c r="B71" s="70"/>
      <c r="K71" t="s">
        <v>421</v>
      </c>
      <c r="L71">
        <v>37.047499999999999</v>
      </c>
      <c r="M71">
        <f t="shared" si="2"/>
        <v>39.948785000000001</v>
      </c>
      <c r="N71">
        <f t="shared" si="3"/>
        <v>-2.9012850000000014</v>
      </c>
    </row>
    <row r="72" spans="1:14" x14ac:dyDescent="0.3">
      <c r="A72" s="69" t="s">
        <v>432</v>
      </c>
      <c r="B72" s="70"/>
      <c r="K72" t="s">
        <v>422</v>
      </c>
      <c r="L72">
        <v>15.2873</v>
      </c>
      <c r="M72">
        <f t="shared" si="2"/>
        <v>36.812169999999995</v>
      </c>
      <c r="N72">
        <f t="shared" si="3"/>
        <v>-21.524869999999993</v>
      </c>
    </row>
    <row r="73" spans="1:14" x14ac:dyDescent="0.3">
      <c r="A73" s="69" t="s">
        <v>433</v>
      </c>
      <c r="B73" s="70"/>
      <c r="K73" t="s">
        <v>423</v>
      </c>
      <c r="L73">
        <v>19.0291</v>
      </c>
      <c r="M73">
        <f t="shared" si="2"/>
        <v>39.109210000000004</v>
      </c>
      <c r="N73">
        <f t="shared" si="3"/>
        <v>-20.080110000000005</v>
      </c>
    </row>
    <row r="74" spans="1:14" x14ac:dyDescent="0.3">
      <c r="A74" s="69" t="s">
        <v>434</v>
      </c>
      <c r="B74" s="70"/>
      <c r="K74" t="s">
        <v>424</v>
      </c>
      <c r="L74">
        <v>20.119299999999999</v>
      </c>
      <c r="M74">
        <f t="shared" si="2"/>
        <v>40.197209999999998</v>
      </c>
      <c r="N74">
        <f t="shared" si="3"/>
        <v>-20.077909999999999</v>
      </c>
    </row>
    <row r="75" spans="1:14" x14ac:dyDescent="0.3">
      <c r="A75" s="69" t="s">
        <v>435</v>
      </c>
      <c r="B75" s="70"/>
      <c r="K75" t="s">
        <v>425</v>
      </c>
      <c r="L75">
        <v>6.1612</v>
      </c>
      <c r="M75">
        <f t="shared" si="2"/>
        <v>23.798265000000001</v>
      </c>
      <c r="N75">
        <f t="shared" si="3"/>
        <v>-17.637065</v>
      </c>
    </row>
    <row r="76" spans="1:14" x14ac:dyDescent="0.3">
      <c r="A76" s="69" t="s">
        <v>436</v>
      </c>
      <c r="B76" s="70"/>
      <c r="K76" t="s">
        <v>426</v>
      </c>
      <c r="L76">
        <v>15.833500000000001</v>
      </c>
      <c r="M76">
        <f t="shared" si="2"/>
        <v>35.915930000000003</v>
      </c>
      <c r="N76">
        <f t="shared" si="3"/>
        <v>-20.082430000000002</v>
      </c>
    </row>
    <row r="77" spans="1:14" x14ac:dyDescent="0.3">
      <c r="A77" s="69" t="s">
        <v>437</v>
      </c>
      <c r="B77" s="70">
        <v>28.395949999999999</v>
      </c>
      <c r="K77" t="s">
        <v>427</v>
      </c>
      <c r="L77">
        <v>16.378599999999999</v>
      </c>
      <c r="M77">
        <f t="shared" si="2"/>
        <v>36.45993</v>
      </c>
      <c r="N77">
        <f t="shared" si="3"/>
        <v>-20.081330000000001</v>
      </c>
    </row>
    <row r="78" spans="1:14" x14ac:dyDescent="0.3">
      <c r="A78" s="69" t="s">
        <v>438</v>
      </c>
      <c r="B78" s="70">
        <v>28.440829999999998</v>
      </c>
      <c r="K78" t="s">
        <v>428</v>
      </c>
      <c r="L78">
        <v>3.0182000000000002</v>
      </c>
      <c r="M78">
        <f t="shared" si="2"/>
        <v>0</v>
      </c>
      <c r="N78">
        <f t="shared" si="3"/>
        <v>3.0182000000000002</v>
      </c>
    </row>
    <row r="79" spans="1:14" x14ac:dyDescent="0.3">
      <c r="A79" s="69" t="s">
        <v>439</v>
      </c>
      <c r="B79" s="70">
        <v>28.504950000000001</v>
      </c>
      <c r="K79" t="s">
        <v>429</v>
      </c>
      <c r="L79">
        <v>2.2637</v>
      </c>
      <c r="M79">
        <f t="shared" si="2"/>
        <v>0</v>
      </c>
      <c r="N79">
        <f t="shared" si="3"/>
        <v>2.2637</v>
      </c>
    </row>
    <row r="80" spans="1:14" x14ac:dyDescent="0.3">
      <c r="A80" s="69" t="s">
        <v>440</v>
      </c>
      <c r="B80" s="70">
        <v>176.29413875</v>
      </c>
      <c r="K80" t="s">
        <v>430</v>
      </c>
      <c r="L80">
        <v>3.0057</v>
      </c>
      <c r="M80">
        <f t="shared" si="2"/>
        <v>0</v>
      </c>
      <c r="N80">
        <f t="shared" si="3"/>
        <v>3.0057</v>
      </c>
    </row>
    <row r="81" spans="1:14" x14ac:dyDescent="0.3">
      <c r="A81" s="69" t="s">
        <v>441</v>
      </c>
      <c r="B81" s="70">
        <v>20.1431225</v>
      </c>
      <c r="K81" t="s">
        <v>431</v>
      </c>
      <c r="L81">
        <v>8.8040000000000003</v>
      </c>
      <c r="M81">
        <f t="shared" si="2"/>
        <v>0</v>
      </c>
      <c r="N81">
        <f t="shared" si="3"/>
        <v>8.8040000000000003</v>
      </c>
    </row>
    <row r="82" spans="1:14" x14ac:dyDescent="0.3">
      <c r="A82" s="69" t="s">
        <v>442</v>
      </c>
      <c r="B82" s="70">
        <v>53.643122499999997</v>
      </c>
      <c r="K82" t="s">
        <v>432</v>
      </c>
      <c r="L82">
        <v>8.8040000000000003</v>
      </c>
      <c r="M82">
        <f t="shared" si="2"/>
        <v>0</v>
      </c>
      <c r="N82">
        <f t="shared" si="3"/>
        <v>8.8040000000000003</v>
      </c>
    </row>
    <row r="83" spans="1:14" x14ac:dyDescent="0.3">
      <c r="A83" s="69" t="s">
        <v>443</v>
      </c>
      <c r="B83" s="70">
        <v>60.343122499999993</v>
      </c>
      <c r="K83" t="s">
        <v>432</v>
      </c>
      <c r="L83">
        <v>8.8040000000000003</v>
      </c>
      <c r="M83">
        <f t="shared" si="2"/>
        <v>0</v>
      </c>
      <c r="N83">
        <f t="shared" si="3"/>
        <v>8.8040000000000003</v>
      </c>
    </row>
    <row r="84" spans="1:14" x14ac:dyDescent="0.3">
      <c r="A84" s="69" t="s">
        <v>444</v>
      </c>
      <c r="B84" s="70">
        <v>58.453060000000001</v>
      </c>
      <c r="K84" t="s">
        <v>432</v>
      </c>
      <c r="L84">
        <v>8.8040000000000003</v>
      </c>
      <c r="M84">
        <f t="shared" si="2"/>
        <v>0</v>
      </c>
      <c r="N84">
        <f t="shared" si="3"/>
        <v>8.8040000000000003</v>
      </c>
    </row>
    <row r="85" spans="1:14" x14ac:dyDescent="0.3">
      <c r="A85" s="69" t="s">
        <v>445</v>
      </c>
      <c r="B85" s="70">
        <v>155.60213999999999</v>
      </c>
      <c r="K85" t="s">
        <v>433</v>
      </c>
      <c r="L85">
        <v>16.079599999999999</v>
      </c>
      <c r="M85">
        <f t="shared" si="2"/>
        <v>0</v>
      </c>
      <c r="N85">
        <f t="shared" si="3"/>
        <v>16.079599999999999</v>
      </c>
    </row>
    <row r="86" spans="1:14" x14ac:dyDescent="0.3">
      <c r="A86" s="69" t="s">
        <v>446</v>
      </c>
      <c r="B86" s="70">
        <v>168.67535999999998</v>
      </c>
      <c r="K86" t="s">
        <v>434</v>
      </c>
      <c r="L86">
        <v>32.159100000000002</v>
      </c>
      <c r="M86">
        <f t="shared" si="2"/>
        <v>0</v>
      </c>
      <c r="N86">
        <f t="shared" si="3"/>
        <v>32.159100000000002</v>
      </c>
    </row>
    <row r="87" spans="1:14" x14ac:dyDescent="0.3">
      <c r="A87" s="69" t="s">
        <v>447</v>
      </c>
      <c r="B87" s="70">
        <v>3.3469499999999996</v>
      </c>
      <c r="K87" t="s">
        <v>435</v>
      </c>
      <c r="L87">
        <v>18.096399999999999</v>
      </c>
      <c r="M87">
        <f t="shared" si="2"/>
        <v>0</v>
      </c>
      <c r="N87">
        <f t="shared" si="3"/>
        <v>18.096399999999999</v>
      </c>
    </row>
    <row r="88" spans="1:14" x14ac:dyDescent="0.3">
      <c r="A88" s="69" t="s">
        <v>448</v>
      </c>
      <c r="B88" s="70">
        <v>7.7759</v>
      </c>
      <c r="K88" t="s">
        <v>436</v>
      </c>
      <c r="L88">
        <v>36.192799999999998</v>
      </c>
      <c r="M88">
        <f t="shared" si="2"/>
        <v>0</v>
      </c>
      <c r="N88">
        <f t="shared" si="3"/>
        <v>36.192799999999998</v>
      </c>
    </row>
    <row r="89" spans="1:14" x14ac:dyDescent="0.3">
      <c r="A89" s="69" t="s">
        <v>449</v>
      </c>
      <c r="B89" s="70">
        <v>3.6470400000000001</v>
      </c>
      <c r="K89" t="s">
        <v>437</v>
      </c>
      <c r="L89">
        <v>14.740500000000001</v>
      </c>
      <c r="M89">
        <f t="shared" si="2"/>
        <v>28.395949999999999</v>
      </c>
      <c r="N89">
        <f t="shared" si="3"/>
        <v>-13.655449999999998</v>
      </c>
    </row>
    <row r="90" spans="1:14" x14ac:dyDescent="0.3">
      <c r="A90" s="69" t="s">
        <v>450</v>
      </c>
      <c r="B90" s="70">
        <v>4.191040000000001</v>
      </c>
      <c r="K90" t="s">
        <v>438</v>
      </c>
      <c r="L90">
        <v>18.011099999999999</v>
      </c>
      <c r="M90">
        <f t="shared" si="2"/>
        <v>28.440829999999998</v>
      </c>
      <c r="N90">
        <f t="shared" si="3"/>
        <v>-10.429729999999999</v>
      </c>
    </row>
    <row r="91" spans="1:14" x14ac:dyDescent="0.3">
      <c r="A91" s="69" t="s">
        <v>451</v>
      </c>
      <c r="B91" s="70">
        <v>4.7350400000000015</v>
      </c>
      <c r="K91" t="s">
        <v>439</v>
      </c>
      <c r="L91">
        <v>16.4603</v>
      </c>
      <c r="M91">
        <f t="shared" si="2"/>
        <v>28.504950000000001</v>
      </c>
      <c r="N91">
        <f t="shared" si="3"/>
        <v>-12.044650000000001</v>
      </c>
    </row>
    <row r="92" spans="1:14" x14ac:dyDescent="0.3">
      <c r="A92" s="69" t="s">
        <v>452</v>
      </c>
      <c r="B92" s="70">
        <v>6.3670400000000011</v>
      </c>
      <c r="K92" t="s">
        <v>440</v>
      </c>
      <c r="L92">
        <v>201.5847</v>
      </c>
      <c r="M92">
        <f t="shared" si="2"/>
        <v>176.29413875</v>
      </c>
      <c r="N92">
        <f t="shared" si="3"/>
        <v>25.290561249999996</v>
      </c>
    </row>
    <row r="93" spans="1:14" x14ac:dyDescent="0.3">
      <c r="A93" s="69" t="s">
        <v>453</v>
      </c>
      <c r="B93" s="70">
        <v>18.14256</v>
      </c>
      <c r="K93" t="s">
        <v>441</v>
      </c>
      <c r="L93">
        <v>29.631499999999999</v>
      </c>
      <c r="M93">
        <f t="shared" si="2"/>
        <v>20.1431225</v>
      </c>
      <c r="N93">
        <f t="shared" si="3"/>
        <v>9.4883774999999986</v>
      </c>
    </row>
    <row r="94" spans="1:14" x14ac:dyDescent="0.3">
      <c r="A94" s="69" t="s">
        <v>454</v>
      </c>
      <c r="B94" s="70">
        <v>12.45828</v>
      </c>
      <c r="K94" t="s">
        <v>442</v>
      </c>
      <c r="L94">
        <v>63.523499999999999</v>
      </c>
      <c r="M94">
        <f t="shared" si="2"/>
        <v>53.643122499999997</v>
      </c>
      <c r="N94">
        <f t="shared" si="3"/>
        <v>9.8803775000000016</v>
      </c>
    </row>
    <row r="95" spans="1:14" x14ac:dyDescent="0.3">
      <c r="A95" s="69" t="s">
        <v>455</v>
      </c>
      <c r="B95" s="70">
        <v>14.716279999999999</v>
      </c>
      <c r="K95" t="s">
        <v>443</v>
      </c>
      <c r="L95">
        <v>71.973500000000001</v>
      </c>
      <c r="M95">
        <f t="shared" si="2"/>
        <v>60.343122499999993</v>
      </c>
      <c r="N95">
        <f t="shared" si="3"/>
        <v>11.630377500000009</v>
      </c>
    </row>
    <row r="96" spans="1:14" x14ac:dyDescent="0.3">
      <c r="A96" s="69" t="s">
        <v>456</v>
      </c>
      <c r="B96" s="70">
        <v>21.490279999999998</v>
      </c>
      <c r="K96" t="s">
        <v>444</v>
      </c>
      <c r="L96">
        <v>76.343699999999998</v>
      </c>
      <c r="M96">
        <f t="shared" si="2"/>
        <v>58.453060000000001</v>
      </c>
      <c r="N96">
        <f t="shared" si="3"/>
        <v>17.890639999999998</v>
      </c>
    </row>
    <row r="97" spans="1:14" x14ac:dyDescent="0.3">
      <c r="A97" s="69" t="s">
        <v>457</v>
      </c>
      <c r="B97" s="70">
        <v>22.61928</v>
      </c>
      <c r="K97" t="s">
        <v>445</v>
      </c>
      <c r="L97">
        <v>148.40860000000001</v>
      </c>
      <c r="M97">
        <f t="shared" si="2"/>
        <v>155.60213999999999</v>
      </c>
      <c r="N97">
        <f t="shared" si="3"/>
        <v>-7.1935399999999845</v>
      </c>
    </row>
    <row r="98" spans="1:14" x14ac:dyDescent="0.3">
      <c r="A98" s="69" t="s">
        <v>458</v>
      </c>
      <c r="B98" s="70">
        <v>14.253479999999998</v>
      </c>
      <c r="K98" t="s">
        <v>446</v>
      </c>
      <c r="L98">
        <v>161.49889999999999</v>
      </c>
      <c r="M98">
        <f t="shared" si="2"/>
        <v>168.67535999999998</v>
      </c>
      <c r="N98">
        <f t="shared" si="3"/>
        <v>-7.1764599999999916</v>
      </c>
    </row>
    <row r="99" spans="1:14" x14ac:dyDescent="0.3">
      <c r="A99" s="69" t="s">
        <v>459</v>
      </c>
      <c r="B99" s="70">
        <v>17.469479999999997</v>
      </c>
      <c r="K99" t="s">
        <v>447</v>
      </c>
      <c r="L99">
        <v>2.8100999999999998</v>
      </c>
      <c r="M99">
        <f t="shared" si="2"/>
        <v>3.3469499999999996</v>
      </c>
      <c r="N99">
        <f t="shared" si="3"/>
        <v>-0.53684999999999983</v>
      </c>
    </row>
    <row r="100" spans="1:14" x14ac:dyDescent="0.3">
      <c r="A100" s="69" t="s">
        <v>460</v>
      </c>
      <c r="B100" s="70">
        <v>38.154959999999996</v>
      </c>
      <c r="K100" t="s">
        <v>448</v>
      </c>
      <c r="L100">
        <v>3.3519000000000001</v>
      </c>
      <c r="M100">
        <f t="shared" si="2"/>
        <v>7.7759</v>
      </c>
      <c r="N100">
        <f t="shared" si="3"/>
        <v>-4.4239999999999995</v>
      </c>
    </row>
    <row r="101" spans="1:14" x14ac:dyDescent="0.3">
      <c r="A101" s="69" t="s">
        <v>461</v>
      </c>
      <c r="B101" s="70">
        <v>30.073350000000005</v>
      </c>
      <c r="K101" t="s">
        <v>448</v>
      </c>
      <c r="L101">
        <v>3.3519000000000001</v>
      </c>
      <c r="M101">
        <f t="shared" si="2"/>
        <v>7.7759</v>
      </c>
      <c r="N101">
        <f t="shared" si="3"/>
        <v>-4.4239999999999995</v>
      </c>
    </row>
    <row r="102" spans="1:14" x14ac:dyDescent="0.3">
      <c r="A102" s="69" t="s">
        <v>462</v>
      </c>
      <c r="B102" s="70">
        <v>32.899350000000005</v>
      </c>
      <c r="K102" t="s">
        <v>449</v>
      </c>
      <c r="L102">
        <v>3.1036000000000001</v>
      </c>
      <c r="M102">
        <f t="shared" si="2"/>
        <v>3.6470400000000001</v>
      </c>
      <c r="N102">
        <f t="shared" si="3"/>
        <v>-0.54343999999999992</v>
      </c>
    </row>
    <row r="103" spans="1:14" x14ac:dyDescent="0.3">
      <c r="A103" s="69" t="s">
        <v>463</v>
      </c>
      <c r="B103" s="70">
        <v>35.725349999999999</v>
      </c>
      <c r="K103" t="s">
        <v>450</v>
      </c>
      <c r="L103">
        <v>3.6486999999999998</v>
      </c>
      <c r="M103">
        <f t="shared" si="2"/>
        <v>4.191040000000001</v>
      </c>
      <c r="N103">
        <f t="shared" si="3"/>
        <v>-0.54234000000000115</v>
      </c>
    </row>
    <row r="104" spans="1:14" x14ac:dyDescent="0.3">
      <c r="A104" s="69" t="s">
        <v>464</v>
      </c>
      <c r="B104" s="70">
        <v>49.855350000000001</v>
      </c>
      <c r="K104" t="s">
        <v>451</v>
      </c>
      <c r="L104">
        <v>4.1938000000000004</v>
      </c>
      <c r="M104">
        <f t="shared" si="2"/>
        <v>4.7350400000000015</v>
      </c>
      <c r="N104">
        <f t="shared" si="3"/>
        <v>-0.54124000000000105</v>
      </c>
    </row>
    <row r="105" spans="1:14" x14ac:dyDescent="0.3">
      <c r="A105" s="69" t="s">
        <v>465</v>
      </c>
      <c r="B105" s="70">
        <v>10.72</v>
      </c>
      <c r="K105" t="s">
        <v>452</v>
      </c>
      <c r="L105">
        <v>5.8291000000000004</v>
      </c>
      <c r="M105">
        <f t="shared" si="2"/>
        <v>6.3670400000000011</v>
      </c>
      <c r="N105">
        <f t="shared" si="3"/>
        <v>-0.53794000000000075</v>
      </c>
    </row>
    <row r="106" spans="1:14" x14ac:dyDescent="0.3">
      <c r="A106" s="69" t="s">
        <v>466</v>
      </c>
      <c r="B106" s="70">
        <v>7.0880000000000001</v>
      </c>
      <c r="K106" t="s">
        <v>453</v>
      </c>
      <c r="L106">
        <v>7.9414999999999996</v>
      </c>
      <c r="M106">
        <f t="shared" si="2"/>
        <v>18.14256</v>
      </c>
      <c r="N106">
        <f t="shared" si="3"/>
        <v>-10.20106</v>
      </c>
    </row>
    <row r="107" spans="1:14" x14ac:dyDescent="0.3">
      <c r="A107" s="69" t="s">
        <v>467</v>
      </c>
      <c r="B107" s="70">
        <v>15.504999999999999</v>
      </c>
      <c r="K107" t="s">
        <v>453</v>
      </c>
      <c r="L107">
        <v>7.9414999999999996</v>
      </c>
      <c r="M107">
        <f t="shared" si="2"/>
        <v>18.14256</v>
      </c>
      <c r="N107">
        <f t="shared" si="3"/>
        <v>-10.20106</v>
      </c>
    </row>
    <row r="108" spans="1:14" x14ac:dyDescent="0.3">
      <c r="A108" s="69" t="s">
        <v>468</v>
      </c>
      <c r="B108" s="70">
        <v>2.2149999999999999</v>
      </c>
      <c r="K108" t="s">
        <v>454</v>
      </c>
      <c r="L108">
        <v>11.333</v>
      </c>
      <c r="M108">
        <f t="shared" si="2"/>
        <v>12.45828</v>
      </c>
      <c r="N108">
        <f t="shared" si="3"/>
        <v>-1.1252800000000001</v>
      </c>
    </row>
    <row r="109" spans="1:14" x14ac:dyDescent="0.3">
      <c r="A109" s="69" t="s">
        <v>469</v>
      </c>
      <c r="B109" s="70">
        <v>5.3159999999999998</v>
      </c>
      <c r="K109" t="s">
        <v>455</v>
      </c>
      <c r="L109">
        <v>13.593999999999999</v>
      </c>
      <c r="M109">
        <f t="shared" si="2"/>
        <v>14.716279999999999</v>
      </c>
      <c r="N109">
        <f t="shared" si="3"/>
        <v>-1.1222799999999999</v>
      </c>
    </row>
    <row r="110" spans="1:14" x14ac:dyDescent="0.3">
      <c r="A110" s="69" t="s">
        <v>470</v>
      </c>
      <c r="B110" s="70">
        <v>10.632</v>
      </c>
      <c r="K110" t="s">
        <v>456</v>
      </c>
      <c r="L110">
        <v>20.376999999999999</v>
      </c>
      <c r="M110">
        <f t="shared" si="2"/>
        <v>21.490279999999998</v>
      </c>
      <c r="N110">
        <f t="shared" si="3"/>
        <v>-1.1132799999999996</v>
      </c>
    </row>
    <row r="111" spans="1:14" x14ac:dyDescent="0.3">
      <c r="A111" s="69" t="s">
        <v>471</v>
      </c>
      <c r="B111" s="70">
        <v>4.43</v>
      </c>
      <c r="K111" t="s">
        <v>457</v>
      </c>
      <c r="L111">
        <v>21.5075</v>
      </c>
      <c r="M111">
        <f t="shared" si="2"/>
        <v>22.61928</v>
      </c>
      <c r="N111">
        <f t="shared" si="3"/>
        <v>-1.1117799999999995</v>
      </c>
    </row>
    <row r="112" spans="1:14" x14ac:dyDescent="0.3">
      <c r="A112" s="69" t="s">
        <v>472</v>
      </c>
      <c r="B112" s="70">
        <v>9.9600000000000009</v>
      </c>
      <c r="K112" t="s">
        <v>458</v>
      </c>
      <c r="L112">
        <v>12.662000000000001</v>
      </c>
      <c r="M112">
        <f t="shared" si="2"/>
        <v>14.253479999999998</v>
      </c>
      <c r="N112">
        <f t="shared" si="3"/>
        <v>-1.5914799999999971</v>
      </c>
    </row>
    <row r="113" spans="1:14" x14ac:dyDescent="0.3">
      <c r="A113" s="69" t="s">
        <v>473</v>
      </c>
      <c r="B113" s="70">
        <v>5.976</v>
      </c>
      <c r="K113" t="s">
        <v>459</v>
      </c>
      <c r="L113">
        <v>15.882199999999999</v>
      </c>
      <c r="M113">
        <f t="shared" si="2"/>
        <v>17.469479999999997</v>
      </c>
      <c r="N113">
        <f t="shared" si="3"/>
        <v>-1.587279999999998</v>
      </c>
    </row>
    <row r="114" spans="1:14" x14ac:dyDescent="0.3">
      <c r="A114" s="69" t="s">
        <v>474</v>
      </c>
      <c r="B114" s="70">
        <v>5.976</v>
      </c>
      <c r="K114" t="s">
        <v>460</v>
      </c>
      <c r="L114">
        <v>17.4923</v>
      </c>
      <c r="M114">
        <f t="shared" si="2"/>
        <v>38.154959999999996</v>
      </c>
      <c r="N114">
        <f t="shared" si="3"/>
        <v>-20.662659999999995</v>
      </c>
    </row>
    <row r="115" spans="1:14" x14ac:dyDescent="0.3">
      <c r="A115" s="69" t="s">
        <v>475</v>
      </c>
      <c r="B115" s="70">
        <v>20.916</v>
      </c>
      <c r="K115" t="s">
        <v>460</v>
      </c>
      <c r="L115">
        <v>17.4923</v>
      </c>
      <c r="M115">
        <f t="shared" si="2"/>
        <v>38.154959999999996</v>
      </c>
      <c r="N115">
        <f t="shared" si="3"/>
        <v>-20.662659999999995</v>
      </c>
    </row>
    <row r="116" spans="1:14" x14ac:dyDescent="0.3">
      <c r="A116" s="69" t="s">
        <v>476</v>
      </c>
      <c r="B116" s="70">
        <v>7.9680000000000009</v>
      </c>
      <c r="K116" t="s">
        <v>461</v>
      </c>
      <c r="L116">
        <v>27.325700000000001</v>
      </c>
      <c r="M116">
        <f t="shared" si="2"/>
        <v>30.073350000000005</v>
      </c>
      <c r="N116">
        <f t="shared" si="3"/>
        <v>-2.7476500000000037</v>
      </c>
    </row>
    <row r="117" spans="1:14" x14ac:dyDescent="0.3">
      <c r="A117" s="69" t="s">
        <v>477</v>
      </c>
      <c r="B117" s="70">
        <v>8.9640000000000004</v>
      </c>
      <c r="K117" t="s">
        <v>462</v>
      </c>
      <c r="L117">
        <v>30.157</v>
      </c>
      <c r="M117">
        <f t="shared" si="2"/>
        <v>32.899350000000005</v>
      </c>
      <c r="N117">
        <f t="shared" si="3"/>
        <v>-2.7423500000000054</v>
      </c>
    </row>
    <row r="118" spans="1:14" x14ac:dyDescent="0.3">
      <c r="A118" s="69" t="s">
        <v>478</v>
      </c>
      <c r="B118" s="70">
        <v>9.9600000000000009</v>
      </c>
      <c r="K118" t="s">
        <v>463</v>
      </c>
      <c r="L118">
        <v>32.988300000000002</v>
      </c>
      <c r="M118">
        <f t="shared" si="2"/>
        <v>35.725349999999999</v>
      </c>
      <c r="N118">
        <f t="shared" si="3"/>
        <v>-2.7370499999999964</v>
      </c>
    </row>
    <row r="119" spans="1:14" x14ac:dyDescent="0.3">
      <c r="A119" s="69" t="s">
        <v>479</v>
      </c>
      <c r="B119" s="70">
        <v>10.956000000000001</v>
      </c>
      <c r="K119" t="s">
        <v>464</v>
      </c>
      <c r="L119">
        <v>47.144799999999996</v>
      </c>
      <c r="M119">
        <f t="shared" si="2"/>
        <v>49.855350000000001</v>
      </c>
      <c r="N119">
        <f t="shared" si="3"/>
        <v>-2.7105500000000049</v>
      </c>
    </row>
    <row r="120" spans="1:14" x14ac:dyDescent="0.3">
      <c r="A120" s="69" t="s">
        <v>480</v>
      </c>
      <c r="B120" s="70">
        <v>11.952</v>
      </c>
      <c r="K120" t="s">
        <v>465</v>
      </c>
      <c r="L120">
        <v>10.72</v>
      </c>
      <c r="M120">
        <f t="shared" si="2"/>
        <v>10.72</v>
      </c>
      <c r="N120">
        <f t="shared" si="3"/>
        <v>0</v>
      </c>
    </row>
    <row r="121" spans="1:14" x14ac:dyDescent="0.3">
      <c r="A121" s="69" t="s">
        <v>481</v>
      </c>
      <c r="B121" s="70">
        <v>13.944000000000001</v>
      </c>
      <c r="K121" t="s">
        <v>466</v>
      </c>
      <c r="L121">
        <v>1.772</v>
      </c>
      <c r="M121">
        <f t="shared" si="2"/>
        <v>7.0880000000000001</v>
      </c>
      <c r="N121">
        <f t="shared" si="3"/>
        <v>-5.3159999999999998</v>
      </c>
    </row>
    <row r="122" spans="1:14" x14ac:dyDescent="0.3">
      <c r="A122" s="69" t="s">
        <v>482</v>
      </c>
      <c r="B122" s="70">
        <v>9.3030000000000008</v>
      </c>
      <c r="K122" t="s">
        <v>466</v>
      </c>
      <c r="L122">
        <v>1.772</v>
      </c>
      <c r="M122">
        <f t="shared" si="2"/>
        <v>7.0880000000000001</v>
      </c>
      <c r="N122">
        <f t="shared" si="3"/>
        <v>-5.3159999999999998</v>
      </c>
    </row>
    <row r="123" spans="1:14" x14ac:dyDescent="0.3">
      <c r="A123" s="69" t="s">
        <v>483</v>
      </c>
      <c r="B123" s="70">
        <v>3.101</v>
      </c>
      <c r="K123" t="s">
        <v>466</v>
      </c>
      <c r="L123">
        <v>1.772</v>
      </c>
      <c r="M123">
        <f t="shared" si="2"/>
        <v>7.0880000000000001</v>
      </c>
      <c r="N123">
        <f t="shared" si="3"/>
        <v>-5.3159999999999998</v>
      </c>
    </row>
    <row r="124" spans="1:14" x14ac:dyDescent="0.3">
      <c r="A124" s="69" t="s">
        <v>484</v>
      </c>
      <c r="B124" s="70">
        <v>10.632</v>
      </c>
      <c r="K124" t="s">
        <v>466</v>
      </c>
      <c r="L124">
        <v>1.772</v>
      </c>
      <c r="M124">
        <f t="shared" si="2"/>
        <v>7.0880000000000001</v>
      </c>
      <c r="N124">
        <f t="shared" si="3"/>
        <v>-5.3159999999999998</v>
      </c>
    </row>
    <row r="125" spans="1:14" x14ac:dyDescent="0.3">
      <c r="A125" s="69" t="s">
        <v>485</v>
      </c>
      <c r="B125" s="70">
        <v>8.86</v>
      </c>
      <c r="K125" t="s">
        <v>467</v>
      </c>
      <c r="L125">
        <v>2.2149999999999999</v>
      </c>
      <c r="M125">
        <f t="shared" si="2"/>
        <v>15.504999999999999</v>
      </c>
      <c r="N125">
        <f t="shared" si="3"/>
        <v>-13.29</v>
      </c>
    </row>
    <row r="126" spans="1:14" x14ac:dyDescent="0.3">
      <c r="A126" s="69" t="s">
        <v>486</v>
      </c>
      <c r="B126" s="70">
        <v>7.9739999999999993</v>
      </c>
      <c r="K126" t="s">
        <v>467</v>
      </c>
      <c r="L126">
        <v>2.2149999999999999</v>
      </c>
      <c r="M126">
        <f t="shared" si="2"/>
        <v>15.504999999999999</v>
      </c>
      <c r="N126">
        <f t="shared" si="3"/>
        <v>-13.29</v>
      </c>
    </row>
    <row r="127" spans="1:14" x14ac:dyDescent="0.3">
      <c r="A127" s="69" t="s">
        <v>487</v>
      </c>
      <c r="B127" s="70">
        <v>4.8729999999999993</v>
      </c>
      <c r="K127" t="s">
        <v>467</v>
      </c>
      <c r="L127">
        <v>2.2149999999999999</v>
      </c>
      <c r="M127">
        <f t="shared" si="2"/>
        <v>15.504999999999999</v>
      </c>
      <c r="N127">
        <f t="shared" si="3"/>
        <v>-13.29</v>
      </c>
    </row>
    <row r="128" spans="1:14" x14ac:dyDescent="0.3">
      <c r="A128" s="69" t="s">
        <v>488</v>
      </c>
      <c r="B128" s="70">
        <v>4.43</v>
      </c>
      <c r="K128" t="s">
        <v>467</v>
      </c>
      <c r="L128">
        <v>2.2149999999999999</v>
      </c>
      <c r="M128">
        <f t="shared" si="2"/>
        <v>15.504999999999999</v>
      </c>
      <c r="N128">
        <f t="shared" si="3"/>
        <v>-13.29</v>
      </c>
    </row>
    <row r="129" spans="1:14" x14ac:dyDescent="0.3">
      <c r="A129" s="69" t="s">
        <v>489</v>
      </c>
      <c r="B129" s="70">
        <v>10.632</v>
      </c>
      <c r="K129" t="s">
        <v>467</v>
      </c>
      <c r="L129">
        <v>2.2149999999999999</v>
      </c>
      <c r="M129">
        <f t="shared" si="2"/>
        <v>15.504999999999999</v>
      </c>
      <c r="N129">
        <f t="shared" si="3"/>
        <v>-13.29</v>
      </c>
    </row>
    <row r="130" spans="1:14" x14ac:dyDescent="0.3">
      <c r="A130" s="69" t="s">
        <v>490</v>
      </c>
      <c r="B130" s="70">
        <v>5.7589999999999995</v>
      </c>
      <c r="K130" t="s">
        <v>467</v>
      </c>
      <c r="L130">
        <v>2.2149999999999999</v>
      </c>
      <c r="M130">
        <f t="shared" si="2"/>
        <v>15.504999999999999</v>
      </c>
      <c r="N130">
        <f t="shared" si="3"/>
        <v>-13.29</v>
      </c>
    </row>
    <row r="131" spans="1:14" x14ac:dyDescent="0.3">
      <c r="A131" s="69" t="s">
        <v>491</v>
      </c>
      <c r="B131" s="70">
        <v>11.952</v>
      </c>
      <c r="K131" t="s">
        <v>467</v>
      </c>
      <c r="L131">
        <v>2.2149999999999999</v>
      </c>
      <c r="M131">
        <f t="shared" ref="M131:M194" si="4">_xlfn.XLOOKUP(K131,A:A,B:B)</f>
        <v>15.504999999999999</v>
      </c>
      <c r="N131">
        <f t="shared" ref="N131:N194" si="5">L131-M131</f>
        <v>-13.29</v>
      </c>
    </row>
    <row r="132" spans="1:14" x14ac:dyDescent="0.3">
      <c r="A132" s="69" t="s">
        <v>492</v>
      </c>
      <c r="B132" s="70">
        <v>7.968</v>
      </c>
      <c r="K132" t="s">
        <v>468</v>
      </c>
      <c r="L132">
        <v>2.2149999999999999</v>
      </c>
      <c r="M132">
        <f t="shared" si="4"/>
        <v>2.2149999999999999</v>
      </c>
      <c r="N132">
        <f t="shared" si="5"/>
        <v>0</v>
      </c>
    </row>
    <row r="133" spans="1:14" x14ac:dyDescent="0.3">
      <c r="A133" s="69" t="s">
        <v>493</v>
      </c>
      <c r="B133" s="70">
        <v>9.9600000000000009</v>
      </c>
      <c r="K133" t="s">
        <v>469</v>
      </c>
      <c r="L133">
        <v>2.6579999999999999</v>
      </c>
      <c r="M133">
        <f t="shared" si="4"/>
        <v>5.3159999999999998</v>
      </c>
      <c r="N133">
        <f t="shared" si="5"/>
        <v>-2.6579999999999999</v>
      </c>
    </row>
    <row r="134" spans="1:14" x14ac:dyDescent="0.3">
      <c r="A134" s="69" t="s">
        <v>494</v>
      </c>
      <c r="B134" s="70">
        <v>6.9720000000000004</v>
      </c>
      <c r="K134" t="s">
        <v>469</v>
      </c>
      <c r="L134">
        <v>2.6579999999999999</v>
      </c>
      <c r="M134">
        <f t="shared" si="4"/>
        <v>5.3159999999999998</v>
      </c>
      <c r="N134">
        <f t="shared" si="5"/>
        <v>-2.6579999999999999</v>
      </c>
    </row>
    <row r="135" spans="1:14" x14ac:dyDescent="0.3">
      <c r="A135" s="69" t="s">
        <v>495</v>
      </c>
      <c r="B135" s="70">
        <v>9.9600000000000009</v>
      </c>
      <c r="K135" t="s">
        <v>470</v>
      </c>
      <c r="L135">
        <v>3.544</v>
      </c>
      <c r="M135">
        <f t="shared" si="4"/>
        <v>10.632</v>
      </c>
      <c r="N135">
        <f t="shared" si="5"/>
        <v>-7.0879999999999992</v>
      </c>
    </row>
    <row r="136" spans="1:14" x14ac:dyDescent="0.3">
      <c r="A136" s="69" t="s">
        <v>496</v>
      </c>
      <c r="B136" s="70">
        <v>21.912000000000003</v>
      </c>
      <c r="K136" t="s">
        <v>470</v>
      </c>
      <c r="L136">
        <v>3.544</v>
      </c>
      <c r="M136">
        <f t="shared" si="4"/>
        <v>10.632</v>
      </c>
      <c r="N136">
        <f t="shared" si="5"/>
        <v>-7.0879999999999992</v>
      </c>
    </row>
    <row r="137" spans="1:14" x14ac:dyDescent="0.3">
      <c r="A137" s="69" t="s">
        <v>497</v>
      </c>
      <c r="B137" s="70">
        <v>11.952000000000002</v>
      </c>
      <c r="K137" t="s">
        <v>470</v>
      </c>
      <c r="L137">
        <v>3.544</v>
      </c>
      <c r="M137">
        <f t="shared" si="4"/>
        <v>10.632</v>
      </c>
      <c r="N137">
        <f t="shared" si="5"/>
        <v>-7.0879999999999992</v>
      </c>
    </row>
    <row r="138" spans="1:14" x14ac:dyDescent="0.3">
      <c r="A138" s="69" t="s">
        <v>498</v>
      </c>
      <c r="B138" s="70">
        <v>23.904</v>
      </c>
      <c r="K138" t="s">
        <v>471</v>
      </c>
      <c r="L138">
        <v>4.43</v>
      </c>
      <c r="M138">
        <f t="shared" si="4"/>
        <v>4.43</v>
      </c>
      <c r="N138">
        <f t="shared" si="5"/>
        <v>0</v>
      </c>
    </row>
    <row r="139" spans="1:14" x14ac:dyDescent="0.3">
      <c r="A139" s="69" t="s">
        <v>499</v>
      </c>
      <c r="B139" s="70">
        <v>19.920000000000002</v>
      </c>
      <c r="K139" t="s">
        <v>472</v>
      </c>
      <c r="L139">
        <v>4.9800000000000004</v>
      </c>
      <c r="M139">
        <f t="shared" si="4"/>
        <v>9.9600000000000009</v>
      </c>
      <c r="N139">
        <f t="shared" si="5"/>
        <v>-4.9800000000000004</v>
      </c>
    </row>
    <row r="140" spans="1:14" x14ac:dyDescent="0.3">
      <c r="A140" s="69" t="s">
        <v>500</v>
      </c>
      <c r="B140" s="70">
        <v>12.948</v>
      </c>
      <c r="K140" t="s">
        <v>472</v>
      </c>
      <c r="L140">
        <v>4.9800000000000004</v>
      </c>
      <c r="M140">
        <f t="shared" si="4"/>
        <v>9.9600000000000009</v>
      </c>
      <c r="N140">
        <f t="shared" si="5"/>
        <v>-4.9800000000000004</v>
      </c>
    </row>
    <row r="141" spans="1:14" x14ac:dyDescent="0.3">
      <c r="A141" s="69" t="s">
        <v>501</v>
      </c>
      <c r="B141" s="70">
        <v>8.9640000000000004</v>
      </c>
      <c r="K141" t="s">
        <v>473</v>
      </c>
      <c r="L141">
        <v>5.976</v>
      </c>
      <c r="M141">
        <f t="shared" si="4"/>
        <v>5.976</v>
      </c>
      <c r="N141">
        <f t="shared" si="5"/>
        <v>0</v>
      </c>
    </row>
    <row r="142" spans="1:14" x14ac:dyDescent="0.3">
      <c r="A142" s="69" t="s">
        <v>502</v>
      </c>
      <c r="B142" s="70">
        <v>10.956</v>
      </c>
      <c r="K142" t="s">
        <v>474</v>
      </c>
      <c r="L142">
        <v>5.976</v>
      </c>
      <c r="M142">
        <f t="shared" si="4"/>
        <v>5.976</v>
      </c>
      <c r="N142">
        <f t="shared" si="5"/>
        <v>0</v>
      </c>
    </row>
    <row r="143" spans="1:14" x14ac:dyDescent="0.3">
      <c r="A143" s="69" t="s">
        <v>503</v>
      </c>
      <c r="B143" s="70">
        <v>9.9600000000000009</v>
      </c>
      <c r="K143" t="s">
        <v>475</v>
      </c>
      <c r="L143">
        <v>6.9720000000000004</v>
      </c>
      <c r="M143">
        <f t="shared" si="4"/>
        <v>20.916</v>
      </c>
      <c r="N143">
        <f t="shared" si="5"/>
        <v>-13.943999999999999</v>
      </c>
    </row>
    <row r="144" spans="1:14" x14ac:dyDescent="0.3">
      <c r="A144" s="69" t="s">
        <v>504</v>
      </c>
      <c r="B144" s="70">
        <v>35.856000000000009</v>
      </c>
      <c r="K144" t="s">
        <v>475</v>
      </c>
      <c r="L144">
        <v>6.9720000000000004</v>
      </c>
      <c r="M144">
        <f t="shared" si="4"/>
        <v>20.916</v>
      </c>
      <c r="N144">
        <f t="shared" si="5"/>
        <v>-13.943999999999999</v>
      </c>
    </row>
    <row r="145" spans="1:14" x14ac:dyDescent="0.3">
      <c r="A145" s="69" t="s">
        <v>505</v>
      </c>
      <c r="B145" s="70">
        <v>27.888000000000002</v>
      </c>
      <c r="K145" t="s">
        <v>475</v>
      </c>
      <c r="L145">
        <v>6.9720000000000004</v>
      </c>
      <c r="M145">
        <f t="shared" si="4"/>
        <v>20.916</v>
      </c>
      <c r="N145">
        <f t="shared" si="5"/>
        <v>-13.943999999999999</v>
      </c>
    </row>
    <row r="146" spans="1:14" x14ac:dyDescent="0.3">
      <c r="A146" s="69" t="s">
        <v>506</v>
      </c>
      <c r="B146" s="70">
        <v>21.912000000000003</v>
      </c>
      <c r="K146" t="s">
        <v>476</v>
      </c>
      <c r="L146">
        <v>7.968</v>
      </c>
      <c r="M146">
        <f t="shared" si="4"/>
        <v>7.9680000000000009</v>
      </c>
      <c r="N146">
        <f t="shared" si="5"/>
        <v>0</v>
      </c>
    </row>
    <row r="147" spans="1:14" x14ac:dyDescent="0.3">
      <c r="A147" s="69" t="s">
        <v>507</v>
      </c>
      <c r="B147" s="70">
        <v>38.844000000000008</v>
      </c>
      <c r="K147" t="s">
        <v>477</v>
      </c>
      <c r="L147">
        <v>8.9640000000000004</v>
      </c>
      <c r="M147">
        <f t="shared" si="4"/>
        <v>8.9640000000000004</v>
      </c>
      <c r="N147">
        <f t="shared" si="5"/>
        <v>0</v>
      </c>
    </row>
    <row r="148" spans="1:14" x14ac:dyDescent="0.3">
      <c r="A148" s="69" t="s">
        <v>508</v>
      </c>
      <c r="B148" s="70">
        <v>15.936000000000002</v>
      </c>
      <c r="K148" t="s">
        <v>478</v>
      </c>
      <c r="L148">
        <v>9.9600000000000009</v>
      </c>
      <c r="M148">
        <f t="shared" si="4"/>
        <v>9.9600000000000009</v>
      </c>
      <c r="N148">
        <f t="shared" si="5"/>
        <v>0</v>
      </c>
    </row>
    <row r="149" spans="1:14" x14ac:dyDescent="0.3">
      <c r="A149" s="69" t="s">
        <v>509</v>
      </c>
      <c r="B149" s="70">
        <v>11.952</v>
      </c>
      <c r="K149" t="s">
        <v>479</v>
      </c>
      <c r="L149">
        <v>10.956</v>
      </c>
      <c r="M149">
        <f t="shared" si="4"/>
        <v>10.956000000000001</v>
      </c>
      <c r="N149">
        <f t="shared" si="5"/>
        <v>0</v>
      </c>
    </row>
    <row r="150" spans="1:14" x14ac:dyDescent="0.3">
      <c r="A150" s="69" t="s">
        <v>510</v>
      </c>
      <c r="B150" s="70">
        <v>25.896000000000001</v>
      </c>
      <c r="K150" t="s">
        <v>480</v>
      </c>
      <c r="L150">
        <v>11.952</v>
      </c>
      <c r="M150">
        <f t="shared" si="4"/>
        <v>11.952</v>
      </c>
      <c r="N150">
        <f t="shared" si="5"/>
        <v>0</v>
      </c>
    </row>
    <row r="151" spans="1:14" x14ac:dyDescent="0.3">
      <c r="A151" s="69" t="s">
        <v>511</v>
      </c>
      <c r="B151" s="70">
        <v>29.880000000000003</v>
      </c>
      <c r="K151" t="s">
        <v>481</v>
      </c>
      <c r="L151">
        <v>13.944000000000001</v>
      </c>
      <c r="M151">
        <f t="shared" si="4"/>
        <v>13.944000000000001</v>
      </c>
      <c r="N151">
        <f t="shared" si="5"/>
        <v>0</v>
      </c>
    </row>
    <row r="152" spans="1:14" x14ac:dyDescent="0.3">
      <c r="A152" s="69" t="s">
        <v>512</v>
      </c>
      <c r="B152" s="70">
        <v>13.944000000000001</v>
      </c>
      <c r="K152" t="s">
        <v>482</v>
      </c>
      <c r="L152">
        <v>3.101</v>
      </c>
      <c r="M152">
        <f t="shared" si="4"/>
        <v>9.3030000000000008</v>
      </c>
      <c r="N152">
        <f t="shared" si="5"/>
        <v>-6.2020000000000008</v>
      </c>
    </row>
    <row r="153" spans="1:14" x14ac:dyDescent="0.3">
      <c r="A153" s="69" t="s">
        <v>513</v>
      </c>
      <c r="B153" s="70">
        <v>33.864000000000004</v>
      </c>
      <c r="K153" t="s">
        <v>482</v>
      </c>
      <c r="L153">
        <v>3.101</v>
      </c>
      <c r="M153">
        <f t="shared" si="4"/>
        <v>9.3030000000000008</v>
      </c>
      <c r="N153">
        <f t="shared" si="5"/>
        <v>-6.2020000000000008</v>
      </c>
    </row>
    <row r="154" spans="1:14" x14ac:dyDescent="0.3">
      <c r="A154" s="69" t="s">
        <v>514</v>
      </c>
      <c r="B154" s="70">
        <v>16.932000000000002</v>
      </c>
      <c r="K154" t="s">
        <v>482</v>
      </c>
      <c r="L154">
        <v>3.101</v>
      </c>
      <c r="M154">
        <f t="shared" si="4"/>
        <v>9.3030000000000008</v>
      </c>
      <c r="N154">
        <f t="shared" si="5"/>
        <v>-6.2020000000000008</v>
      </c>
    </row>
    <row r="155" spans="1:14" x14ac:dyDescent="0.3">
      <c r="A155" s="69" t="s">
        <v>515</v>
      </c>
      <c r="B155" s="70">
        <v>18.923999999999999</v>
      </c>
      <c r="K155" t="s">
        <v>483</v>
      </c>
      <c r="L155">
        <v>3.101</v>
      </c>
      <c r="M155">
        <f t="shared" si="4"/>
        <v>3.101</v>
      </c>
      <c r="N155">
        <f t="shared" si="5"/>
        <v>0</v>
      </c>
    </row>
    <row r="156" spans="1:14" x14ac:dyDescent="0.3">
      <c r="A156" s="69" t="s">
        <v>516</v>
      </c>
      <c r="B156" s="70">
        <v>35.856000000000002</v>
      </c>
      <c r="K156" t="s">
        <v>484</v>
      </c>
      <c r="L156">
        <v>3.544</v>
      </c>
      <c r="M156">
        <f t="shared" si="4"/>
        <v>10.632</v>
      </c>
      <c r="N156">
        <f t="shared" si="5"/>
        <v>-7.0879999999999992</v>
      </c>
    </row>
    <row r="157" spans="1:14" x14ac:dyDescent="0.3">
      <c r="A157" s="69" t="s">
        <v>517</v>
      </c>
      <c r="B157" s="70">
        <v>18.924000000000003</v>
      </c>
      <c r="K157" t="s">
        <v>484</v>
      </c>
      <c r="L157">
        <v>3.544</v>
      </c>
      <c r="M157">
        <f t="shared" si="4"/>
        <v>10.632</v>
      </c>
      <c r="N157">
        <f t="shared" si="5"/>
        <v>-7.0879999999999992</v>
      </c>
    </row>
    <row r="158" spans="1:14" x14ac:dyDescent="0.3">
      <c r="A158" s="69" t="s">
        <v>518</v>
      </c>
      <c r="B158" s="70">
        <v>20.916000000000004</v>
      </c>
      <c r="K158" t="s">
        <v>484</v>
      </c>
      <c r="L158">
        <v>3.544</v>
      </c>
      <c r="M158">
        <f t="shared" si="4"/>
        <v>10.632</v>
      </c>
      <c r="N158">
        <f t="shared" si="5"/>
        <v>-7.0879999999999992</v>
      </c>
    </row>
    <row r="159" spans="1:14" x14ac:dyDescent="0.3">
      <c r="A159" s="69" t="s">
        <v>519</v>
      </c>
      <c r="B159" s="70">
        <v>8.5040599999999991</v>
      </c>
      <c r="K159" t="s">
        <v>485</v>
      </c>
      <c r="L159">
        <v>4.43</v>
      </c>
      <c r="M159">
        <f t="shared" si="4"/>
        <v>8.86</v>
      </c>
      <c r="N159">
        <f t="shared" si="5"/>
        <v>-4.43</v>
      </c>
    </row>
    <row r="160" spans="1:14" x14ac:dyDescent="0.3">
      <c r="A160" s="69" t="s">
        <v>520</v>
      </c>
      <c r="B160" s="70">
        <v>35.788240000000002</v>
      </c>
      <c r="K160" t="s">
        <v>485</v>
      </c>
      <c r="L160">
        <v>4.43</v>
      </c>
      <c r="M160">
        <f t="shared" si="4"/>
        <v>8.86</v>
      </c>
      <c r="N160">
        <f t="shared" si="5"/>
        <v>-4.43</v>
      </c>
    </row>
    <row r="161" spans="1:14" x14ac:dyDescent="0.3">
      <c r="A161" s="69" t="s">
        <v>521</v>
      </c>
      <c r="B161" s="70">
        <v>37.56024</v>
      </c>
      <c r="K161" t="s">
        <v>486</v>
      </c>
      <c r="L161">
        <v>3.9870000000000001</v>
      </c>
      <c r="M161">
        <f t="shared" si="4"/>
        <v>7.9739999999999993</v>
      </c>
      <c r="N161">
        <f t="shared" si="5"/>
        <v>-3.9869999999999992</v>
      </c>
    </row>
    <row r="162" spans="1:14" x14ac:dyDescent="0.3">
      <c r="A162" s="69" t="s">
        <v>522</v>
      </c>
      <c r="B162" s="70">
        <v>19.666119999999999</v>
      </c>
      <c r="K162" t="s">
        <v>486</v>
      </c>
      <c r="L162">
        <v>3.9870000000000001</v>
      </c>
      <c r="M162">
        <f t="shared" si="4"/>
        <v>7.9739999999999993</v>
      </c>
      <c r="N162">
        <f t="shared" si="5"/>
        <v>-3.9869999999999992</v>
      </c>
    </row>
    <row r="163" spans="1:14" x14ac:dyDescent="0.3">
      <c r="A163" s="69" t="s">
        <v>523</v>
      </c>
      <c r="B163" s="70">
        <v>32.157179999999997</v>
      </c>
      <c r="K163" t="s">
        <v>487</v>
      </c>
      <c r="L163">
        <v>4.8730000000000002</v>
      </c>
      <c r="M163">
        <f t="shared" si="4"/>
        <v>4.8729999999999993</v>
      </c>
      <c r="N163">
        <f t="shared" si="5"/>
        <v>0</v>
      </c>
    </row>
    <row r="164" spans="1:14" x14ac:dyDescent="0.3">
      <c r="A164" s="69" t="s">
        <v>524</v>
      </c>
      <c r="B164" s="70">
        <v>22.324120000000001</v>
      </c>
      <c r="K164" t="s">
        <v>488</v>
      </c>
      <c r="L164">
        <v>4.43</v>
      </c>
      <c r="M164">
        <f t="shared" si="4"/>
        <v>4.43</v>
      </c>
      <c r="N164">
        <f t="shared" si="5"/>
        <v>0</v>
      </c>
    </row>
    <row r="165" spans="1:14" x14ac:dyDescent="0.3">
      <c r="A165" s="69" t="s">
        <v>525</v>
      </c>
      <c r="B165" s="70">
        <v>12.04806</v>
      </c>
      <c r="K165" t="s">
        <v>489</v>
      </c>
      <c r="L165">
        <v>5.3159999999999998</v>
      </c>
      <c r="M165">
        <f t="shared" si="4"/>
        <v>10.632</v>
      </c>
      <c r="N165">
        <f t="shared" si="5"/>
        <v>-5.3159999999999998</v>
      </c>
    </row>
    <row r="166" spans="1:14" x14ac:dyDescent="0.3">
      <c r="A166" s="69" t="s">
        <v>526</v>
      </c>
      <c r="B166" s="70">
        <v>11.60506</v>
      </c>
      <c r="K166" t="s">
        <v>489</v>
      </c>
      <c r="L166">
        <v>5.3159999999999998</v>
      </c>
      <c r="M166">
        <f t="shared" si="4"/>
        <v>10.632</v>
      </c>
      <c r="N166">
        <f t="shared" si="5"/>
        <v>-5.3159999999999998</v>
      </c>
    </row>
    <row r="167" spans="1:14" x14ac:dyDescent="0.3">
      <c r="A167" s="69" t="s">
        <v>527</v>
      </c>
      <c r="B167" s="70">
        <v>36.144179999999999</v>
      </c>
      <c r="K167" t="s">
        <v>490</v>
      </c>
      <c r="L167">
        <v>5.7590000000000003</v>
      </c>
      <c r="M167">
        <f t="shared" si="4"/>
        <v>5.7589999999999995</v>
      </c>
      <c r="N167">
        <f t="shared" si="5"/>
        <v>0</v>
      </c>
    </row>
    <row r="168" spans="1:14" x14ac:dyDescent="0.3">
      <c r="A168" s="69" t="s">
        <v>528</v>
      </c>
      <c r="B168" s="70">
        <v>14.751939999999999</v>
      </c>
      <c r="K168" t="s">
        <v>491</v>
      </c>
      <c r="L168">
        <v>5.976</v>
      </c>
      <c r="M168">
        <f t="shared" si="4"/>
        <v>11.952</v>
      </c>
      <c r="N168">
        <f t="shared" si="5"/>
        <v>-5.976</v>
      </c>
    </row>
    <row r="169" spans="1:14" x14ac:dyDescent="0.3">
      <c r="A169" s="69" t="s">
        <v>529</v>
      </c>
      <c r="B169" s="70">
        <v>31.49588</v>
      </c>
      <c r="K169" t="s">
        <v>491</v>
      </c>
      <c r="L169">
        <v>5.976</v>
      </c>
      <c r="M169">
        <f t="shared" si="4"/>
        <v>11.952</v>
      </c>
      <c r="N169">
        <f t="shared" si="5"/>
        <v>-5.976</v>
      </c>
    </row>
    <row r="170" spans="1:14" x14ac:dyDescent="0.3">
      <c r="A170" s="69" t="s">
        <v>530</v>
      </c>
      <c r="B170" s="70">
        <v>21.723939999999999</v>
      </c>
      <c r="K170" t="s">
        <v>492</v>
      </c>
      <c r="L170">
        <v>7.968</v>
      </c>
      <c r="M170">
        <f t="shared" si="4"/>
        <v>7.968</v>
      </c>
      <c r="N170">
        <f t="shared" si="5"/>
        <v>0</v>
      </c>
    </row>
    <row r="171" spans="1:14" x14ac:dyDescent="0.3">
      <c r="A171" s="69" t="s">
        <v>531</v>
      </c>
      <c r="B171" s="70">
        <v>41.455880000000001</v>
      </c>
      <c r="K171" t="s">
        <v>493</v>
      </c>
      <c r="L171">
        <v>9.9600000000000009</v>
      </c>
      <c r="M171">
        <f t="shared" si="4"/>
        <v>9.9600000000000009</v>
      </c>
      <c r="N171">
        <f t="shared" si="5"/>
        <v>0</v>
      </c>
    </row>
    <row r="172" spans="1:14" x14ac:dyDescent="0.3">
      <c r="A172" s="69" t="s">
        <v>532</v>
      </c>
      <c r="B172" s="70">
        <v>43.447879999999998</v>
      </c>
      <c r="K172" t="s">
        <v>494</v>
      </c>
      <c r="L172">
        <v>6.9720000000000004</v>
      </c>
      <c r="M172">
        <f t="shared" si="4"/>
        <v>6.9720000000000004</v>
      </c>
      <c r="N172">
        <f t="shared" si="5"/>
        <v>0</v>
      </c>
    </row>
    <row r="173" spans="1:14" x14ac:dyDescent="0.3">
      <c r="A173" s="69" t="s">
        <v>533</v>
      </c>
      <c r="B173" s="70">
        <v>23.71594</v>
      </c>
      <c r="K173" t="s">
        <v>495</v>
      </c>
      <c r="L173">
        <v>9.9600000000000009</v>
      </c>
      <c r="M173">
        <f t="shared" si="4"/>
        <v>9.9600000000000009</v>
      </c>
      <c r="N173">
        <f t="shared" si="5"/>
        <v>0</v>
      </c>
    </row>
    <row r="174" spans="1:14" x14ac:dyDescent="0.3">
      <c r="A174" s="69" t="s">
        <v>534</v>
      </c>
      <c r="B174" s="70">
        <v>22.719940000000001</v>
      </c>
      <c r="K174" t="s">
        <v>496</v>
      </c>
      <c r="L174">
        <v>10.956</v>
      </c>
      <c r="M174">
        <f t="shared" si="4"/>
        <v>21.912000000000003</v>
      </c>
      <c r="N174">
        <f t="shared" si="5"/>
        <v>-10.956000000000003</v>
      </c>
    </row>
    <row r="175" spans="1:14" x14ac:dyDescent="0.3">
      <c r="A175" s="69" t="s">
        <v>535</v>
      </c>
      <c r="B175" s="70">
        <v>49.423880000000004</v>
      </c>
      <c r="K175" t="s">
        <v>496</v>
      </c>
      <c r="L175">
        <v>10.956</v>
      </c>
      <c r="M175">
        <f t="shared" si="4"/>
        <v>21.912000000000003</v>
      </c>
      <c r="N175">
        <f t="shared" si="5"/>
        <v>-10.956000000000003</v>
      </c>
    </row>
    <row r="176" spans="1:14" x14ac:dyDescent="0.3">
      <c r="A176" s="69" t="s">
        <v>536</v>
      </c>
      <c r="B176" s="70">
        <v>27.699939999999998</v>
      </c>
      <c r="K176" t="s">
        <v>497</v>
      </c>
      <c r="L176">
        <v>11.952</v>
      </c>
      <c r="M176">
        <f t="shared" si="4"/>
        <v>11.952000000000002</v>
      </c>
      <c r="N176">
        <f t="shared" si="5"/>
        <v>0</v>
      </c>
    </row>
    <row r="177" spans="1:14" x14ac:dyDescent="0.3">
      <c r="A177" s="69" t="s">
        <v>537</v>
      </c>
      <c r="B177" s="70">
        <v>53.407879999999999</v>
      </c>
      <c r="K177" t="s">
        <v>498</v>
      </c>
      <c r="L177">
        <v>7.968</v>
      </c>
      <c r="M177">
        <f t="shared" si="4"/>
        <v>23.904</v>
      </c>
      <c r="N177">
        <f t="shared" si="5"/>
        <v>-15.936</v>
      </c>
    </row>
    <row r="178" spans="1:14" x14ac:dyDescent="0.3">
      <c r="A178" s="69" t="s">
        <v>538</v>
      </c>
      <c r="B178" s="70">
        <v>2.4364999999999997</v>
      </c>
      <c r="K178" t="s">
        <v>498</v>
      </c>
      <c r="L178">
        <v>7.968</v>
      </c>
      <c r="M178">
        <f t="shared" si="4"/>
        <v>23.904</v>
      </c>
      <c r="N178">
        <f t="shared" si="5"/>
        <v>-15.936</v>
      </c>
    </row>
    <row r="179" spans="1:14" x14ac:dyDescent="0.3">
      <c r="A179" s="69" t="s">
        <v>539</v>
      </c>
      <c r="B179" s="70">
        <v>5.7589999999999995</v>
      </c>
      <c r="K179" t="s">
        <v>498</v>
      </c>
      <c r="L179">
        <v>7.968</v>
      </c>
      <c r="M179">
        <f t="shared" si="4"/>
        <v>23.904</v>
      </c>
      <c r="N179">
        <f t="shared" si="5"/>
        <v>-15.936</v>
      </c>
    </row>
    <row r="180" spans="1:14" x14ac:dyDescent="0.3">
      <c r="A180" s="69" t="s">
        <v>540</v>
      </c>
      <c r="B180" s="70">
        <v>7.5309999999999988</v>
      </c>
      <c r="K180" t="s">
        <v>499</v>
      </c>
      <c r="L180">
        <v>9.9600000000000009</v>
      </c>
      <c r="M180">
        <f t="shared" si="4"/>
        <v>19.920000000000002</v>
      </c>
      <c r="N180">
        <f t="shared" si="5"/>
        <v>-9.9600000000000009</v>
      </c>
    </row>
    <row r="181" spans="1:14" x14ac:dyDescent="0.3">
      <c r="A181" s="69" t="s">
        <v>541</v>
      </c>
      <c r="B181" s="70">
        <v>16.612499999999997</v>
      </c>
      <c r="K181" t="s">
        <v>499</v>
      </c>
      <c r="L181">
        <v>9.9600000000000009</v>
      </c>
      <c r="M181">
        <f t="shared" si="4"/>
        <v>19.920000000000002</v>
      </c>
      <c r="N181">
        <f t="shared" si="5"/>
        <v>-9.9600000000000009</v>
      </c>
    </row>
    <row r="182" spans="1:14" x14ac:dyDescent="0.3">
      <c r="A182" s="69" t="s">
        <v>542</v>
      </c>
      <c r="B182" s="70">
        <v>8.4169999999999998</v>
      </c>
      <c r="K182" t="s">
        <v>500</v>
      </c>
      <c r="L182">
        <v>12.948</v>
      </c>
      <c r="M182">
        <f t="shared" si="4"/>
        <v>12.948</v>
      </c>
      <c r="N182">
        <f t="shared" si="5"/>
        <v>0</v>
      </c>
    </row>
    <row r="183" spans="1:14" x14ac:dyDescent="0.3">
      <c r="A183" s="69" t="s">
        <v>543</v>
      </c>
      <c r="B183" s="70">
        <v>3.7655000000000003</v>
      </c>
      <c r="K183" t="s">
        <v>501</v>
      </c>
      <c r="L183">
        <v>8.9640000000000004</v>
      </c>
      <c r="M183">
        <f t="shared" si="4"/>
        <v>8.9640000000000004</v>
      </c>
      <c r="N183">
        <f t="shared" si="5"/>
        <v>0</v>
      </c>
    </row>
    <row r="184" spans="1:14" x14ac:dyDescent="0.3">
      <c r="A184" s="69" t="s">
        <v>544</v>
      </c>
      <c r="B184" s="70">
        <v>12.625500000000001</v>
      </c>
      <c r="K184" t="s">
        <v>502</v>
      </c>
      <c r="L184">
        <v>10.956</v>
      </c>
      <c r="M184">
        <f t="shared" si="4"/>
        <v>10.956</v>
      </c>
      <c r="N184">
        <f t="shared" si="5"/>
        <v>0</v>
      </c>
    </row>
    <row r="185" spans="1:14" x14ac:dyDescent="0.3">
      <c r="A185" s="69" t="s">
        <v>545</v>
      </c>
      <c r="B185" s="70">
        <v>5.0945</v>
      </c>
      <c r="K185" t="s">
        <v>503</v>
      </c>
      <c r="L185">
        <v>9.9600000000000009</v>
      </c>
      <c r="M185">
        <f t="shared" si="4"/>
        <v>9.9600000000000009</v>
      </c>
      <c r="N185">
        <f t="shared" si="5"/>
        <v>0</v>
      </c>
    </row>
    <row r="186" spans="1:14" x14ac:dyDescent="0.3">
      <c r="A186" s="69" t="s">
        <v>546</v>
      </c>
      <c r="B186" s="70">
        <v>9.302999999999999</v>
      </c>
      <c r="K186" t="s">
        <v>504</v>
      </c>
      <c r="L186">
        <v>11.952</v>
      </c>
      <c r="M186">
        <f t="shared" si="4"/>
        <v>35.856000000000009</v>
      </c>
      <c r="N186">
        <f t="shared" si="5"/>
        <v>-23.904000000000011</v>
      </c>
    </row>
    <row r="187" spans="1:14" x14ac:dyDescent="0.3">
      <c r="A187" s="69" t="s">
        <v>547</v>
      </c>
      <c r="B187" s="70">
        <v>5.5374999999999996</v>
      </c>
      <c r="K187" t="s">
        <v>504</v>
      </c>
      <c r="L187">
        <v>11.952</v>
      </c>
      <c r="M187">
        <f t="shared" si="4"/>
        <v>35.856000000000009</v>
      </c>
      <c r="N187">
        <f t="shared" si="5"/>
        <v>-23.904000000000011</v>
      </c>
    </row>
    <row r="188" spans="1:14" x14ac:dyDescent="0.3">
      <c r="A188" s="69" t="s">
        <v>548</v>
      </c>
      <c r="B188" s="70">
        <v>6.4234999999999998</v>
      </c>
      <c r="K188" t="s">
        <v>504</v>
      </c>
      <c r="L188">
        <v>11.952</v>
      </c>
      <c r="M188">
        <f t="shared" si="4"/>
        <v>35.856000000000009</v>
      </c>
      <c r="N188">
        <f t="shared" si="5"/>
        <v>-23.904000000000011</v>
      </c>
    </row>
    <row r="189" spans="1:14" x14ac:dyDescent="0.3">
      <c r="A189" s="69" t="s">
        <v>549</v>
      </c>
      <c r="B189" s="70">
        <v>4.7309999999999999</v>
      </c>
      <c r="K189" t="s">
        <v>505</v>
      </c>
      <c r="L189">
        <v>13.944000000000001</v>
      </c>
      <c r="M189">
        <f t="shared" si="4"/>
        <v>27.888000000000002</v>
      </c>
      <c r="N189">
        <f t="shared" si="5"/>
        <v>-13.944000000000001</v>
      </c>
    </row>
    <row r="190" spans="1:14" x14ac:dyDescent="0.3">
      <c r="A190" s="69" t="s">
        <v>550</v>
      </c>
      <c r="B190" s="70">
        <v>6.7230000000000008</v>
      </c>
      <c r="K190" t="s">
        <v>505</v>
      </c>
      <c r="L190">
        <v>13.944000000000001</v>
      </c>
      <c r="M190">
        <f t="shared" si="4"/>
        <v>27.888000000000002</v>
      </c>
      <c r="N190">
        <f t="shared" si="5"/>
        <v>-13.944000000000001</v>
      </c>
    </row>
    <row r="191" spans="1:14" x14ac:dyDescent="0.3">
      <c r="A191" s="69" t="s">
        <v>551</v>
      </c>
      <c r="B191" s="70">
        <v>8.7149999999999999</v>
      </c>
      <c r="K191" t="s">
        <v>506</v>
      </c>
      <c r="L191">
        <v>10.956</v>
      </c>
      <c r="M191">
        <f t="shared" si="4"/>
        <v>21.912000000000003</v>
      </c>
      <c r="N191">
        <f t="shared" si="5"/>
        <v>-10.956000000000003</v>
      </c>
    </row>
    <row r="192" spans="1:14" x14ac:dyDescent="0.3">
      <c r="A192" s="69" t="s">
        <v>552</v>
      </c>
      <c r="B192" s="70">
        <v>10.707000000000001</v>
      </c>
      <c r="K192" t="s">
        <v>506</v>
      </c>
      <c r="L192">
        <v>10.956</v>
      </c>
      <c r="M192">
        <f t="shared" si="4"/>
        <v>21.912000000000003</v>
      </c>
      <c r="N192">
        <f t="shared" si="5"/>
        <v>-10.956000000000003</v>
      </c>
    </row>
    <row r="193" spans="1:14" x14ac:dyDescent="0.3">
      <c r="A193" s="69" t="s">
        <v>553</v>
      </c>
      <c r="B193" s="70">
        <v>15.437999999999999</v>
      </c>
      <c r="K193" t="s">
        <v>507</v>
      </c>
      <c r="L193">
        <v>12.948</v>
      </c>
      <c r="M193">
        <f t="shared" si="4"/>
        <v>38.844000000000008</v>
      </c>
      <c r="N193">
        <f t="shared" si="5"/>
        <v>-25.896000000000008</v>
      </c>
    </row>
    <row r="194" spans="1:14" x14ac:dyDescent="0.3">
      <c r="A194" s="69" t="s">
        <v>554</v>
      </c>
      <c r="B194" s="70">
        <v>9.7110000000000003</v>
      </c>
      <c r="K194" t="s">
        <v>507</v>
      </c>
      <c r="L194">
        <v>12.948</v>
      </c>
      <c r="M194">
        <f t="shared" si="4"/>
        <v>38.844000000000008</v>
      </c>
      <c r="N194">
        <f t="shared" si="5"/>
        <v>-25.896000000000008</v>
      </c>
    </row>
    <row r="195" spans="1:14" x14ac:dyDescent="0.3">
      <c r="A195" s="69" t="s">
        <v>555</v>
      </c>
      <c r="B195" s="70">
        <v>10.707000000000001</v>
      </c>
      <c r="K195" t="s">
        <v>507</v>
      </c>
      <c r="L195">
        <v>12.948</v>
      </c>
      <c r="M195">
        <f t="shared" ref="M195:M258" si="6">_xlfn.XLOOKUP(K195,A:A,B:B)</f>
        <v>38.844000000000008</v>
      </c>
      <c r="N195">
        <f t="shared" ref="N195:N258" si="7">L195-M195</f>
        <v>-25.896000000000008</v>
      </c>
    </row>
    <row r="196" spans="1:14" x14ac:dyDescent="0.3">
      <c r="A196" s="69" t="s">
        <v>556</v>
      </c>
      <c r="B196" s="70">
        <v>11.702999999999999</v>
      </c>
      <c r="K196" t="s">
        <v>508</v>
      </c>
      <c r="L196">
        <v>15.936</v>
      </c>
      <c r="M196">
        <f t="shared" si="6"/>
        <v>15.936000000000002</v>
      </c>
      <c r="N196">
        <f t="shared" si="7"/>
        <v>0</v>
      </c>
    </row>
    <row r="197" spans="1:14" x14ac:dyDescent="0.3">
      <c r="A197" s="69" t="s">
        <v>557</v>
      </c>
      <c r="B197" s="70">
        <v>25.398</v>
      </c>
      <c r="K197" t="s">
        <v>509</v>
      </c>
      <c r="L197">
        <v>11.952</v>
      </c>
      <c r="M197">
        <f t="shared" si="6"/>
        <v>11.952</v>
      </c>
      <c r="N197">
        <f t="shared" si="7"/>
        <v>0</v>
      </c>
    </row>
    <row r="198" spans="1:14" x14ac:dyDescent="0.3">
      <c r="A198" s="69" t="s">
        <v>558</v>
      </c>
      <c r="B198" s="70">
        <v>26.145</v>
      </c>
      <c r="K198" t="s">
        <v>510</v>
      </c>
      <c r="L198">
        <v>12.948</v>
      </c>
      <c r="M198">
        <f t="shared" si="6"/>
        <v>25.896000000000001</v>
      </c>
      <c r="N198">
        <f t="shared" si="7"/>
        <v>-12.948</v>
      </c>
    </row>
    <row r="199" spans="1:14" x14ac:dyDescent="0.3">
      <c r="A199" s="69" t="s">
        <v>559</v>
      </c>
      <c r="B199" s="70">
        <v>42.828000000000003</v>
      </c>
      <c r="K199" t="s">
        <v>510</v>
      </c>
      <c r="L199">
        <v>12.948</v>
      </c>
      <c r="M199">
        <f t="shared" si="6"/>
        <v>25.896000000000001</v>
      </c>
      <c r="N199">
        <f t="shared" si="7"/>
        <v>-12.948</v>
      </c>
    </row>
    <row r="200" spans="1:14" x14ac:dyDescent="0.3">
      <c r="A200" s="69" t="s">
        <v>560</v>
      </c>
      <c r="B200" s="70">
        <v>12.699000000000002</v>
      </c>
      <c r="K200" t="s">
        <v>511</v>
      </c>
      <c r="L200">
        <v>14.94</v>
      </c>
      <c r="M200">
        <f t="shared" si="6"/>
        <v>29.880000000000003</v>
      </c>
      <c r="N200">
        <f t="shared" si="7"/>
        <v>-14.940000000000003</v>
      </c>
    </row>
    <row r="201" spans="1:14" x14ac:dyDescent="0.3">
      <c r="A201" s="69" t="s">
        <v>561</v>
      </c>
      <c r="B201" s="70">
        <v>38.844000000000001</v>
      </c>
      <c r="K201" t="s">
        <v>511</v>
      </c>
      <c r="L201">
        <v>14.94</v>
      </c>
      <c r="M201">
        <f t="shared" si="6"/>
        <v>29.880000000000003</v>
      </c>
      <c r="N201">
        <f t="shared" si="7"/>
        <v>-14.940000000000003</v>
      </c>
    </row>
    <row r="202" spans="1:14" x14ac:dyDescent="0.3">
      <c r="A202" s="69" t="s">
        <v>562</v>
      </c>
      <c r="B202" s="70">
        <v>35.109000000000009</v>
      </c>
      <c r="K202" t="s">
        <v>512</v>
      </c>
      <c r="L202">
        <v>13.944000000000001</v>
      </c>
      <c r="M202">
        <f t="shared" si="6"/>
        <v>13.944000000000001</v>
      </c>
      <c r="N202">
        <f t="shared" si="7"/>
        <v>0</v>
      </c>
    </row>
    <row r="203" spans="1:14" x14ac:dyDescent="0.3">
      <c r="A203" s="69" t="s">
        <v>563</v>
      </c>
      <c r="B203" s="70">
        <v>13.695</v>
      </c>
      <c r="K203" t="s">
        <v>513</v>
      </c>
      <c r="L203">
        <v>16.931999999999999</v>
      </c>
      <c r="M203">
        <f t="shared" si="6"/>
        <v>33.864000000000004</v>
      </c>
      <c r="N203">
        <f t="shared" si="7"/>
        <v>-16.932000000000006</v>
      </c>
    </row>
    <row r="204" spans="1:14" x14ac:dyDescent="0.3">
      <c r="A204" s="69" t="s">
        <v>564</v>
      </c>
      <c r="B204" s="70">
        <v>32.121000000000002</v>
      </c>
      <c r="K204" t="s">
        <v>513</v>
      </c>
      <c r="L204">
        <v>16.931999999999999</v>
      </c>
      <c r="M204">
        <f t="shared" si="6"/>
        <v>33.864000000000004</v>
      </c>
      <c r="N204">
        <f t="shared" si="7"/>
        <v>-16.932000000000006</v>
      </c>
    </row>
    <row r="205" spans="1:14" x14ac:dyDescent="0.3">
      <c r="A205" s="69" t="s">
        <v>565</v>
      </c>
      <c r="B205" s="70">
        <v>46.811999999999998</v>
      </c>
      <c r="K205" t="s">
        <v>514</v>
      </c>
      <c r="L205">
        <v>16.931999999999999</v>
      </c>
      <c r="M205">
        <f t="shared" si="6"/>
        <v>16.932000000000002</v>
      </c>
      <c r="N205">
        <f t="shared" si="7"/>
        <v>0</v>
      </c>
    </row>
    <row r="206" spans="1:14" x14ac:dyDescent="0.3">
      <c r="A206" s="69" t="s">
        <v>566</v>
      </c>
      <c r="B206" s="70">
        <v>15.687000000000001</v>
      </c>
      <c r="K206" t="s">
        <v>515</v>
      </c>
      <c r="L206">
        <v>18.923999999999999</v>
      </c>
      <c r="M206">
        <f t="shared" si="6"/>
        <v>18.923999999999999</v>
      </c>
      <c r="N206">
        <f t="shared" si="7"/>
        <v>0</v>
      </c>
    </row>
    <row r="207" spans="1:14" x14ac:dyDescent="0.3">
      <c r="A207" s="69" t="s">
        <v>567</v>
      </c>
      <c r="B207" s="70">
        <v>25.398</v>
      </c>
      <c r="K207" t="s">
        <v>516</v>
      </c>
      <c r="L207">
        <v>17.928000000000001</v>
      </c>
      <c r="M207">
        <f t="shared" si="6"/>
        <v>35.856000000000002</v>
      </c>
      <c r="N207">
        <f t="shared" si="7"/>
        <v>-17.928000000000001</v>
      </c>
    </row>
    <row r="208" spans="1:14" x14ac:dyDescent="0.3">
      <c r="A208" s="69" t="s">
        <v>568</v>
      </c>
      <c r="B208" s="70">
        <v>27.39</v>
      </c>
      <c r="K208" t="s">
        <v>516</v>
      </c>
      <c r="L208">
        <v>17.928000000000001</v>
      </c>
      <c r="M208">
        <f t="shared" si="6"/>
        <v>35.856000000000002</v>
      </c>
      <c r="N208">
        <f t="shared" si="7"/>
        <v>-17.928000000000001</v>
      </c>
    </row>
    <row r="209" spans="1:14" x14ac:dyDescent="0.3">
      <c r="A209" s="69" t="s">
        <v>569</v>
      </c>
      <c r="B209" s="70">
        <v>15.686999999999999</v>
      </c>
      <c r="K209" t="s">
        <v>517</v>
      </c>
      <c r="L209">
        <v>18.923999999999999</v>
      </c>
      <c r="M209">
        <f t="shared" si="6"/>
        <v>18.924000000000003</v>
      </c>
      <c r="N209">
        <f t="shared" si="7"/>
        <v>0</v>
      </c>
    </row>
    <row r="210" spans="1:14" x14ac:dyDescent="0.3">
      <c r="A210" s="69" t="s">
        <v>570</v>
      </c>
      <c r="B210" s="70">
        <v>17.679000000000002</v>
      </c>
      <c r="K210" t="s">
        <v>518</v>
      </c>
      <c r="L210">
        <v>20.916</v>
      </c>
      <c r="M210">
        <f t="shared" si="6"/>
        <v>20.916000000000004</v>
      </c>
      <c r="N210">
        <f t="shared" si="7"/>
        <v>0</v>
      </c>
    </row>
    <row r="211" spans="1:14" x14ac:dyDescent="0.3">
      <c r="A211" s="69" t="s">
        <v>571</v>
      </c>
      <c r="B211" s="70">
        <v>20.667000000000002</v>
      </c>
      <c r="K211" t="s">
        <v>519</v>
      </c>
      <c r="L211">
        <v>6.0843999999999996</v>
      </c>
      <c r="M211">
        <f t="shared" si="6"/>
        <v>8.5040599999999991</v>
      </c>
      <c r="N211">
        <f t="shared" si="7"/>
        <v>-2.4196599999999995</v>
      </c>
    </row>
    <row r="212" spans="1:14" x14ac:dyDescent="0.3">
      <c r="A212" s="69" t="s">
        <v>572</v>
      </c>
      <c r="B212" s="70">
        <v>18.675000000000001</v>
      </c>
      <c r="K212" t="s">
        <v>520</v>
      </c>
      <c r="L212">
        <v>6.5274000000000001</v>
      </c>
      <c r="M212">
        <f t="shared" si="6"/>
        <v>35.788240000000002</v>
      </c>
      <c r="N212">
        <f t="shared" si="7"/>
        <v>-29.260840000000002</v>
      </c>
    </row>
    <row r="213" spans="1:14" x14ac:dyDescent="0.3">
      <c r="A213" s="69" t="s">
        <v>573</v>
      </c>
      <c r="B213" s="70">
        <v>22.659000000000002</v>
      </c>
      <c r="K213" t="s">
        <v>520</v>
      </c>
      <c r="L213">
        <v>6.5274000000000001</v>
      </c>
      <c r="M213">
        <f t="shared" si="6"/>
        <v>35.788240000000002</v>
      </c>
      <c r="N213">
        <f t="shared" si="7"/>
        <v>-29.260840000000002</v>
      </c>
    </row>
    <row r="214" spans="1:14" x14ac:dyDescent="0.3">
      <c r="A214" s="69" t="s">
        <v>574</v>
      </c>
      <c r="B214" s="70">
        <v>23.655000000000005</v>
      </c>
      <c r="K214" t="s">
        <v>520</v>
      </c>
      <c r="L214">
        <v>6.5274000000000001</v>
      </c>
      <c r="M214">
        <f t="shared" si="6"/>
        <v>35.788240000000002</v>
      </c>
      <c r="N214">
        <f t="shared" si="7"/>
        <v>-29.260840000000002</v>
      </c>
    </row>
    <row r="215" spans="1:14" x14ac:dyDescent="0.3">
      <c r="A215" s="69" t="s">
        <v>575</v>
      </c>
      <c r="B215" s="70">
        <v>26.643000000000004</v>
      </c>
      <c r="K215" t="s">
        <v>520</v>
      </c>
      <c r="L215">
        <v>6.5274000000000001</v>
      </c>
      <c r="M215">
        <f t="shared" si="6"/>
        <v>35.788240000000002</v>
      </c>
      <c r="N215">
        <f t="shared" si="7"/>
        <v>-29.260840000000002</v>
      </c>
    </row>
    <row r="216" spans="1:14" x14ac:dyDescent="0.3">
      <c r="A216" s="69" t="s">
        <v>576</v>
      </c>
      <c r="B216" s="70">
        <v>24.651</v>
      </c>
      <c r="K216" t="s">
        <v>521</v>
      </c>
      <c r="L216">
        <v>6.9703999999999997</v>
      </c>
      <c r="M216">
        <f t="shared" si="6"/>
        <v>37.56024</v>
      </c>
      <c r="N216">
        <f t="shared" si="7"/>
        <v>-30.589840000000002</v>
      </c>
    </row>
    <row r="217" spans="1:14" x14ac:dyDescent="0.3">
      <c r="A217" s="69" t="s">
        <v>577</v>
      </c>
      <c r="B217" s="70">
        <v>27.639000000000003</v>
      </c>
      <c r="K217" t="s">
        <v>521</v>
      </c>
      <c r="L217">
        <v>6.9703999999999997</v>
      </c>
      <c r="M217">
        <f t="shared" si="6"/>
        <v>37.56024</v>
      </c>
      <c r="N217">
        <f t="shared" si="7"/>
        <v>-30.589840000000002</v>
      </c>
    </row>
    <row r="218" spans="1:14" x14ac:dyDescent="0.3">
      <c r="A218" s="69" t="s">
        <v>578</v>
      </c>
      <c r="B218" s="70">
        <v>29.631000000000004</v>
      </c>
      <c r="K218" t="s">
        <v>521</v>
      </c>
      <c r="L218">
        <v>6.9703999999999997</v>
      </c>
      <c r="M218">
        <f t="shared" si="6"/>
        <v>37.56024</v>
      </c>
      <c r="N218">
        <f t="shared" si="7"/>
        <v>-30.589840000000002</v>
      </c>
    </row>
    <row r="219" spans="1:14" x14ac:dyDescent="0.3">
      <c r="A219" s="69" t="s">
        <v>579</v>
      </c>
      <c r="B219" s="70">
        <v>28.635000000000005</v>
      </c>
      <c r="K219" t="s">
        <v>521</v>
      </c>
      <c r="L219">
        <v>6.9703999999999997</v>
      </c>
      <c r="M219">
        <f t="shared" si="6"/>
        <v>37.56024</v>
      </c>
      <c r="N219">
        <f t="shared" si="7"/>
        <v>-30.589840000000002</v>
      </c>
    </row>
    <row r="220" spans="1:14" x14ac:dyDescent="0.3">
      <c r="A220" s="69" t="s">
        <v>580</v>
      </c>
      <c r="B220" s="70">
        <v>3.9870000000000001</v>
      </c>
      <c r="K220" t="s">
        <v>522</v>
      </c>
      <c r="L220">
        <v>7.4134000000000002</v>
      </c>
      <c r="M220">
        <f t="shared" si="6"/>
        <v>19.666119999999999</v>
      </c>
      <c r="N220">
        <f t="shared" si="7"/>
        <v>-12.25272</v>
      </c>
    </row>
    <row r="221" spans="1:14" x14ac:dyDescent="0.3">
      <c r="A221" s="69" t="s">
        <v>581</v>
      </c>
      <c r="B221" s="70">
        <v>1.329</v>
      </c>
      <c r="K221" t="s">
        <v>522</v>
      </c>
      <c r="L221">
        <v>7.4134000000000002</v>
      </c>
      <c r="M221">
        <f t="shared" si="6"/>
        <v>19.666119999999999</v>
      </c>
      <c r="N221">
        <f t="shared" si="7"/>
        <v>-12.25272</v>
      </c>
    </row>
    <row r="222" spans="1:14" x14ac:dyDescent="0.3">
      <c r="A222" s="69" t="s">
        <v>582</v>
      </c>
      <c r="B222" s="70">
        <v>1.772</v>
      </c>
      <c r="K222" t="s">
        <v>523</v>
      </c>
      <c r="L222">
        <v>8.2994000000000003</v>
      </c>
      <c r="M222">
        <f t="shared" si="6"/>
        <v>32.157179999999997</v>
      </c>
      <c r="N222">
        <f t="shared" si="7"/>
        <v>-23.857779999999998</v>
      </c>
    </row>
    <row r="223" spans="1:14" x14ac:dyDescent="0.3">
      <c r="A223" s="69" t="s">
        <v>583</v>
      </c>
      <c r="B223" s="70">
        <v>5.3159999999999998</v>
      </c>
      <c r="K223" t="s">
        <v>523</v>
      </c>
      <c r="L223">
        <v>8.2994000000000003</v>
      </c>
      <c r="M223">
        <f t="shared" si="6"/>
        <v>32.157179999999997</v>
      </c>
      <c r="N223">
        <f t="shared" si="7"/>
        <v>-23.857779999999998</v>
      </c>
    </row>
    <row r="224" spans="1:14" x14ac:dyDescent="0.3">
      <c r="A224" s="69" t="s">
        <v>584</v>
      </c>
      <c r="B224" s="70">
        <v>3.101</v>
      </c>
      <c r="K224" t="s">
        <v>523</v>
      </c>
      <c r="L224">
        <v>8.2994000000000003</v>
      </c>
      <c r="M224">
        <f t="shared" si="6"/>
        <v>32.157179999999997</v>
      </c>
      <c r="N224">
        <f t="shared" si="7"/>
        <v>-23.857779999999998</v>
      </c>
    </row>
    <row r="225" spans="1:14" x14ac:dyDescent="0.3">
      <c r="A225" s="69" t="s">
        <v>585</v>
      </c>
      <c r="B225" s="70">
        <v>3.544</v>
      </c>
      <c r="K225" t="s">
        <v>524</v>
      </c>
      <c r="L225">
        <v>8.7423999999999999</v>
      </c>
      <c r="M225">
        <f t="shared" si="6"/>
        <v>22.324120000000001</v>
      </c>
      <c r="N225">
        <f t="shared" si="7"/>
        <v>-13.581720000000001</v>
      </c>
    </row>
    <row r="226" spans="1:14" x14ac:dyDescent="0.3">
      <c r="A226" s="69" t="s">
        <v>586</v>
      </c>
      <c r="B226" s="70">
        <v>3.9869999999999997</v>
      </c>
      <c r="K226" t="s">
        <v>524</v>
      </c>
      <c r="L226">
        <v>8.7423999999999999</v>
      </c>
      <c r="M226">
        <f t="shared" si="6"/>
        <v>22.324120000000001</v>
      </c>
      <c r="N226">
        <f t="shared" si="7"/>
        <v>-13.581720000000001</v>
      </c>
    </row>
    <row r="227" spans="1:14" x14ac:dyDescent="0.3">
      <c r="A227" s="69" t="s">
        <v>587</v>
      </c>
      <c r="B227" s="70">
        <v>4.8730000000000002</v>
      </c>
      <c r="K227" t="s">
        <v>525</v>
      </c>
      <c r="L227">
        <v>9.6283999999999992</v>
      </c>
      <c r="M227">
        <f t="shared" si="6"/>
        <v>12.04806</v>
      </c>
      <c r="N227">
        <f t="shared" si="7"/>
        <v>-2.4196600000000004</v>
      </c>
    </row>
    <row r="228" spans="1:14" x14ac:dyDescent="0.3">
      <c r="A228" s="69" t="s">
        <v>588</v>
      </c>
      <c r="B228" s="70">
        <v>2.6579999999999999</v>
      </c>
      <c r="K228" t="s">
        <v>526</v>
      </c>
      <c r="L228">
        <v>9.1853999999999996</v>
      </c>
      <c r="M228">
        <f t="shared" si="6"/>
        <v>11.60506</v>
      </c>
      <c r="N228">
        <f t="shared" si="7"/>
        <v>-2.4196600000000004</v>
      </c>
    </row>
    <row r="229" spans="1:14" x14ac:dyDescent="0.3">
      <c r="A229" s="69" t="s">
        <v>589</v>
      </c>
      <c r="B229" s="70">
        <v>3.544</v>
      </c>
      <c r="K229" t="s">
        <v>527</v>
      </c>
      <c r="L229">
        <v>9.6283999999999992</v>
      </c>
      <c r="M229">
        <f t="shared" si="6"/>
        <v>36.144179999999999</v>
      </c>
      <c r="N229">
        <f t="shared" si="7"/>
        <v>-26.515779999999999</v>
      </c>
    </row>
    <row r="230" spans="1:14" x14ac:dyDescent="0.3">
      <c r="A230" s="69" t="s">
        <v>590</v>
      </c>
      <c r="B230" s="70">
        <v>3.544</v>
      </c>
      <c r="K230" t="s">
        <v>527</v>
      </c>
      <c r="L230">
        <v>9.6283999999999992</v>
      </c>
      <c r="M230">
        <f t="shared" si="6"/>
        <v>36.144179999999999</v>
      </c>
      <c r="N230">
        <f t="shared" si="7"/>
        <v>-26.515779999999999</v>
      </c>
    </row>
    <row r="231" spans="1:14" x14ac:dyDescent="0.3">
      <c r="A231" s="69" t="s">
        <v>591</v>
      </c>
      <c r="B231" s="70">
        <v>3.101</v>
      </c>
      <c r="K231" t="s">
        <v>527</v>
      </c>
      <c r="L231">
        <v>9.6283999999999992</v>
      </c>
      <c r="M231">
        <f t="shared" si="6"/>
        <v>36.144179999999999</v>
      </c>
      <c r="N231">
        <f t="shared" si="7"/>
        <v>-26.515779999999999</v>
      </c>
    </row>
    <row r="232" spans="1:14" x14ac:dyDescent="0.3">
      <c r="A232" s="69" t="s">
        <v>592</v>
      </c>
      <c r="B232" s="70">
        <v>3.101</v>
      </c>
      <c r="K232" t="s">
        <v>528</v>
      </c>
      <c r="L232">
        <v>12.147399999999999</v>
      </c>
      <c r="M232">
        <f t="shared" si="6"/>
        <v>14.751939999999999</v>
      </c>
      <c r="N232">
        <f t="shared" si="7"/>
        <v>-2.6045400000000001</v>
      </c>
    </row>
    <row r="233" spans="1:14" x14ac:dyDescent="0.3">
      <c r="A233" s="69" t="s">
        <v>593</v>
      </c>
      <c r="B233" s="70">
        <v>10.956000000000001</v>
      </c>
      <c r="K233" t="s">
        <v>529</v>
      </c>
      <c r="L233">
        <v>13.1434</v>
      </c>
      <c r="M233">
        <f t="shared" si="6"/>
        <v>31.49588</v>
      </c>
      <c r="N233">
        <f t="shared" si="7"/>
        <v>-18.35248</v>
      </c>
    </row>
    <row r="234" spans="1:14" x14ac:dyDescent="0.3">
      <c r="A234" s="69" t="s">
        <v>594</v>
      </c>
      <c r="B234" s="70">
        <v>11.952</v>
      </c>
      <c r="K234" t="s">
        <v>529</v>
      </c>
      <c r="L234">
        <v>13.1434</v>
      </c>
      <c r="M234">
        <f t="shared" si="6"/>
        <v>31.49588</v>
      </c>
      <c r="N234">
        <f t="shared" si="7"/>
        <v>-18.35248</v>
      </c>
    </row>
    <row r="235" spans="1:14" x14ac:dyDescent="0.3">
      <c r="A235" s="69" t="s">
        <v>595</v>
      </c>
      <c r="B235" s="70">
        <v>6.9720000000000004</v>
      </c>
      <c r="K235" t="s">
        <v>530</v>
      </c>
      <c r="L235">
        <v>19.119399999999999</v>
      </c>
      <c r="M235">
        <f t="shared" si="6"/>
        <v>21.723939999999999</v>
      </c>
      <c r="N235">
        <f t="shared" si="7"/>
        <v>-2.6045400000000001</v>
      </c>
    </row>
    <row r="236" spans="1:14" x14ac:dyDescent="0.3">
      <c r="A236" s="69" t="s">
        <v>596</v>
      </c>
      <c r="B236" s="70">
        <v>15.936000000000002</v>
      </c>
      <c r="K236" t="s">
        <v>531</v>
      </c>
      <c r="L236">
        <v>18.1234</v>
      </c>
      <c r="M236">
        <f t="shared" si="6"/>
        <v>41.455880000000001</v>
      </c>
      <c r="N236">
        <f t="shared" si="7"/>
        <v>-23.33248</v>
      </c>
    </row>
    <row r="237" spans="1:14" x14ac:dyDescent="0.3">
      <c r="A237" s="69" t="s">
        <v>597</v>
      </c>
      <c r="B237" s="70">
        <v>9.9600000000000009</v>
      </c>
      <c r="K237" t="s">
        <v>531</v>
      </c>
      <c r="L237">
        <v>18.1234</v>
      </c>
      <c r="M237">
        <f t="shared" si="6"/>
        <v>41.455880000000001</v>
      </c>
      <c r="N237">
        <f t="shared" si="7"/>
        <v>-23.33248</v>
      </c>
    </row>
    <row r="238" spans="1:14" x14ac:dyDescent="0.3">
      <c r="A238" s="69" t="s">
        <v>598</v>
      </c>
      <c r="B238" s="70">
        <v>11.952000000000002</v>
      </c>
      <c r="K238" t="s">
        <v>532</v>
      </c>
      <c r="L238">
        <v>19.119399999999999</v>
      </c>
      <c r="M238">
        <f t="shared" si="6"/>
        <v>43.447879999999998</v>
      </c>
      <c r="N238">
        <f t="shared" si="7"/>
        <v>-24.328479999999999</v>
      </c>
    </row>
    <row r="239" spans="1:14" x14ac:dyDescent="0.3">
      <c r="A239" s="69" t="s">
        <v>599</v>
      </c>
      <c r="B239" s="70">
        <v>11.952000000000002</v>
      </c>
      <c r="K239" t="s">
        <v>532</v>
      </c>
      <c r="L239">
        <v>19.119399999999999</v>
      </c>
      <c r="M239">
        <f t="shared" si="6"/>
        <v>43.447879999999998</v>
      </c>
      <c r="N239">
        <f t="shared" si="7"/>
        <v>-24.328479999999999</v>
      </c>
    </row>
    <row r="240" spans="1:14" x14ac:dyDescent="0.3">
      <c r="A240" s="69" t="s">
        <v>600</v>
      </c>
      <c r="B240" s="70">
        <v>13.944000000000001</v>
      </c>
      <c r="K240" t="s">
        <v>533</v>
      </c>
      <c r="L240">
        <v>21.1114</v>
      </c>
      <c r="M240">
        <f t="shared" si="6"/>
        <v>23.71594</v>
      </c>
      <c r="N240">
        <f t="shared" si="7"/>
        <v>-2.6045400000000001</v>
      </c>
    </row>
    <row r="241" spans="1:14" x14ac:dyDescent="0.3">
      <c r="A241" s="69" t="s">
        <v>601</v>
      </c>
      <c r="B241" s="70">
        <v>8.9640000000000004</v>
      </c>
      <c r="K241" t="s">
        <v>534</v>
      </c>
      <c r="L241">
        <v>20.115400000000001</v>
      </c>
      <c r="M241">
        <f t="shared" si="6"/>
        <v>22.719940000000001</v>
      </c>
      <c r="N241">
        <f t="shared" si="7"/>
        <v>-2.6045400000000001</v>
      </c>
    </row>
    <row r="242" spans="1:14" x14ac:dyDescent="0.3">
      <c r="A242" s="69" t="s">
        <v>602</v>
      </c>
      <c r="B242" s="70">
        <v>9.9600000000000009</v>
      </c>
      <c r="K242" t="s">
        <v>535</v>
      </c>
      <c r="L242">
        <v>22.107399999999998</v>
      </c>
      <c r="M242">
        <f t="shared" si="6"/>
        <v>49.423880000000004</v>
      </c>
      <c r="N242">
        <f t="shared" si="7"/>
        <v>-27.316480000000006</v>
      </c>
    </row>
    <row r="243" spans="1:14" x14ac:dyDescent="0.3">
      <c r="A243" s="69" t="s">
        <v>603</v>
      </c>
      <c r="B243" s="70">
        <v>10.956</v>
      </c>
      <c r="K243" t="s">
        <v>535</v>
      </c>
      <c r="L243">
        <v>22.107399999999998</v>
      </c>
      <c r="M243">
        <f t="shared" si="6"/>
        <v>49.423880000000004</v>
      </c>
      <c r="N243">
        <f t="shared" si="7"/>
        <v>-27.316480000000006</v>
      </c>
    </row>
    <row r="244" spans="1:14" x14ac:dyDescent="0.3">
      <c r="A244" s="69" t="s">
        <v>604</v>
      </c>
      <c r="B244" s="70">
        <v>12.948</v>
      </c>
      <c r="K244" t="s">
        <v>536</v>
      </c>
      <c r="L244">
        <v>25.095400000000001</v>
      </c>
      <c r="M244">
        <f t="shared" si="6"/>
        <v>27.699939999999998</v>
      </c>
      <c r="N244">
        <f t="shared" si="7"/>
        <v>-2.6045399999999965</v>
      </c>
    </row>
    <row r="245" spans="1:14" x14ac:dyDescent="0.3">
      <c r="A245" s="69" t="s">
        <v>605</v>
      </c>
      <c r="B245" s="70">
        <v>14.940000000000001</v>
      </c>
      <c r="K245" t="s">
        <v>537</v>
      </c>
      <c r="L245">
        <v>24.099399999999999</v>
      </c>
      <c r="M245">
        <f t="shared" si="6"/>
        <v>53.407879999999999</v>
      </c>
      <c r="N245">
        <f t="shared" si="7"/>
        <v>-29.308479999999999</v>
      </c>
    </row>
    <row r="246" spans="1:14" x14ac:dyDescent="0.3">
      <c r="A246" s="69" t="s">
        <v>606</v>
      </c>
      <c r="B246" s="70">
        <v>16.932000000000002</v>
      </c>
      <c r="K246" t="s">
        <v>537</v>
      </c>
      <c r="L246">
        <v>24.099399999999999</v>
      </c>
      <c r="M246">
        <f t="shared" si="6"/>
        <v>53.407879999999999</v>
      </c>
      <c r="N246">
        <f t="shared" si="7"/>
        <v>-29.308479999999999</v>
      </c>
    </row>
    <row r="247" spans="1:14" x14ac:dyDescent="0.3">
      <c r="A247" s="69" t="s">
        <v>607</v>
      </c>
      <c r="B247" s="70">
        <v>12.948</v>
      </c>
      <c r="K247" t="s">
        <v>538</v>
      </c>
      <c r="L247">
        <v>2.4365000000000001</v>
      </c>
      <c r="M247">
        <f t="shared" si="6"/>
        <v>2.4364999999999997</v>
      </c>
      <c r="N247">
        <f t="shared" si="7"/>
        <v>0</v>
      </c>
    </row>
    <row r="248" spans="1:14" x14ac:dyDescent="0.3">
      <c r="A248" s="69" t="s">
        <v>608</v>
      </c>
      <c r="B248" s="70">
        <v>15.936</v>
      </c>
      <c r="K248" t="s">
        <v>539</v>
      </c>
      <c r="L248">
        <v>2.8795000000000002</v>
      </c>
      <c r="M248">
        <f t="shared" si="6"/>
        <v>5.7589999999999995</v>
      </c>
      <c r="N248">
        <f t="shared" si="7"/>
        <v>-2.8794999999999993</v>
      </c>
    </row>
    <row r="249" spans="1:14" x14ac:dyDescent="0.3">
      <c r="A249" s="69" t="s">
        <v>609</v>
      </c>
      <c r="B249" s="70">
        <v>10.956</v>
      </c>
      <c r="K249" t="s">
        <v>539</v>
      </c>
      <c r="L249">
        <v>2.8795000000000002</v>
      </c>
      <c r="M249">
        <f t="shared" si="6"/>
        <v>5.7589999999999995</v>
      </c>
      <c r="N249">
        <f t="shared" si="7"/>
        <v>-2.8794999999999993</v>
      </c>
    </row>
    <row r="250" spans="1:14" x14ac:dyDescent="0.3">
      <c r="A250" s="69" t="s">
        <v>610</v>
      </c>
      <c r="B250" s="70">
        <v>18.923999999999999</v>
      </c>
      <c r="K250" t="s">
        <v>540</v>
      </c>
      <c r="L250">
        <v>3.7654999999999998</v>
      </c>
      <c r="M250">
        <f t="shared" si="6"/>
        <v>7.5309999999999988</v>
      </c>
      <c r="N250">
        <f t="shared" si="7"/>
        <v>-3.765499999999999</v>
      </c>
    </row>
    <row r="251" spans="1:14" x14ac:dyDescent="0.3">
      <c r="A251" s="69" t="s">
        <v>611</v>
      </c>
      <c r="B251" s="70">
        <v>14.940000000000001</v>
      </c>
      <c r="K251" t="s">
        <v>540</v>
      </c>
      <c r="L251">
        <v>3.7654999999999998</v>
      </c>
      <c r="M251">
        <f t="shared" si="6"/>
        <v>7.5309999999999988</v>
      </c>
      <c r="N251">
        <f t="shared" si="7"/>
        <v>-3.765499999999999</v>
      </c>
    </row>
    <row r="252" spans="1:14" x14ac:dyDescent="0.3">
      <c r="A252" s="69" t="s">
        <v>612</v>
      </c>
      <c r="B252" s="70">
        <v>31.872000000000003</v>
      </c>
      <c r="K252" t="s">
        <v>541</v>
      </c>
      <c r="L252">
        <v>3.3224999999999998</v>
      </c>
      <c r="M252">
        <f t="shared" si="6"/>
        <v>16.612499999999997</v>
      </c>
      <c r="N252">
        <f t="shared" si="7"/>
        <v>-13.289999999999997</v>
      </c>
    </row>
    <row r="253" spans="1:14" x14ac:dyDescent="0.3">
      <c r="A253" s="69" t="s">
        <v>613</v>
      </c>
      <c r="B253" s="70">
        <v>21.912000000000003</v>
      </c>
      <c r="K253" t="s">
        <v>541</v>
      </c>
      <c r="L253">
        <v>3.3224999999999998</v>
      </c>
      <c r="M253">
        <f t="shared" si="6"/>
        <v>16.612499999999997</v>
      </c>
      <c r="N253">
        <f t="shared" si="7"/>
        <v>-13.289999999999997</v>
      </c>
    </row>
    <row r="254" spans="1:14" x14ac:dyDescent="0.3">
      <c r="A254" s="69" t="s">
        <v>614</v>
      </c>
      <c r="B254" s="70">
        <v>33.864000000000004</v>
      </c>
      <c r="K254" t="s">
        <v>541</v>
      </c>
      <c r="L254">
        <v>3.3224999999999998</v>
      </c>
      <c r="M254">
        <f t="shared" si="6"/>
        <v>16.612499999999997</v>
      </c>
      <c r="N254">
        <f t="shared" si="7"/>
        <v>-13.289999999999997</v>
      </c>
    </row>
    <row r="255" spans="1:14" x14ac:dyDescent="0.3">
      <c r="A255" s="69" t="s">
        <v>615</v>
      </c>
      <c r="B255" s="70">
        <v>20.916</v>
      </c>
      <c r="K255" t="s">
        <v>541</v>
      </c>
      <c r="L255">
        <v>3.3224999999999998</v>
      </c>
      <c r="M255">
        <f t="shared" si="6"/>
        <v>16.612499999999997</v>
      </c>
      <c r="N255">
        <f t="shared" si="7"/>
        <v>-13.289999999999997</v>
      </c>
    </row>
    <row r="256" spans="1:14" x14ac:dyDescent="0.3">
      <c r="A256" s="69" t="s">
        <v>616</v>
      </c>
      <c r="B256" s="70">
        <v>76.578999999999994</v>
      </c>
      <c r="K256" t="s">
        <v>541</v>
      </c>
      <c r="L256">
        <v>3.3224999999999998</v>
      </c>
      <c r="M256">
        <f t="shared" si="6"/>
        <v>16.612499999999997</v>
      </c>
      <c r="N256">
        <f t="shared" si="7"/>
        <v>-13.289999999999997</v>
      </c>
    </row>
    <row r="257" spans="1:14" x14ac:dyDescent="0.3">
      <c r="A257" s="69" t="s">
        <v>617</v>
      </c>
      <c r="B257" s="70">
        <v>15.218999999999999</v>
      </c>
      <c r="K257" t="s">
        <v>542</v>
      </c>
      <c r="L257">
        <v>4.2084999999999999</v>
      </c>
      <c r="M257">
        <f t="shared" si="6"/>
        <v>8.4169999999999998</v>
      </c>
      <c r="N257">
        <f t="shared" si="7"/>
        <v>-4.2084999999999999</v>
      </c>
    </row>
    <row r="258" spans="1:14" x14ac:dyDescent="0.3">
      <c r="A258" s="69" t="s">
        <v>618</v>
      </c>
      <c r="B258" s="70">
        <v>58.116500000000002</v>
      </c>
      <c r="K258" t="s">
        <v>542</v>
      </c>
      <c r="L258">
        <v>4.2084999999999999</v>
      </c>
      <c r="M258">
        <f t="shared" si="6"/>
        <v>8.4169999999999998</v>
      </c>
      <c r="N258">
        <f t="shared" si="7"/>
        <v>-4.2084999999999999</v>
      </c>
    </row>
    <row r="259" spans="1:14" x14ac:dyDescent="0.3">
      <c r="A259" s="69" t="s">
        <v>619</v>
      </c>
      <c r="B259" s="70">
        <v>64.336500000000001</v>
      </c>
      <c r="K259" t="s">
        <v>543</v>
      </c>
      <c r="L259">
        <v>3.7654999999999998</v>
      </c>
      <c r="M259">
        <f t="shared" ref="M259:M322" si="8">_xlfn.XLOOKUP(K259,A:A,B:B)</f>
        <v>3.7655000000000003</v>
      </c>
      <c r="N259">
        <f t="shared" ref="N259:N322" si="9">L259-M259</f>
        <v>0</v>
      </c>
    </row>
    <row r="260" spans="1:14" x14ac:dyDescent="0.3">
      <c r="A260" s="69" t="s">
        <v>620</v>
      </c>
      <c r="B260" s="70">
        <v>64.336500000000001</v>
      </c>
      <c r="K260" t="s">
        <v>544</v>
      </c>
      <c r="L260">
        <v>4.2084999999999999</v>
      </c>
      <c r="M260">
        <f t="shared" si="8"/>
        <v>12.625500000000001</v>
      </c>
      <c r="N260">
        <f t="shared" si="9"/>
        <v>-8.4170000000000016</v>
      </c>
    </row>
    <row r="261" spans="1:14" x14ac:dyDescent="0.3">
      <c r="A261" s="69" t="s">
        <v>621</v>
      </c>
      <c r="B261" s="70">
        <v>32.046500000000002</v>
      </c>
      <c r="K261" t="s">
        <v>544</v>
      </c>
      <c r="L261">
        <v>4.2084999999999999</v>
      </c>
      <c r="M261">
        <f t="shared" si="8"/>
        <v>12.625500000000001</v>
      </c>
      <c r="N261">
        <f t="shared" si="9"/>
        <v>-8.4170000000000016</v>
      </c>
    </row>
    <row r="262" spans="1:14" x14ac:dyDescent="0.3">
      <c r="A262" s="69" t="s">
        <v>622</v>
      </c>
      <c r="B262" s="70">
        <v>7.9946099999999998</v>
      </c>
      <c r="K262" t="s">
        <v>544</v>
      </c>
      <c r="L262">
        <v>4.2084999999999999</v>
      </c>
      <c r="M262">
        <f t="shared" si="8"/>
        <v>12.625500000000001</v>
      </c>
      <c r="N262">
        <f t="shared" si="9"/>
        <v>-8.4170000000000016</v>
      </c>
    </row>
    <row r="263" spans="1:14" x14ac:dyDescent="0.3">
      <c r="A263" s="69" t="s">
        <v>623</v>
      </c>
      <c r="B263" s="70">
        <v>9.3236100000000004</v>
      </c>
      <c r="K263" t="s">
        <v>545</v>
      </c>
      <c r="L263">
        <v>5.0945</v>
      </c>
      <c r="M263">
        <f t="shared" si="8"/>
        <v>5.0945</v>
      </c>
      <c r="N263">
        <f t="shared" si="9"/>
        <v>0</v>
      </c>
    </row>
    <row r="264" spans="1:14" x14ac:dyDescent="0.3">
      <c r="A264" s="69" t="s">
        <v>624</v>
      </c>
      <c r="B264" s="70">
        <v>9.3236100000000004</v>
      </c>
      <c r="K264" t="s">
        <v>546</v>
      </c>
      <c r="L264">
        <v>4.6515000000000004</v>
      </c>
      <c r="M264">
        <f t="shared" si="8"/>
        <v>9.302999999999999</v>
      </c>
      <c r="N264">
        <f t="shared" si="9"/>
        <v>-4.6514999999999986</v>
      </c>
    </row>
    <row r="265" spans="1:14" x14ac:dyDescent="0.3">
      <c r="A265" s="69" t="s">
        <v>625</v>
      </c>
      <c r="B265" s="70">
        <v>20.419219999999999</v>
      </c>
      <c r="K265" t="s">
        <v>546</v>
      </c>
      <c r="L265">
        <v>4.6515000000000004</v>
      </c>
      <c r="M265">
        <f t="shared" si="8"/>
        <v>9.302999999999999</v>
      </c>
      <c r="N265">
        <f t="shared" si="9"/>
        <v>-4.6514999999999986</v>
      </c>
    </row>
    <row r="266" spans="1:14" x14ac:dyDescent="0.3">
      <c r="A266" s="69" t="s">
        <v>626</v>
      </c>
      <c r="B266" s="70">
        <v>14.602539999999999</v>
      </c>
      <c r="K266" t="s">
        <v>547</v>
      </c>
      <c r="L266">
        <v>5.5374999999999996</v>
      </c>
      <c r="M266">
        <f t="shared" si="8"/>
        <v>5.5374999999999996</v>
      </c>
      <c r="N266">
        <f t="shared" si="9"/>
        <v>0</v>
      </c>
    </row>
    <row r="267" spans="1:14" x14ac:dyDescent="0.3">
      <c r="A267" s="69" t="s">
        <v>627</v>
      </c>
      <c r="B267" s="70">
        <v>18.586539999999999</v>
      </c>
      <c r="K267" t="s">
        <v>548</v>
      </c>
      <c r="L267">
        <v>6.4234999999999998</v>
      </c>
      <c r="M267">
        <f t="shared" si="8"/>
        <v>6.4234999999999998</v>
      </c>
      <c r="N267">
        <f t="shared" si="9"/>
        <v>0</v>
      </c>
    </row>
    <row r="268" spans="1:14" x14ac:dyDescent="0.3">
      <c r="A268" s="69" t="s">
        <v>628</v>
      </c>
      <c r="B268" s="70">
        <v>24.562540000000002</v>
      </c>
      <c r="K268" t="s">
        <v>549</v>
      </c>
      <c r="L268">
        <v>4.7309999999999999</v>
      </c>
      <c r="M268">
        <f t="shared" si="8"/>
        <v>4.7309999999999999</v>
      </c>
      <c r="N268">
        <f t="shared" si="9"/>
        <v>0</v>
      </c>
    </row>
    <row r="269" spans="1:14" x14ac:dyDescent="0.3">
      <c r="A269" s="69" t="s">
        <v>629</v>
      </c>
      <c r="B269" s="70">
        <v>57.164239999999999</v>
      </c>
      <c r="K269" t="s">
        <v>550</v>
      </c>
      <c r="L269">
        <v>6.7229999999999999</v>
      </c>
      <c r="M269">
        <f t="shared" si="8"/>
        <v>6.7230000000000008</v>
      </c>
      <c r="N269">
        <f t="shared" si="9"/>
        <v>0</v>
      </c>
    </row>
    <row r="270" spans="1:14" x14ac:dyDescent="0.3">
      <c r="A270" s="69" t="s">
        <v>630</v>
      </c>
      <c r="B270" s="70">
        <v>38.745580000000004</v>
      </c>
      <c r="K270" t="s">
        <v>551</v>
      </c>
      <c r="L270">
        <v>8.7149999999999999</v>
      </c>
      <c r="M270">
        <f t="shared" si="8"/>
        <v>8.7149999999999999</v>
      </c>
      <c r="N270">
        <f t="shared" si="9"/>
        <v>0</v>
      </c>
    </row>
    <row r="271" spans="1:14" x14ac:dyDescent="0.3">
      <c r="A271" s="69" t="s">
        <v>631</v>
      </c>
      <c r="B271" s="70">
        <v>22.78</v>
      </c>
      <c r="K271" t="s">
        <v>552</v>
      </c>
      <c r="L271">
        <v>10.707000000000001</v>
      </c>
      <c r="M271">
        <f t="shared" si="8"/>
        <v>10.707000000000001</v>
      </c>
      <c r="N271">
        <f t="shared" si="9"/>
        <v>0</v>
      </c>
    </row>
    <row r="272" spans="1:14" x14ac:dyDescent="0.3">
      <c r="A272" s="69" t="s">
        <v>632</v>
      </c>
      <c r="B272" s="70">
        <v>23.919</v>
      </c>
      <c r="K272" t="s">
        <v>553</v>
      </c>
      <c r="L272">
        <v>7.7190000000000003</v>
      </c>
      <c r="M272">
        <f t="shared" si="8"/>
        <v>15.437999999999999</v>
      </c>
      <c r="N272">
        <f t="shared" si="9"/>
        <v>-7.7189999999999985</v>
      </c>
    </row>
    <row r="273" spans="1:14" x14ac:dyDescent="0.3">
      <c r="A273" s="69" t="s">
        <v>633</v>
      </c>
      <c r="B273" s="70">
        <v>33.599999999999994</v>
      </c>
      <c r="K273" t="s">
        <v>553</v>
      </c>
      <c r="L273">
        <v>7.7190000000000003</v>
      </c>
      <c r="M273">
        <f t="shared" si="8"/>
        <v>15.437999999999999</v>
      </c>
      <c r="N273">
        <f t="shared" si="9"/>
        <v>-7.7189999999999985</v>
      </c>
    </row>
    <row r="274" spans="1:14" x14ac:dyDescent="0.3">
      <c r="A274" s="69" t="s">
        <v>634</v>
      </c>
      <c r="B274" s="70">
        <v>48</v>
      </c>
      <c r="K274" t="s">
        <v>554</v>
      </c>
      <c r="L274">
        <v>9.7110000000000003</v>
      </c>
      <c r="M274">
        <f t="shared" si="8"/>
        <v>9.7110000000000003</v>
      </c>
      <c r="N274">
        <f t="shared" si="9"/>
        <v>0</v>
      </c>
    </row>
    <row r="275" spans="1:14" x14ac:dyDescent="0.3">
      <c r="A275" s="69" t="s">
        <v>635</v>
      </c>
      <c r="B275" s="70">
        <v>55.199999999999996</v>
      </c>
      <c r="K275" t="s">
        <v>555</v>
      </c>
      <c r="L275">
        <v>10.707000000000001</v>
      </c>
      <c r="M275">
        <f t="shared" si="8"/>
        <v>10.707000000000001</v>
      </c>
      <c r="N275">
        <f t="shared" si="9"/>
        <v>0</v>
      </c>
    </row>
    <row r="276" spans="1:14" x14ac:dyDescent="0.3">
      <c r="A276" s="69" t="s">
        <v>636</v>
      </c>
      <c r="B276" s="70">
        <v>30.839999999999996</v>
      </c>
      <c r="K276" t="s">
        <v>556</v>
      </c>
      <c r="L276">
        <v>11.702999999999999</v>
      </c>
      <c r="M276">
        <f t="shared" si="8"/>
        <v>11.702999999999999</v>
      </c>
      <c r="N276">
        <f t="shared" si="9"/>
        <v>0</v>
      </c>
    </row>
    <row r="277" spans="1:14" x14ac:dyDescent="0.3">
      <c r="A277" s="69" t="s">
        <v>637</v>
      </c>
      <c r="B277" s="70">
        <v>3.544</v>
      </c>
      <c r="K277" t="s">
        <v>557</v>
      </c>
      <c r="L277">
        <v>12.699</v>
      </c>
      <c r="M277">
        <f t="shared" si="8"/>
        <v>25.398</v>
      </c>
      <c r="N277">
        <f t="shared" si="9"/>
        <v>-12.699</v>
      </c>
    </row>
    <row r="278" spans="1:14" x14ac:dyDescent="0.3">
      <c r="A278" s="69" t="s">
        <v>638</v>
      </c>
      <c r="B278" s="70">
        <v>8.86</v>
      </c>
      <c r="K278" t="s">
        <v>557</v>
      </c>
      <c r="L278">
        <v>12.699</v>
      </c>
      <c r="M278">
        <f t="shared" si="8"/>
        <v>25.398</v>
      </c>
      <c r="N278">
        <f t="shared" si="9"/>
        <v>-12.699</v>
      </c>
    </row>
    <row r="279" spans="1:14" x14ac:dyDescent="0.3">
      <c r="A279" s="69" t="s">
        <v>639</v>
      </c>
      <c r="B279" s="70">
        <v>2.6579999999999999</v>
      </c>
      <c r="K279" t="s">
        <v>558</v>
      </c>
      <c r="L279">
        <v>8.7149999999999999</v>
      </c>
      <c r="M279">
        <f t="shared" si="8"/>
        <v>26.145</v>
      </c>
      <c r="N279">
        <f t="shared" si="9"/>
        <v>-17.43</v>
      </c>
    </row>
    <row r="280" spans="1:14" x14ac:dyDescent="0.3">
      <c r="A280" s="69" t="s">
        <v>640</v>
      </c>
      <c r="B280" s="70">
        <v>3.544</v>
      </c>
      <c r="K280" t="s">
        <v>558</v>
      </c>
      <c r="L280">
        <v>8.7149999999999999</v>
      </c>
      <c r="M280">
        <f t="shared" si="8"/>
        <v>26.145</v>
      </c>
      <c r="N280">
        <f t="shared" si="9"/>
        <v>-17.43</v>
      </c>
    </row>
    <row r="281" spans="1:14" x14ac:dyDescent="0.3">
      <c r="A281" s="69" t="s">
        <v>641</v>
      </c>
      <c r="B281" s="70">
        <v>3.1009999999999995</v>
      </c>
      <c r="K281" t="s">
        <v>558</v>
      </c>
      <c r="L281">
        <v>8.7149999999999999</v>
      </c>
      <c r="M281">
        <f t="shared" si="8"/>
        <v>26.145</v>
      </c>
      <c r="N281">
        <f t="shared" si="9"/>
        <v>-17.43</v>
      </c>
    </row>
    <row r="282" spans="1:14" x14ac:dyDescent="0.3">
      <c r="A282" s="69" t="s">
        <v>642</v>
      </c>
      <c r="B282" s="70">
        <v>4.9800000000000004</v>
      </c>
      <c r="K282" t="s">
        <v>559</v>
      </c>
      <c r="L282">
        <v>10.707000000000001</v>
      </c>
      <c r="M282">
        <f t="shared" si="8"/>
        <v>42.828000000000003</v>
      </c>
      <c r="N282">
        <f t="shared" si="9"/>
        <v>-32.121000000000002</v>
      </c>
    </row>
    <row r="283" spans="1:14" x14ac:dyDescent="0.3">
      <c r="A283" s="69" t="s">
        <v>643</v>
      </c>
      <c r="B283" s="70">
        <v>6.9720000000000004</v>
      </c>
      <c r="K283" t="s">
        <v>559</v>
      </c>
      <c r="L283">
        <v>10.707000000000001</v>
      </c>
      <c r="M283">
        <f t="shared" si="8"/>
        <v>42.828000000000003</v>
      </c>
      <c r="N283">
        <f t="shared" si="9"/>
        <v>-32.121000000000002</v>
      </c>
    </row>
    <row r="284" spans="1:14" x14ac:dyDescent="0.3">
      <c r="A284" s="69" t="s">
        <v>644</v>
      </c>
      <c r="B284" s="70">
        <v>9.9600000000000009</v>
      </c>
      <c r="K284" t="s">
        <v>559</v>
      </c>
      <c r="L284">
        <v>10.707000000000001</v>
      </c>
      <c r="M284">
        <f t="shared" si="8"/>
        <v>42.828000000000003</v>
      </c>
      <c r="N284">
        <f t="shared" si="9"/>
        <v>-32.121000000000002</v>
      </c>
    </row>
    <row r="285" spans="1:14" x14ac:dyDescent="0.3">
      <c r="A285" s="69" t="s">
        <v>645</v>
      </c>
      <c r="B285" s="70">
        <v>4.9800000000000004</v>
      </c>
      <c r="K285" t="s">
        <v>559</v>
      </c>
      <c r="L285">
        <v>10.707000000000001</v>
      </c>
      <c r="M285">
        <f t="shared" si="8"/>
        <v>42.828000000000003</v>
      </c>
      <c r="N285">
        <f t="shared" si="9"/>
        <v>-32.121000000000002</v>
      </c>
    </row>
    <row r="286" spans="1:14" x14ac:dyDescent="0.3">
      <c r="A286" s="69" t="s">
        <v>646</v>
      </c>
      <c r="B286" s="70">
        <v>11.952</v>
      </c>
      <c r="K286" t="s">
        <v>560</v>
      </c>
      <c r="L286">
        <v>12.699</v>
      </c>
      <c r="M286">
        <f t="shared" si="8"/>
        <v>12.699000000000002</v>
      </c>
      <c r="N286">
        <f t="shared" si="9"/>
        <v>0</v>
      </c>
    </row>
    <row r="287" spans="1:14" x14ac:dyDescent="0.3">
      <c r="A287" s="69" t="s">
        <v>647</v>
      </c>
      <c r="B287" s="70">
        <v>15.936000000000002</v>
      </c>
      <c r="K287" t="s">
        <v>561</v>
      </c>
      <c r="L287">
        <v>9.7110000000000003</v>
      </c>
      <c r="M287">
        <f t="shared" si="8"/>
        <v>38.844000000000001</v>
      </c>
      <c r="N287">
        <f t="shared" si="9"/>
        <v>-29.133000000000003</v>
      </c>
    </row>
    <row r="288" spans="1:14" x14ac:dyDescent="0.3">
      <c r="A288" s="69" t="s">
        <v>648</v>
      </c>
      <c r="B288" s="70">
        <v>25.896000000000004</v>
      </c>
      <c r="K288" t="s">
        <v>561</v>
      </c>
      <c r="L288">
        <v>9.7110000000000003</v>
      </c>
      <c r="M288">
        <f t="shared" si="8"/>
        <v>38.844000000000001</v>
      </c>
      <c r="N288">
        <f t="shared" si="9"/>
        <v>-29.133000000000003</v>
      </c>
    </row>
    <row r="289" spans="1:14" x14ac:dyDescent="0.3">
      <c r="A289" s="69" t="s">
        <v>649</v>
      </c>
      <c r="B289" s="70">
        <v>13.944000000000001</v>
      </c>
      <c r="K289" t="s">
        <v>561</v>
      </c>
      <c r="L289">
        <v>9.7110000000000003</v>
      </c>
      <c r="M289">
        <f t="shared" si="8"/>
        <v>38.844000000000001</v>
      </c>
      <c r="N289">
        <f t="shared" si="9"/>
        <v>-29.133000000000003</v>
      </c>
    </row>
    <row r="290" spans="1:14" x14ac:dyDescent="0.3">
      <c r="A290" s="69" t="s">
        <v>650</v>
      </c>
      <c r="B290" s="70">
        <v>5.976</v>
      </c>
      <c r="K290" t="s">
        <v>561</v>
      </c>
      <c r="L290">
        <v>9.7110000000000003</v>
      </c>
      <c r="M290">
        <f t="shared" si="8"/>
        <v>38.844000000000001</v>
      </c>
      <c r="N290">
        <f t="shared" si="9"/>
        <v>-29.133000000000003</v>
      </c>
    </row>
    <row r="291" spans="1:14" x14ac:dyDescent="0.3">
      <c r="A291" s="69" t="s">
        <v>651</v>
      </c>
      <c r="B291" s="70">
        <v>6.9720000000000004</v>
      </c>
      <c r="K291" t="s">
        <v>562</v>
      </c>
      <c r="L291">
        <v>11.702999999999999</v>
      </c>
      <c r="M291">
        <f t="shared" si="8"/>
        <v>35.109000000000009</v>
      </c>
      <c r="N291">
        <f t="shared" si="9"/>
        <v>-23.406000000000009</v>
      </c>
    </row>
    <row r="292" spans="1:14" x14ac:dyDescent="0.3">
      <c r="A292" s="69" t="s">
        <v>652</v>
      </c>
      <c r="B292" s="70">
        <v>8.9640000000000004</v>
      </c>
      <c r="K292" t="s">
        <v>562</v>
      </c>
      <c r="L292">
        <v>11.702999999999999</v>
      </c>
      <c r="M292">
        <f t="shared" si="8"/>
        <v>35.109000000000009</v>
      </c>
      <c r="N292">
        <f t="shared" si="9"/>
        <v>-23.406000000000009</v>
      </c>
    </row>
    <row r="293" spans="1:14" x14ac:dyDescent="0.3">
      <c r="A293" s="69" t="s">
        <v>653</v>
      </c>
      <c r="B293" s="70">
        <v>8.9640000000000004</v>
      </c>
      <c r="K293" t="s">
        <v>562</v>
      </c>
      <c r="L293">
        <v>11.702999999999999</v>
      </c>
      <c r="M293">
        <f t="shared" si="8"/>
        <v>35.109000000000009</v>
      </c>
      <c r="N293">
        <f t="shared" si="9"/>
        <v>-23.406000000000009</v>
      </c>
    </row>
    <row r="294" spans="1:14" x14ac:dyDescent="0.3">
      <c r="A294" s="69" t="s">
        <v>654</v>
      </c>
      <c r="B294" s="70">
        <v>12.948000000000002</v>
      </c>
      <c r="K294" t="s">
        <v>563</v>
      </c>
      <c r="L294">
        <v>13.695</v>
      </c>
      <c r="M294">
        <f t="shared" si="8"/>
        <v>13.695</v>
      </c>
      <c r="N294">
        <f t="shared" si="9"/>
        <v>0</v>
      </c>
    </row>
    <row r="295" spans="1:14" x14ac:dyDescent="0.3">
      <c r="A295" s="69" t="s">
        <v>655</v>
      </c>
      <c r="B295" s="70">
        <v>8.9640000000000004</v>
      </c>
      <c r="K295" t="s">
        <v>564</v>
      </c>
      <c r="L295">
        <v>10.707000000000001</v>
      </c>
      <c r="M295">
        <f t="shared" si="8"/>
        <v>32.121000000000002</v>
      </c>
      <c r="N295">
        <f t="shared" si="9"/>
        <v>-21.414000000000001</v>
      </c>
    </row>
    <row r="296" spans="1:14" x14ac:dyDescent="0.3">
      <c r="A296" s="69" t="s">
        <v>656</v>
      </c>
      <c r="B296" s="70">
        <v>9.9600000000000009</v>
      </c>
      <c r="K296" t="s">
        <v>564</v>
      </c>
      <c r="L296">
        <v>10.707000000000001</v>
      </c>
      <c r="M296">
        <f t="shared" si="8"/>
        <v>32.121000000000002</v>
      </c>
      <c r="N296">
        <f t="shared" si="9"/>
        <v>-21.414000000000001</v>
      </c>
    </row>
    <row r="297" spans="1:14" x14ac:dyDescent="0.3">
      <c r="A297" s="69" t="s">
        <v>657</v>
      </c>
      <c r="B297" s="70">
        <v>19.920000000000002</v>
      </c>
      <c r="K297" t="s">
        <v>564</v>
      </c>
      <c r="L297">
        <v>10.707000000000001</v>
      </c>
      <c r="M297">
        <f t="shared" si="8"/>
        <v>32.121000000000002</v>
      </c>
      <c r="N297">
        <f t="shared" si="9"/>
        <v>-21.414000000000001</v>
      </c>
    </row>
    <row r="298" spans="1:14" x14ac:dyDescent="0.3">
      <c r="A298" s="69" t="s">
        <v>658</v>
      </c>
      <c r="B298" s="70">
        <v>10.956000000000001</v>
      </c>
      <c r="K298" t="s">
        <v>565</v>
      </c>
      <c r="L298">
        <v>11.702999999999999</v>
      </c>
      <c r="M298">
        <f t="shared" si="8"/>
        <v>46.811999999999998</v>
      </c>
      <c r="N298">
        <f t="shared" si="9"/>
        <v>-35.108999999999995</v>
      </c>
    </row>
    <row r="299" spans="1:14" x14ac:dyDescent="0.3">
      <c r="A299" s="69" t="s">
        <v>659</v>
      </c>
      <c r="B299" s="70">
        <v>10.806600000000001</v>
      </c>
      <c r="K299" t="s">
        <v>565</v>
      </c>
      <c r="L299">
        <v>11.702999999999999</v>
      </c>
      <c r="M299">
        <f t="shared" si="8"/>
        <v>46.811999999999998</v>
      </c>
      <c r="N299">
        <f t="shared" si="9"/>
        <v>-35.108999999999995</v>
      </c>
    </row>
    <row r="300" spans="1:14" x14ac:dyDescent="0.3">
      <c r="A300" s="69" t="s">
        <v>660</v>
      </c>
      <c r="B300" s="70">
        <v>11.802600000000002</v>
      </c>
      <c r="K300" t="s">
        <v>565</v>
      </c>
      <c r="L300">
        <v>11.702999999999999</v>
      </c>
      <c r="M300">
        <f t="shared" si="8"/>
        <v>46.811999999999998</v>
      </c>
      <c r="N300">
        <f t="shared" si="9"/>
        <v>-35.108999999999995</v>
      </c>
    </row>
    <row r="301" spans="1:14" x14ac:dyDescent="0.3">
      <c r="A301" s="69" t="s">
        <v>661</v>
      </c>
      <c r="B301" s="70">
        <v>13.944000000000001</v>
      </c>
      <c r="K301" t="s">
        <v>565</v>
      </c>
      <c r="L301">
        <v>11.702999999999999</v>
      </c>
      <c r="M301">
        <f t="shared" si="8"/>
        <v>46.811999999999998</v>
      </c>
      <c r="N301">
        <f t="shared" si="9"/>
        <v>-35.108999999999995</v>
      </c>
    </row>
    <row r="302" spans="1:14" x14ac:dyDescent="0.3">
      <c r="A302" s="69" t="s">
        <v>662</v>
      </c>
      <c r="B302" s="70">
        <v>16.932000000000002</v>
      </c>
      <c r="K302" t="s">
        <v>566</v>
      </c>
      <c r="L302">
        <v>15.686999999999999</v>
      </c>
      <c r="M302">
        <f t="shared" si="8"/>
        <v>15.687000000000001</v>
      </c>
      <c r="N302">
        <f t="shared" si="9"/>
        <v>0</v>
      </c>
    </row>
    <row r="303" spans="1:14" x14ac:dyDescent="0.3">
      <c r="A303" s="69" t="s">
        <v>663</v>
      </c>
      <c r="B303" s="70">
        <v>23.904</v>
      </c>
      <c r="K303" t="s">
        <v>567</v>
      </c>
      <c r="L303">
        <v>12.699</v>
      </c>
      <c r="M303">
        <f t="shared" si="8"/>
        <v>25.398</v>
      </c>
      <c r="N303">
        <f t="shared" si="9"/>
        <v>-12.699</v>
      </c>
    </row>
    <row r="304" spans="1:14" x14ac:dyDescent="0.3">
      <c r="A304" s="69" t="s">
        <v>664</v>
      </c>
      <c r="B304" s="70">
        <v>13.944000000000001</v>
      </c>
      <c r="K304" t="s">
        <v>567</v>
      </c>
      <c r="L304">
        <v>12.699</v>
      </c>
      <c r="M304">
        <f t="shared" si="8"/>
        <v>25.398</v>
      </c>
      <c r="N304">
        <f t="shared" si="9"/>
        <v>-12.699</v>
      </c>
    </row>
    <row r="305" spans="1:14" x14ac:dyDescent="0.3">
      <c r="A305" s="69" t="s">
        <v>665</v>
      </c>
      <c r="B305" s="70">
        <v>16.932000000000002</v>
      </c>
      <c r="K305" t="s">
        <v>568</v>
      </c>
      <c r="L305">
        <v>13.695</v>
      </c>
      <c r="M305">
        <f t="shared" si="8"/>
        <v>27.39</v>
      </c>
      <c r="N305">
        <f t="shared" si="9"/>
        <v>-13.695</v>
      </c>
    </row>
    <row r="306" spans="1:14" x14ac:dyDescent="0.3">
      <c r="A306" s="69" t="s">
        <v>666</v>
      </c>
      <c r="B306" s="70">
        <v>21.912000000000003</v>
      </c>
      <c r="K306" t="s">
        <v>568</v>
      </c>
      <c r="L306">
        <v>13.695</v>
      </c>
      <c r="M306">
        <f t="shared" si="8"/>
        <v>27.39</v>
      </c>
      <c r="N306">
        <f t="shared" si="9"/>
        <v>-13.695</v>
      </c>
    </row>
    <row r="307" spans="1:14" x14ac:dyDescent="0.3">
      <c r="A307" s="69" t="s">
        <v>667</v>
      </c>
      <c r="B307" s="70">
        <v>23.904</v>
      </c>
      <c r="K307" t="s">
        <v>569</v>
      </c>
      <c r="L307">
        <v>15.686999999999999</v>
      </c>
      <c r="M307">
        <f t="shared" si="8"/>
        <v>15.686999999999999</v>
      </c>
      <c r="N307">
        <f t="shared" si="9"/>
        <v>0</v>
      </c>
    </row>
    <row r="308" spans="1:14" x14ac:dyDescent="0.3">
      <c r="A308" s="69" t="s">
        <v>668</v>
      </c>
      <c r="B308" s="70">
        <v>27.888000000000002</v>
      </c>
      <c r="K308" t="s">
        <v>570</v>
      </c>
      <c r="L308">
        <v>17.678999999999998</v>
      </c>
      <c r="M308">
        <f t="shared" si="8"/>
        <v>17.679000000000002</v>
      </c>
      <c r="N308">
        <f t="shared" si="9"/>
        <v>0</v>
      </c>
    </row>
    <row r="309" spans="1:14" x14ac:dyDescent="0.3">
      <c r="A309" s="69" t="s">
        <v>669</v>
      </c>
      <c r="B309" s="70">
        <v>32.868000000000002</v>
      </c>
      <c r="K309" t="s">
        <v>571</v>
      </c>
      <c r="L309">
        <v>20.667000000000002</v>
      </c>
      <c r="M309">
        <f t="shared" si="8"/>
        <v>20.667000000000002</v>
      </c>
      <c r="N309">
        <f t="shared" si="9"/>
        <v>0</v>
      </c>
    </row>
    <row r="310" spans="1:14" x14ac:dyDescent="0.3">
      <c r="A310" s="69" t="s">
        <v>670</v>
      </c>
      <c r="B310" s="70">
        <v>43.199999999999996</v>
      </c>
      <c r="K310" t="s">
        <v>572</v>
      </c>
      <c r="L310">
        <v>18.675000000000001</v>
      </c>
      <c r="M310">
        <f t="shared" si="8"/>
        <v>18.675000000000001</v>
      </c>
      <c r="N310">
        <f t="shared" si="9"/>
        <v>0</v>
      </c>
    </row>
    <row r="311" spans="1:14" x14ac:dyDescent="0.3">
      <c r="A311" s="69" t="s">
        <v>671</v>
      </c>
      <c r="B311" s="70">
        <v>36</v>
      </c>
      <c r="K311" t="s">
        <v>573</v>
      </c>
      <c r="L311">
        <v>22.658999999999999</v>
      </c>
      <c r="M311">
        <f t="shared" si="8"/>
        <v>22.659000000000002</v>
      </c>
      <c r="N311">
        <f t="shared" si="9"/>
        <v>0</v>
      </c>
    </row>
    <row r="312" spans="1:14" x14ac:dyDescent="0.3">
      <c r="A312" s="69" t="s">
        <v>672</v>
      </c>
      <c r="B312" s="70">
        <v>55.2</v>
      </c>
      <c r="K312" t="s">
        <v>574</v>
      </c>
      <c r="L312">
        <v>23.655000000000001</v>
      </c>
      <c r="M312">
        <f t="shared" si="8"/>
        <v>23.655000000000005</v>
      </c>
      <c r="N312">
        <f t="shared" si="9"/>
        <v>0</v>
      </c>
    </row>
    <row r="313" spans="1:14" x14ac:dyDescent="0.3">
      <c r="A313" s="69" t="s">
        <v>673</v>
      </c>
      <c r="B313" s="70">
        <v>50.399999999999991</v>
      </c>
      <c r="K313" t="s">
        <v>575</v>
      </c>
      <c r="L313">
        <v>26.643000000000001</v>
      </c>
      <c r="M313">
        <f t="shared" si="8"/>
        <v>26.643000000000004</v>
      </c>
      <c r="N313">
        <f t="shared" si="9"/>
        <v>0</v>
      </c>
    </row>
    <row r="314" spans="1:14" x14ac:dyDescent="0.3">
      <c r="A314" s="69" t="s">
        <v>674</v>
      </c>
      <c r="B314" s="70">
        <v>6.202</v>
      </c>
      <c r="K314" t="s">
        <v>576</v>
      </c>
      <c r="L314">
        <v>24.651</v>
      </c>
      <c r="M314">
        <f t="shared" si="8"/>
        <v>24.651</v>
      </c>
      <c r="N314">
        <f t="shared" si="9"/>
        <v>0</v>
      </c>
    </row>
    <row r="315" spans="1:14" x14ac:dyDescent="0.3">
      <c r="A315" s="69" t="s">
        <v>675</v>
      </c>
      <c r="B315" s="70">
        <v>13.944000000000001</v>
      </c>
      <c r="K315" t="s">
        <v>577</v>
      </c>
      <c r="L315">
        <v>27.638999999999999</v>
      </c>
      <c r="M315">
        <f t="shared" si="8"/>
        <v>27.639000000000003</v>
      </c>
      <c r="N315">
        <f t="shared" si="9"/>
        <v>0</v>
      </c>
    </row>
    <row r="316" spans="1:14" x14ac:dyDescent="0.3">
      <c r="A316" s="69" t="s">
        <v>676</v>
      </c>
      <c r="B316" s="70">
        <v>10.956</v>
      </c>
      <c r="K316" t="s">
        <v>578</v>
      </c>
      <c r="L316">
        <v>29.631</v>
      </c>
      <c r="M316">
        <f t="shared" si="8"/>
        <v>29.631000000000004</v>
      </c>
      <c r="N316">
        <f t="shared" si="9"/>
        <v>0</v>
      </c>
    </row>
    <row r="317" spans="1:14" x14ac:dyDescent="0.3">
      <c r="A317" s="69" t="s">
        <v>677</v>
      </c>
      <c r="B317" s="70">
        <v>26.892000000000003</v>
      </c>
      <c r="K317" t="s">
        <v>579</v>
      </c>
      <c r="L317">
        <v>28.635000000000002</v>
      </c>
      <c r="M317">
        <f t="shared" si="8"/>
        <v>28.635000000000005</v>
      </c>
      <c r="N317">
        <f t="shared" si="9"/>
        <v>0</v>
      </c>
    </row>
    <row r="318" spans="1:14" x14ac:dyDescent="0.3">
      <c r="A318" s="69" t="s">
        <v>678</v>
      </c>
      <c r="B318" s="70">
        <v>13.944000000000001</v>
      </c>
      <c r="K318" t="s">
        <v>580</v>
      </c>
      <c r="L318">
        <v>3.9205999999999999</v>
      </c>
      <c r="M318">
        <f t="shared" si="8"/>
        <v>3.9870000000000001</v>
      </c>
      <c r="N318">
        <f t="shared" si="9"/>
        <v>-6.6400000000000237E-2</v>
      </c>
    </row>
    <row r="319" spans="1:14" x14ac:dyDescent="0.3">
      <c r="A319" s="69" t="s">
        <v>679</v>
      </c>
      <c r="B319" s="70">
        <v>15.936000000000002</v>
      </c>
      <c r="K319" t="s">
        <v>581</v>
      </c>
      <c r="L319">
        <v>1.2625999999999999</v>
      </c>
      <c r="M319">
        <f t="shared" si="8"/>
        <v>1.329</v>
      </c>
      <c r="N319">
        <f t="shared" si="9"/>
        <v>-6.6400000000000015E-2</v>
      </c>
    </row>
    <row r="320" spans="1:14" x14ac:dyDescent="0.3">
      <c r="A320" s="69" t="s">
        <v>680</v>
      </c>
      <c r="B320" s="70">
        <v>16.932000000000002</v>
      </c>
      <c r="K320" t="s">
        <v>582</v>
      </c>
      <c r="L320">
        <v>1.7056</v>
      </c>
      <c r="M320">
        <f t="shared" si="8"/>
        <v>1.772</v>
      </c>
      <c r="N320">
        <f t="shared" si="9"/>
        <v>-6.6400000000000015E-2</v>
      </c>
    </row>
    <row r="321" spans="1:14" x14ac:dyDescent="0.3">
      <c r="A321" s="69" t="s">
        <v>681</v>
      </c>
      <c r="B321" s="70">
        <v>25.46</v>
      </c>
      <c r="K321" t="s">
        <v>583</v>
      </c>
      <c r="L321">
        <v>2.5914999999999999</v>
      </c>
      <c r="M321">
        <f t="shared" si="8"/>
        <v>5.3159999999999998</v>
      </c>
      <c r="N321">
        <f t="shared" si="9"/>
        <v>-2.7244999999999999</v>
      </c>
    </row>
    <row r="322" spans="1:14" x14ac:dyDescent="0.3">
      <c r="A322" s="69" t="s">
        <v>682</v>
      </c>
      <c r="B322" s="70">
        <v>34.840000000000003</v>
      </c>
      <c r="K322" t="s">
        <v>583</v>
      </c>
      <c r="L322">
        <v>2.5914999999999999</v>
      </c>
      <c r="M322">
        <f t="shared" si="8"/>
        <v>5.3159999999999998</v>
      </c>
      <c r="N322">
        <f t="shared" si="9"/>
        <v>-2.7244999999999999</v>
      </c>
    </row>
    <row r="323" spans="1:14" x14ac:dyDescent="0.3">
      <c r="A323" s="69" t="s">
        <v>683</v>
      </c>
      <c r="B323" s="70">
        <v>40.200000000000003</v>
      </c>
      <c r="K323" t="s">
        <v>584</v>
      </c>
      <c r="L323">
        <v>3.0346000000000002</v>
      </c>
      <c r="M323">
        <f t="shared" ref="M323:M386" si="10">_xlfn.XLOOKUP(K323,A:A,B:B)</f>
        <v>3.101</v>
      </c>
      <c r="N323">
        <f t="shared" ref="N323:N386" si="11">L323-M323</f>
        <v>-6.6399999999999793E-2</v>
      </c>
    </row>
    <row r="324" spans="1:14" x14ac:dyDescent="0.3">
      <c r="A324" s="69" t="s">
        <v>684</v>
      </c>
      <c r="B324" s="70">
        <v>22.78</v>
      </c>
      <c r="K324" t="s">
        <v>585</v>
      </c>
      <c r="L324">
        <v>3.4775999999999998</v>
      </c>
      <c r="M324">
        <f t="shared" si="10"/>
        <v>3.544</v>
      </c>
      <c r="N324">
        <f t="shared" si="11"/>
        <v>-6.6400000000000237E-2</v>
      </c>
    </row>
    <row r="325" spans="1:14" x14ac:dyDescent="0.3">
      <c r="A325" s="69" t="s">
        <v>685</v>
      </c>
      <c r="B325" s="70">
        <v>28.14</v>
      </c>
      <c r="K325" t="s">
        <v>586</v>
      </c>
      <c r="L325">
        <v>3.9205999999999999</v>
      </c>
      <c r="M325">
        <f t="shared" si="10"/>
        <v>3.9869999999999997</v>
      </c>
      <c r="N325">
        <f t="shared" si="11"/>
        <v>-6.6399999999999793E-2</v>
      </c>
    </row>
    <row r="326" spans="1:14" x14ac:dyDescent="0.3">
      <c r="A326" s="69" t="s">
        <v>686</v>
      </c>
      <c r="B326" s="70">
        <v>52.26</v>
      </c>
      <c r="K326" t="s">
        <v>587</v>
      </c>
      <c r="L326">
        <v>4.8066000000000004</v>
      </c>
      <c r="M326">
        <f t="shared" si="10"/>
        <v>4.8730000000000002</v>
      </c>
      <c r="N326">
        <f t="shared" si="11"/>
        <v>-6.6399999999999793E-2</v>
      </c>
    </row>
    <row r="327" spans="1:14" x14ac:dyDescent="0.3">
      <c r="A327" s="69" t="s">
        <v>687</v>
      </c>
      <c r="B327" s="70">
        <v>54.94</v>
      </c>
      <c r="K327" t="s">
        <v>588</v>
      </c>
      <c r="L327">
        <v>2.5914999999999999</v>
      </c>
      <c r="M327">
        <f t="shared" si="10"/>
        <v>2.6579999999999999</v>
      </c>
      <c r="N327">
        <f t="shared" si="11"/>
        <v>-6.6500000000000004E-2</v>
      </c>
    </row>
    <row r="328" spans="1:14" x14ac:dyDescent="0.3">
      <c r="A328" s="69" t="s">
        <v>688</v>
      </c>
      <c r="B328" s="70">
        <v>32.159999999999997</v>
      </c>
      <c r="K328" t="s">
        <v>589</v>
      </c>
      <c r="L328">
        <v>3.4775999999999998</v>
      </c>
      <c r="M328">
        <f t="shared" si="10"/>
        <v>3.544</v>
      </c>
      <c r="N328">
        <f t="shared" si="11"/>
        <v>-6.6400000000000237E-2</v>
      </c>
    </row>
    <row r="329" spans="1:14" x14ac:dyDescent="0.3">
      <c r="A329" s="69" t="s">
        <v>689</v>
      </c>
      <c r="B329" s="70">
        <v>37.519999999999996</v>
      </c>
      <c r="K329" t="s">
        <v>590</v>
      </c>
      <c r="L329">
        <v>3.4775999999999998</v>
      </c>
      <c r="M329">
        <f t="shared" si="10"/>
        <v>3.544</v>
      </c>
      <c r="N329">
        <f t="shared" si="11"/>
        <v>-6.6400000000000237E-2</v>
      </c>
    </row>
    <row r="330" spans="1:14" x14ac:dyDescent="0.3">
      <c r="A330" s="69" t="s">
        <v>690</v>
      </c>
      <c r="B330" s="70">
        <v>96</v>
      </c>
      <c r="K330" t="s">
        <v>591</v>
      </c>
      <c r="L330">
        <v>3.0346000000000002</v>
      </c>
      <c r="M330">
        <f t="shared" si="10"/>
        <v>3.101</v>
      </c>
      <c r="N330">
        <f t="shared" si="11"/>
        <v>-6.6399999999999793E-2</v>
      </c>
    </row>
    <row r="331" spans="1:14" x14ac:dyDescent="0.3">
      <c r="A331" s="69" t="s">
        <v>691</v>
      </c>
      <c r="B331" s="70">
        <v>40.799999999999997</v>
      </c>
      <c r="K331" t="s">
        <v>592</v>
      </c>
      <c r="L331">
        <v>3.0346000000000002</v>
      </c>
      <c r="M331">
        <f t="shared" si="10"/>
        <v>3.101</v>
      </c>
      <c r="N331">
        <f t="shared" si="11"/>
        <v>-6.6399999999999793E-2</v>
      </c>
    </row>
    <row r="332" spans="1:14" x14ac:dyDescent="0.3">
      <c r="A332" s="69" t="s">
        <v>692</v>
      </c>
      <c r="B332" s="70">
        <v>93.6</v>
      </c>
      <c r="K332" t="s">
        <v>593</v>
      </c>
      <c r="L332">
        <v>10.8066</v>
      </c>
      <c r="M332">
        <f t="shared" si="10"/>
        <v>10.956000000000001</v>
      </c>
      <c r="N332">
        <f t="shared" si="11"/>
        <v>-0.14940000000000175</v>
      </c>
    </row>
    <row r="333" spans="1:14" x14ac:dyDescent="0.3">
      <c r="A333" s="69" t="s">
        <v>693</v>
      </c>
      <c r="B333" s="70">
        <v>6.2019999999999991</v>
      </c>
      <c r="K333" t="s">
        <v>594</v>
      </c>
      <c r="L333">
        <v>11.8026</v>
      </c>
      <c r="M333">
        <f t="shared" si="10"/>
        <v>11.952</v>
      </c>
      <c r="N333">
        <f t="shared" si="11"/>
        <v>-0.14939999999999998</v>
      </c>
    </row>
    <row r="334" spans="1:14" x14ac:dyDescent="0.3">
      <c r="A334" s="69" t="s">
        <v>694</v>
      </c>
      <c r="B334" s="70">
        <v>7.5309999999999997</v>
      </c>
      <c r="K334" t="s">
        <v>595</v>
      </c>
      <c r="L334">
        <v>6.8226000000000004</v>
      </c>
      <c r="M334">
        <f t="shared" si="10"/>
        <v>6.9720000000000004</v>
      </c>
      <c r="N334">
        <f t="shared" si="11"/>
        <v>-0.14939999999999998</v>
      </c>
    </row>
    <row r="335" spans="1:14" x14ac:dyDescent="0.3">
      <c r="A335" s="69" t="s">
        <v>695</v>
      </c>
      <c r="B335" s="70">
        <v>7.0880000000000001</v>
      </c>
      <c r="K335" t="s">
        <v>596</v>
      </c>
      <c r="L335">
        <v>7.8186</v>
      </c>
      <c r="M335">
        <f t="shared" si="10"/>
        <v>15.936000000000002</v>
      </c>
      <c r="N335">
        <f t="shared" si="11"/>
        <v>-8.1174000000000017</v>
      </c>
    </row>
    <row r="336" spans="1:14" x14ac:dyDescent="0.3">
      <c r="A336" s="69" t="s">
        <v>696</v>
      </c>
      <c r="B336" s="70">
        <v>6.2019999999999991</v>
      </c>
      <c r="K336" t="s">
        <v>596</v>
      </c>
      <c r="L336">
        <v>7.8186</v>
      </c>
      <c r="M336">
        <f t="shared" si="10"/>
        <v>15.936000000000002</v>
      </c>
      <c r="N336">
        <f t="shared" si="11"/>
        <v>-8.1174000000000017</v>
      </c>
    </row>
    <row r="337" spans="1:14" x14ac:dyDescent="0.3">
      <c r="A337" s="69" t="s">
        <v>697</v>
      </c>
      <c r="B337" s="70">
        <v>13.944000000000001</v>
      </c>
      <c r="K337" t="s">
        <v>597</v>
      </c>
      <c r="L337">
        <v>9.8106000000000009</v>
      </c>
      <c r="M337">
        <f t="shared" si="10"/>
        <v>9.9600000000000009</v>
      </c>
      <c r="N337">
        <f t="shared" si="11"/>
        <v>-0.14939999999999998</v>
      </c>
    </row>
    <row r="338" spans="1:14" x14ac:dyDescent="0.3">
      <c r="A338" s="69" t="s">
        <v>698</v>
      </c>
      <c r="B338" s="70">
        <v>29.880000000000003</v>
      </c>
      <c r="K338" t="s">
        <v>598</v>
      </c>
      <c r="L338">
        <v>11.8026</v>
      </c>
      <c r="M338">
        <f t="shared" si="10"/>
        <v>11.952000000000002</v>
      </c>
      <c r="N338">
        <f t="shared" si="11"/>
        <v>-0.14940000000000175</v>
      </c>
    </row>
    <row r="339" spans="1:14" x14ac:dyDescent="0.3">
      <c r="A339" s="69" t="s">
        <v>699</v>
      </c>
      <c r="B339" s="70">
        <v>16.932000000000002</v>
      </c>
      <c r="K339" t="s">
        <v>599</v>
      </c>
      <c r="L339">
        <v>11.8026</v>
      </c>
      <c r="M339">
        <f t="shared" si="10"/>
        <v>11.952000000000002</v>
      </c>
      <c r="N339">
        <f t="shared" si="11"/>
        <v>-0.14940000000000175</v>
      </c>
    </row>
    <row r="340" spans="1:14" x14ac:dyDescent="0.3">
      <c r="A340" s="69" t="s">
        <v>700</v>
      </c>
      <c r="B340" s="70">
        <v>18.923999999999999</v>
      </c>
      <c r="K340" t="s">
        <v>600</v>
      </c>
      <c r="L340">
        <v>13.794600000000001</v>
      </c>
      <c r="M340">
        <f t="shared" si="10"/>
        <v>13.944000000000001</v>
      </c>
      <c r="N340">
        <f t="shared" si="11"/>
        <v>-0.14939999999999998</v>
      </c>
    </row>
    <row r="341" spans="1:14" x14ac:dyDescent="0.3">
      <c r="A341" s="69" t="s">
        <v>701</v>
      </c>
      <c r="B341" s="70">
        <v>26.892000000000003</v>
      </c>
      <c r="K341" t="s">
        <v>601</v>
      </c>
      <c r="L341">
        <v>8.8146000000000004</v>
      </c>
      <c r="M341">
        <f t="shared" si="10"/>
        <v>8.9640000000000004</v>
      </c>
      <c r="N341">
        <f t="shared" si="11"/>
        <v>-0.14939999999999998</v>
      </c>
    </row>
    <row r="342" spans="1:14" x14ac:dyDescent="0.3">
      <c r="A342" s="69" t="s">
        <v>702</v>
      </c>
      <c r="B342" s="70">
        <v>17.928000000000001</v>
      </c>
      <c r="K342" t="s">
        <v>602</v>
      </c>
      <c r="L342">
        <v>9.8106000000000009</v>
      </c>
      <c r="M342">
        <f t="shared" si="10"/>
        <v>9.9600000000000009</v>
      </c>
      <c r="N342">
        <f t="shared" si="11"/>
        <v>-0.14939999999999998</v>
      </c>
    </row>
    <row r="343" spans="1:14" x14ac:dyDescent="0.3">
      <c r="A343" s="69" t="s">
        <v>703</v>
      </c>
      <c r="B343" s="70">
        <v>16.932000000000002</v>
      </c>
      <c r="K343" t="s">
        <v>603</v>
      </c>
      <c r="L343">
        <v>10.8066</v>
      </c>
      <c r="M343">
        <f t="shared" si="10"/>
        <v>10.956</v>
      </c>
      <c r="N343">
        <f t="shared" si="11"/>
        <v>-0.14939999999999998</v>
      </c>
    </row>
    <row r="344" spans="1:14" x14ac:dyDescent="0.3">
      <c r="A344" s="69" t="s">
        <v>704</v>
      </c>
      <c r="B344" s="70">
        <v>68.724000000000004</v>
      </c>
      <c r="K344" t="s">
        <v>604</v>
      </c>
      <c r="L344">
        <v>12.7986</v>
      </c>
      <c r="M344">
        <f t="shared" si="10"/>
        <v>12.948</v>
      </c>
      <c r="N344">
        <f t="shared" si="11"/>
        <v>-0.14939999999999998</v>
      </c>
    </row>
    <row r="345" spans="1:14" x14ac:dyDescent="0.3">
      <c r="A345" s="69" t="s">
        <v>705</v>
      </c>
      <c r="B345" s="70">
        <v>19.920000000000002</v>
      </c>
      <c r="K345" t="s">
        <v>605</v>
      </c>
      <c r="L345">
        <v>14.7906</v>
      </c>
      <c r="M345">
        <f t="shared" si="10"/>
        <v>14.940000000000001</v>
      </c>
      <c r="N345">
        <f t="shared" si="11"/>
        <v>-0.14940000000000175</v>
      </c>
    </row>
    <row r="346" spans="1:14" x14ac:dyDescent="0.3">
      <c r="A346" s="69" t="s">
        <v>706</v>
      </c>
      <c r="B346" s="70">
        <v>16.932000000000002</v>
      </c>
      <c r="K346" t="s">
        <v>606</v>
      </c>
      <c r="L346">
        <v>16.782599999999999</v>
      </c>
      <c r="M346">
        <f t="shared" si="10"/>
        <v>16.932000000000002</v>
      </c>
      <c r="N346">
        <f t="shared" si="11"/>
        <v>-0.14940000000000353</v>
      </c>
    </row>
    <row r="347" spans="1:14" x14ac:dyDescent="0.3">
      <c r="A347" s="69" t="s">
        <v>707</v>
      </c>
      <c r="B347" s="70">
        <v>18.923999999999999</v>
      </c>
      <c r="K347" t="s">
        <v>607</v>
      </c>
      <c r="L347">
        <v>12.7986</v>
      </c>
      <c r="M347">
        <f t="shared" si="10"/>
        <v>12.948</v>
      </c>
      <c r="N347">
        <f t="shared" si="11"/>
        <v>-0.14939999999999998</v>
      </c>
    </row>
    <row r="348" spans="1:14" x14ac:dyDescent="0.3">
      <c r="A348" s="69" t="s">
        <v>708</v>
      </c>
      <c r="B348" s="70">
        <v>44.820000000000007</v>
      </c>
      <c r="K348" t="s">
        <v>608</v>
      </c>
      <c r="L348">
        <v>15.7866</v>
      </c>
      <c r="M348">
        <f t="shared" si="10"/>
        <v>15.936</v>
      </c>
      <c r="N348">
        <f t="shared" si="11"/>
        <v>-0.14939999999999998</v>
      </c>
    </row>
    <row r="349" spans="1:14" x14ac:dyDescent="0.3">
      <c r="A349" s="69" t="s">
        <v>709</v>
      </c>
      <c r="B349" s="70">
        <v>19.920000000000002</v>
      </c>
      <c r="K349" t="s">
        <v>609</v>
      </c>
      <c r="L349">
        <v>10.956</v>
      </c>
      <c r="M349">
        <f t="shared" si="10"/>
        <v>10.956</v>
      </c>
      <c r="N349">
        <f t="shared" si="11"/>
        <v>0</v>
      </c>
    </row>
    <row r="350" spans="1:14" x14ac:dyDescent="0.3">
      <c r="A350" s="69" t="s">
        <v>710</v>
      </c>
      <c r="B350" s="70">
        <v>46.812000000000005</v>
      </c>
      <c r="K350" t="s">
        <v>610</v>
      </c>
      <c r="L350">
        <v>18.923999999999999</v>
      </c>
      <c r="M350">
        <f t="shared" si="10"/>
        <v>18.923999999999999</v>
      </c>
      <c r="N350">
        <f t="shared" si="11"/>
        <v>0</v>
      </c>
    </row>
    <row r="351" spans="1:14" x14ac:dyDescent="0.3">
      <c r="A351" s="69" t="s">
        <v>711</v>
      </c>
      <c r="B351" s="70">
        <v>23.904</v>
      </c>
      <c r="K351" t="s">
        <v>611</v>
      </c>
      <c r="L351">
        <v>14.94</v>
      </c>
      <c r="M351">
        <f t="shared" si="10"/>
        <v>14.940000000000001</v>
      </c>
      <c r="N351">
        <f t="shared" si="11"/>
        <v>0</v>
      </c>
    </row>
    <row r="352" spans="1:14" x14ac:dyDescent="0.3">
      <c r="A352" s="69" t="s">
        <v>712</v>
      </c>
      <c r="B352" s="70">
        <v>25.896000000000004</v>
      </c>
      <c r="K352" t="s">
        <v>612</v>
      </c>
      <c r="L352">
        <v>15.936</v>
      </c>
      <c r="M352">
        <f t="shared" si="10"/>
        <v>31.872000000000003</v>
      </c>
      <c r="N352">
        <f t="shared" si="11"/>
        <v>-15.936000000000003</v>
      </c>
    </row>
    <row r="353" spans="1:14" x14ac:dyDescent="0.3">
      <c r="A353" s="69" t="s">
        <v>713</v>
      </c>
      <c r="B353" s="70">
        <v>14.739999999999998</v>
      </c>
      <c r="K353" t="s">
        <v>612</v>
      </c>
      <c r="L353">
        <v>15.936</v>
      </c>
      <c r="M353">
        <f t="shared" si="10"/>
        <v>31.872000000000003</v>
      </c>
      <c r="N353">
        <f t="shared" si="11"/>
        <v>-15.936000000000003</v>
      </c>
    </row>
    <row r="354" spans="1:14" x14ac:dyDescent="0.3">
      <c r="A354" s="69" t="s">
        <v>714</v>
      </c>
      <c r="B354" s="70">
        <v>33.6</v>
      </c>
      <c r="K354" t="s">
        <v>613</v>
      </c>
      <c r="L354">
        <v>21.911999999999999</v>
      </c>
      <c r="M354">
        <f t="shared" si="10"/>
        <v>21.912000000000003</v>
      </c>
      <c r="N354">
        <f t="shared" si="11"/>
        <v>0</v>
      </c>
    </row>
    <row r="355" spans="1:14" x14ac:dyDescent="0.3">
      <c r="A355" s="69" t="s">
        <v>715</v>
      </c>
      <c r="B355" s="70">
        <v>36</v>
      </c>
      <c r="K355" t="s">
        <v>614</v>
      </c>
      <c r="L355">
        <v>16.931999999999999</v>
      </c>
      <c r="M355">
        <f t="shared" si="10"/>
        <v>33.864000000000004</v>
      </c>
      <c r="N355">
        <f t="shared" si="11"/>
        <v>-16.932000000000006</v>
      </c>
    </row>
    <row r="356" spans="1:14" x14ac:dyDescent="0.3">
      <c r="A356" s="69" t="s">
        <v>716</v>
      </c>
      <c r="B356" s="70">
        <v>38.400000000000006</v>
      </c>
      <c r="K356" t="s">
        <v>614</v>
      </c>
      <c r="L356">
        <v>16.931999999999999</v>
      </c>
      <c r="M356">
        <f t="shared" si="10"/>
        <v>33.864000000000004</v>
      </c>
      <c r="N356">
        <f t="shared" si="11"/>
        <v>-16.932000000000006</v>
      </c>
    </row>
    <row r="357" spans="1:14" x14ac:dyDescent="0.3">
      <c r="A357" s="69" t="s">
        <v>717</v>
      </c>
      <c r="B357" s="70">
        <v>7.4879999999999995</v>
      </c>
      <c r="K357" t="s">
        <v>615</v>
      </c>
      <c r="L357">
        <v>20.916</v>
      </c>
      <c r="M357">
        <f t="shared" si="10"/>
        <v>20.916</v>
      </c>
      <c r="N357">
        <f t="shared" si="11"/>
        <v>0</v>
      </c>
    </row>
    <row r="358" spans="1:14" x14ac:dyDescent="0.3">
      <c r="A358" s="69" t="s">
        <v>718</v>
      </c>
      <c r="B358" s="70">
        <v>32.76</v>
      </c>
      <c r="K358" t="s">
        <v>616</v>
      </c>
      <c r="L358">
        <v>66.850899999999996</v>
      </c>
      <c r="M358">
        <f t="shared" si="10"/>
        <v>76.578999999999994</v>
      </c>
      <c r="N358">
        <f t="shared" si="11"/>
        <v>-9.7280999999999977</v>
      </c>
    </row>
    <row r="359" spans="1:14" x14ac:dyDescent="0.3">
      <c r="A359" s="69" t="s">
        <v>719</v>
      </c>
      <c r="B359" s="70">
        <v>11.231999999999999</v>
      </c>
      <c r="K359" t="s">
        <v>617</v>
      </c>
      <c r="L359">
        <v>12.405900000000001</v>
      </c>
      <c r="M359">
        <f t="shared" si="10"/>
        <v>15.218999999999999</v>
      </c>
      <c r="N359">
        <f t="shared" si="11"/>
        <v>-2.8130999999999986</v>
      </c>
    </row>
    <row r="360" spans="1:14" x14ac:dyDescent="0.3">
      <c r="A360" s="69" t="s">
        <v>720</v>
      </c>
      <c r="B360" s="70">
        <v>13.103999999999999</v>
      </c>
      <c r="K360" t="s">
        <v>618</v>
      </c>
      <c r="L360">
        <v>54.655299999999997</v>
      </c>
      <c r="M360">
        <f t="shared" si="10"/>
        <v>58.116500000000002</v>
      </c>
      <c r="N360">
        <f t="shared" si="11"/>
        <v>-3.4612000000000052</v>
      </c>
    </row>
    <row r="361" spans="1:14" x14ac:dyDescent="0.3">
      <c r="A361" s="69" t="s">
        <v>721</v>
      </c>
      <c r="B361" s="70">
        <v>7.4879999999999995</v>
      </c>
      <c r="K361" t="s">
        <v>619</v>
      </c>
      <c r="L361">
        <v>60.875300000000003</v>
      </c>
      <c r="M361">
        <f t="shared" si="10"/>
        <v>64.336500000000001</v>
      </c>
      <c r="N361">
        <f t="shared" si="11"/>
        <v>-3.4611999999999981</v>
      </c>
    </row>
    <row r="362" spans="1:14" x14ac:dyDescent="0.3">
      <c r="A362" s="69" t="s">
        <v>722</v>
      </c>
      <c r="B362" s="70">
        <v>33.695999999999998</v>
      </c>
      <c r="K362" t="s">
        <v>620</v>
      </c>
      <c r="L362">
        <v>60.875300000000003</v>
      </c>
      <c r="M362">
        <f t="shared" si="10"/>
        <v>64.336500000000001</v>
      </c>
      <c r="N362">
        <f t="shared" si="11"/>
        <v>-3.4611999999999981</v>
      </c>
    </row>
    <row r="363" spans="1:14" x14ac:dyDescent="0.3">
      <c r="A363" s="69" t="s">
        <v>723</v>
      </c>
      <c r="B363" s="70">
        <v>9.36</v>
      </c>
      <c r="K363" t="s">
        <v>621</v>
      </c>
      <c r="L363">
        <v>28.188400000000001</v>
      </c>
      <c r="M363">
        <f t="shared" si="10"/>
        <v>32.046500000000002</v>
      </c>
      <c r="N363">
        <f t="shared" si="11"/>
        <v>-3.8581000000000003</v>
      </c>
    </row>
    <row r="364" spans="1:14" x14ac:dyDescent="0.3">
      <c r="A364" s="69" t="s">
        <v>724</v>
      </c>
      <c r="B364" s="70">
        <v>30.887999999999998</v>
      </c>
      <c r="K364" t="s">
        <v>622</v>
      </c>
      <c r="L364">
        <v>5.5749000000000004</v>
      </c>
      <c r="M364">
        <f t="shared" si="10"/>
        <v>7.9946099999999998</v>
      </c>
      <c r="N364">
        <f t="shared" si="11"/>
        <v>-2.4197099999999994</v>
      </c>
    </row>
    <row r="365" spans="1:14" x14ac:dyDescent="0.3">
      <c r="A365" s="69" t="s">
        <v>725</v>
      </c>
      <c r="B365" s="70">
        <v>22.463999999999999</v>
      </c>
      <c r="K365" t="s">
        <v>623</v>
      </c>
      <c r="L365">
        <v>6.9039000000000001</v>
      </c>
      <c r="M365">
        <f t="shared" si="10"/>
        <v>9.3236100000000004</v>
      </c>
      <c r="N365">
        <f t="shared" si="11"/>
        <v>-2.4197100000000002</v>
      </c>
    </row>
    <row r="366" spans="1:14" x14ac:dyDescent="0.3">
      <c r="A366" s="69" t="s">
        <v>726</v>
      </c>
      <c r="B366" s="70">
        <v>12.167999999999999</v>
      </c>
      <c r="K366" t="s">
        <v>624</v>
      </c>
      <c r="L366">
        <v>6.9039000000000001</v>
      </c>
      <c r="M366">
        <f t="shared" si="10"/>
        <v>9.3236100000000004</v>
      </c>
      <c r="N366">
        <f t="shared" si="11"/>
        <v>-2.4197100000000002</v>
      </c>
    </row>
    <row r="367" spans="1:14" x14ac:dyDescent="0.3">
      <c r="A367" s="69" t="s">
        <v>727</v>
      </c>
      <c r="B367" s="70">
        <v>2.68</v>
      </c>
      <c r="K367" t="s">
        <v>625</v>
      </c>
      <c r="L367">
        <v>7.7899000000000003</v>
      </c>
      <c r="M367">
        <f t="shared" si="10"/>
        <v>20.419219999999999</v>
      </c>
      <c r="N367">
        <f t="shared" si="11"/>
        <v>-12.62932</v>
      </c>
    </row>
    <row r="368" spans="1:14" x14ac:dyDescent="0.3">
      <c r="A368" s="69" t="s">
        <v>728</v>
      </c>
      <c r="B368" s="70">
        <v>20.100000000000001</v>
      </c>
      <c r="K368" t="s">
        <v>625</v>
      </c>
      <c r="L368">
        <v>7.7899000000000003</v>
      </c>
      <c r="M368">
        <f t="shared" si="10"/>
        <v>20.419219999999999</v>
      </c>
      <c r="N368">
        <f t="shared" si="11"/>
        <v>-12.62932</v>
      </c>
    </row>
    <row r="369" spans="1:14" x14ac:dyDescent="0.3">
      <c r="A369" s="69" t="s">
        <v>729</v>
      </c>
      <c r="B369" s="70">
        <v>24.119999999999997</v>
      </c>
      <c r="K369" t="s">
        <v>626</v>
      </c>
      <c r="L369">
        <v>11.997999999999999</v>
      </c>
      <c r="M369">
        <f t="shared" si="10"/>
        <v>14.602539999999999</v>
      </c>
      <c r="N369">
        <f t="shared" si="11"/>
        <v>-2.6045400000000001</v>
      </c>
    </row>
    <row r="370" spans="1:14" x14ac:dyDescent="0.3">
      <c r="A370" s="69" t="s">
        <v>730</v>
      </c>
      <c r="B370" s="70">
        <v>9.379999999999999</v>
      </c>
      <c r="K370" t="s">
        <v>627</v>
      </c>
      <c r="L370">
        <v>15.981999999999999</v>
      </c>
      <c r="M370">
        <f t="shared" si="10"/>
        <v>18.586539999999999</v>
      </c>
      <c r="N370">
        <f t="shared" si="11"/>
        <v>-2.6045400000000001</v>
      </c>
    </row>
    <row r="371" spans="1:14" x14ac:dyDescent="0.3">
      <c r="A371" s="69" t="s">
        <v>731</v>
      </c>
      <c r="B371" s="70">
        <v>10.72</v>
      </c>
      <c r="K371" t="s">
        <v>628</v>
      </c>
      <c r="L371">
        <v>21.957999999999998</v>
      </c>
      <c r="M371">
        <f t="shared" si="10"/>
        <v>24.562540000000002</v>
      </c>
      <c r="N371">
        <f t="shared" si="11"/>
        <v>-2.6045400000000036</v>
      </c>
    </row>
    <row r="372" spans="1:14" x14ac:dyDescent="0.3">
      <c r="A372" s="69" t="s">
        <v>732</v>
      </c>
      <c r="B372" s="70">
        <v>24.12</v>
      </c>
      <c r="K372" t="s">
        <v>629</v>
      </c>
      <c r="L372">
        <v>62.633699999999997</v>
      </c>
      <c r="M372">
        <f t="shared" si="10"/>
        <v>57.164239999999999</v>
      </c>
      <c r="N372">
        <f t="shared" si="11"/>
        <v>5.469459999999998</v>
      </c>
    </row>
    <row r="373" spans="1:14" x14ac:dyDescent="0.3">
      <c r="A373" s="69" t="s">
        <v>733</v>
      </c>
      <c r="B373" s="70">
        <v>7.1999999999999993</v>
      </c>
      <c r="K373" t="s">
        <v>630</v>
      </c>
      <c r="L373">
        <v>39.6768</v>
      </c>
      <c r="M373">
        <f t="shared" si="10"/>
        <v>38.745580000000004</v>
      </c>
      <c r="N373">
        <f t="shared" si="11"/>
        <v>0.93121999999999616</v>
      </c>
    </row>
    <row r="374" spans="1:14" x14ac:dyDescent="0.3">
      <c r="A374" s="69" t="s">
        <v>734</v>
      </c>
      <c r="B374" s="70">
        <v>19.200000000000003</v>
      </c>
      <c r="K374" t="s">
        <v>631</v>
      </c>
      <c r="L374">
        <v>22.579000000000001</v>
      </c>
      <c r="M374">
        <f t="shared" si="10"/>
        <v>22.78</v>
      </c>
      <c r="N374">
        <f t="shared" si="11"/>
        <v>-0.20100000000000051</v>
      </c>
    </row>
    <row r="375" spans="1:14" x14ac:dyDescent="0.3">
      <c r="A375" s="69" t="s">
        <v>735</v>
      </c>
      <c r="B375" s="70">
        <v>12</v>
      </c>
      <c r="K375" t="s">
        <v>632</v>
      </c>
      <c r="L375">
        <v>25.594000000000001</v>
      </c>
      <c r="M375">
        <f t="shared" si="10"/>
        <v>23.919</v>
      </c>
      <c r="N375">
        <f t="shared" si="11"/>
        <v>1.6750000000000007</v>
      </c>
    </row>
    <row r="376" spans="1:14" x14ac:dyDescent="0.3">
      <c r="A376" s="69" t="s">
        <v>736</v>
      </c>
      <c r="B376" s="70">
        <v>28.799999999999997</v>
      </c>
      <c r="K376" t="s">
        <v>633</v>
      </c>
      <c r="L376">
        <v>33.24</v>
      </c>
      <c r="M376">
        <f t="shared" si="10"/>
        <v>33.599999999999994</v>
      </c>
      <c r="N376">
        <f t="shared" si="11"/>
        <v>-0.35999999999999233</v>
      </c>
    </row>
    <row r="377" spans="1:14" x14ac:dyDescent="0.3">
      <c r="A377" s="69" t="s">
        <v>737</v>
      </c>
      <c r="B377" s="70">
        <v>50.399999999999991</v>
      </c>
      <c r="K377" t="s">
        <v>634</v>
      </c>
      <c r="L377">
        <v>47.64</v>
      </c>
      <c r="M377">
        <f t="shared" si="10"/>
        <v>48</v>
      </c>
      <c r="N377">
        <f t="shared" si="11"/>
        <v>-0.35999999999999943</v>
      </c>
    </row>
    <row r="378" spans="1:14" x14ac:dyDescent="0.3">
      <c r="A378" s="69" t="s">
        <v>738</v>
      </c>
      <c r="B378" s="70">
        <v>19.200000000000003</v>
      </c>
      <c r="K378" t="s">
        <v>635</v>
      </c>
      <c r="L378">
        <v>54.84</v>
      </c>
      <c r="M378">
        <f t="shared" si="10"/>
        <v>55.199999999999996</v>
      </c>
      <c r="N378">
        <f t="shared" si="11"/>
        <v>-0.35999999999999233</v>
      </c>
    </row>
    <row r="379" spans="1:14" x14ac:dyDescent="0.3">
      <c r="A379" s="69" t="s">
        <v>739</v>
      </c>
      <c r="B379" s="70">
        <v>48</v>
      </c>
      <c r="K379" t="s">
        <v>636</v>
      </c>
      <c r="L379">
        <v>34.44</v>
      </c>
      <c r="M379">
        <f t="shared" si="10"/>
        <v>30.839999999999996</v>
      </c>
      <c r="N379">
        <f t="shared" si="11"/>
        <v>3.6000000000000014</v>
      </c>
    </row>
    <row r="380" spans="1:14" x14ac:dyDescent="0.3">
      <c r="A380" s="69" t="s">
        <v>740</v>
      </c>
      <c r="B380" s="70">
        <v>40.799999999999997</v>
      </c>
      <c r="K380" t="s">
        <v>637</v>
      </c>
      <c r="L380">
        <v>1.7056</v>
      </c>
      <c r="M380">
        <f t="shared" si="10"/>
        <v>3.544</v>
      </c>
      <c r="N380">
        <f t="shared" si="11"/>
        <v>-1.8384</v>
      </c>
    </row>
    <row r="381" spans="1:14" x14ac:dyDescent="0.3">
      <c r="A381" s="69" t="s">
        <v>741</v>
      </c>
      <c r="B381" s="70">
        <v>1.772</v>
      </c>
      <c r="K381" t="s">
        <v>637</v>
      </c>
      <c r="L381">
        <v>1.7056</v>
      </c>
      <c r="M381">
        <f t="shared" si="10"/>
        <v>3.544</v>
      </c>
      <c r="N381">
        <f t="shared" si="11"/>
        <v>-1.8384</v>
      </c>
    </row>
    <row r="382" spans="1:14" x14ac:dyDescent="0.3">
      <c r="A382" s="69" t="s">
        <v>742</v>
      </c>
      <c r="B382" s="70">
        <v>5.3159999999999998</v>
      </c>
      <c r="K382" t="s">
        <v>638</v>
      </c>
      <c r="L382">
        <v>2.1486000000000001</v>
      </c>
      <c r="M382">
        <f t="shared" si="10"/>
        <v>8.86</v>
      </c>
      <c r="N382">
        <f t="shared" si="11"/>
        <v>-6.7113999999999994</v>
      </c>
    </row>
    <row r="383" spans="1:14" x14ac:dyDescent="0.3">
      <c r="A383" s="69" t="s">
        <v>743</v>
      </c>
      <c r="B383" s="70">
        <v>10.632</v>
      </c>
      <c r="K383" t="s">
        <v>638</v>
      </c>
      <c r="L383">
        <v>2.1486000000000001</v>
      </c>
      <c r="M383">
        <f t="shared" si="10"/>
        <v>8.86</v>
      </c>
      <c r="N383">
        <f t="shared" si="11"/>
        <v>-6.7113999999999994</v>
      </c>
    </row>
    <row r="384" spans="1:14" x14ac:dyDescent="0.3">
      <c r="A384" s="69" t="s">
        <v>744</v>
      </c>
      <c r="B384" s="70">
        <v>22.15</v>
      </c>
      <c r="K384" t="s">
        <v>638</v>
      </c>
      <c r="L384">
        <v>2.1486000000000001</v>
      </c>
      <c r="M384">
        <f t="shared" si="10"/>
        <v>8.86</v>
      </c>
      <c r="N384">
        <f t="shared" si="11"/>
        <v>-6.7113999999999994</v>
      </c>
    </row>
    <row r="385" spans="1:14" x14ac:dyDescent="0.3">
      <c r="A385" s="69" t="s">
        <v>745</v>
      </c>
      <c r="B385" s="70">
        <v>10.632</v>
      </c>
      <c r="K385" t="s">
        <v>638</v>
      </c>
      <c r="L385">
        <v>2.1486000000000001</v>
      </c>
      <c r="M385">
        <f t="shared" si="10"/>
        <v>8.86</v>
      </c>
      <c r="N385">
        <f t="shared" si="11"/>
        <v>-6.7113999999999994</v>
      </c>
    </row>
    <row r="386" spans="1:14" x14ac:dyDescent="0.3">
      <c r="A386" s="69" t="s">
        <v>746</v>
      </c>
      <c r="B386" s="70">
        <v>3.9840000000000004</v>
      </c>
      <c r="K386" t="s">
        <v>639</v>
      </c>
      <c r="L386">
        <v>2.5914999999999999</v>
      </c>
      <c r="M386">
        <f t="shared" si="10"/>
        <v>2.6579999999999999</v>
      </c>
      <c r="N386">
        <f t="shared" si="11"/>
        <v>-6.6500000000000004E-2</v>
      </c>
    </row>
    <row r="387" spans="1:14" x14ac:dyDescent="0.3">
      <c r="A387" s="69" t="s">
        <v>747</v>
      </c>
      <c r="B387" s="70">
        <v>17.928000000000001</v>
      </c>
      <c r="K387" t="s">
        <v>640</v>
      </c>
      <c r="L387">
        <v>3.4775999999999998</v>
      </c>
      <c r="M387">
        <f t="shared" ref="M387:M450" si="12">_xlfn.XLOOKUP(K387,A:A,B:B)</f>
        <v>3.544</v>
      </c>
      <c r="N387">
        <f t="shared" ref="N387:N450" si="13">L387-M387</f>
        <v>-6.6400000000000237E-2</v>
      </c>
    </row>
    <row r="388" spans="1:14" x14ac:dyDescent="0.3">
      <c r="A388" s="69" t="s">
        <v>748</v>
      </c>
      <c r="B388" s="70">
        <v>15.936000000000002</v>
      </c>
      <c r="K388" t="s">
        <v>641</v>
      </c>
      <c r="L388">
        <v>3.0346000000000002</v>
      </c>
      <c r="M388">
        <f t="shared" si="12"/>
        <v>3.1009999999999995</v>
      </c>
      <c r="N388">
        <f t="shared" si="13"/>
        <v>-6.6399999999999348E-2</v>
      </c>
    </row>
    <row r="389" spans="1:14" x14ac:dyDescent="0.3">
      <c r="A389" s="69" t="s">
        <v>749</v>
      </c>
      <c r="B389" s="70">
        <v>64.740000000000023</v>
      </c>
      <c r="K389" t="s">
        <v>642</v>
      </c>
      <c r="L389">
        <v>4.8305999999999996</v>
      </c>
      <c r="M389">
        <f t="shared" si="12"/>
        <v>4.9800000000000004</v>
      </c>
      <c r="N389">
        <f t="shared" si="13"/>
        <v>-0.14940000000000087</v>
      </c>
    </row>
    <row r="390" spans="1:14" x14ac:dyDescent="0.3">
      <c r="A390" s="69" t="s">
        <v>750</v>
      </c>
      <c r="B390" s="70">
        <v>29.88</v>
      </c>
      <c r="K390" t="s">
        <v>643</v>
      </c>
      <c r="L390">
        <v>6.8226000000000004</v>
      </c>
      <c r="M390">
        <f t="shared" si="12"/>
        <v>6.9720000000000004</v>
      </c>
      <c r="N390">
        <f t="shared" si="13"/>
        <v>-0.14939999999999998</v>
      </c>
    </row>
    <row r="391" spans="1:14" x14ac:dyDescent="0.3">
      <c r="A391" s="69" t="s">
        <v>751</v>
      </c>
      <c r="B391" s="70">
        <v>69.72</v>
      </c>
      <c r="K391" t="s">
        <v>644</v>
      </c>
      <c r="L391">
        <v>9.8106000000000009</v>
      </c>
      <c r="M391">
        <f t="shared" si="12"/>
        <v>9.9600000000000009</v>
      </c>
      <c r="N391">
        <f t="shared" si="13"/>
        <v>-0.14939999999999998</v>
      </c>
    </row>
    <row r="392" spans="1:14" x14ac:dyDescent="0.3">
      <c r="A392" s="69" t="s">
        <v>752</v>
      </c>
      <c r="B392" s="70">
        <v>47.808000000000007</v>
      </c>
      <c r="K392" t="s">
        <v>645</v>
      </c>
      <c r="L392">
        <v>4.8305999999999996</v>
      </c>
      <c r="M392">
        <f t="shared" si="12"/>
        <v>4.9800000000000004</v>
      </c>
      <c r="N392">
        <f t="shared" si="13"/>
        <v>-0.14940000000000087</v>
      </c>
    </row>
    <row r="393" spans="1:14" x14ac:dyDescent="0.3">
      <c r="A393" s="69" t="s">
        <v>753</v>
      </c>
      <c r="B393" s="70">
        <v>10.7172</v>
      </c>
      <c r="K393" t="s">
        <v>646</v>
      </c>
      <c r="L393">
        <v>5.8266</v>
      </c>
      <c r="M393">
        <f t="shared" si="12"/>
        <v>11.952</v>
      </c>
      <c r="N393">
        <f t="shared" si="13"/>
        <v>-6.1254</v>
      </c>
    </row>
    <row r="394" spans="1:14" x14ac:dyDescent="0.3">
      <c r="A394" s="69" t="s">
        <v>754</v>
      </c>
      <c r="B394" s="70">
        <v>33.486600000000003</v>
      </c>
      <c r="K394" t="s">
        <v>646</v>
      </c>
      <c r="L394">
        <v>5.8266</v>
      </c>
      <c r="M394">
        <f t="shared" si="12"/>
        <v>11.952</v>
      </c>
      <c r="N394">
        <f t="shared" si="13"/>
        <v>-6.1254</v>
      </c>
    </row>
    <row r="395" spans="1:14" x14ac:dyDescent="0.3">
      <c r="A395" s="69" t="s">
        <v>755</v>
      </c>
      <c r="B395" s="70">
        <v>24.200400000000002</v>
      </c>
      <c r="K395" t="s">
        <v>647</v>
      </c>
      <c r="L395">
        <v>7.8186</v>
      </c>
      <c r="M395">
        <f t="shared" si="12"/>
        <v>15.936000000000002</v>
      </c>
      <c r="N395">
        <f t="shared" si="13"/>
        <v>-8.1174000000000017</v>
      </c>
    </row>
    <row r="396" spans="1:14" x14ac:dyDescent="0.3">
      <c r="A396" s="69" t="s">
        <v>756</v>
      </c>
      <c r="B396" s="70">
        <v>21.9358</v>
      </c>
      <c r="K396" t="s">
        <v>647</v>
      </c>
      <c r="L396">
        <v>7.8186</v>
      </c>
      <c r="M396">
        <f t="shared" si="12"/>
        <v>15.936000000000002</v>
      </c>
      <c r="N396">
        <f t="shared" si="13"/>
        <v>-8.1174000000000017</v>
      </c>
    </row>
    <row r="397" spans="1:14" x14ac:dyDescent="0.3">
      <c r="A397" s="69" t="s">
        <v>757</v>
      </c>
      <c r="B397" s="70">
        <v>26.987599999999997</v>
      </c>
      <c r="K397" t="s">
        <v>648</v>
      </c>
      <c r="L397">
        <v>12.7986</v>
      </c>
      <c r="M397">
        <f t="shared" si="12"/>
        <v>25.896000000000004</v>
      </c>
      <c r="N397">
        <f t="shared" si="13"/>
        <v>-13.097400000000004</v>
      </c>
    </row>
    <row r="398" spans="1:14" x14ac:dyDescent="0.3">
      <c r="A398" s="69" t="s">
        <v>758</v>
      </c>
      <c r="B398" s="70">
        <v>30.592199999999998</v>
      </c>
      <c r="K398" t="s">
        <v>648</v>
      </c>
      <c r="L398">
        <v>12.7986</v>
      </c>
      <c r="M398">
        <f t="shared" si="12"/>
        <v>25.896000000000004</v>
      </c>
      <c r="N398">
        <f t="shared" si="13"/>
        <v>-13.097400000000004</v>
      </c>
    </row>
    <row r="399" spans="1:14" x14ac:dyDescent="0.3">
      <c r="A399" s="69" t="s">
        <v>759</v>
      </c>
      <c r="B399" s="70">
        <v>59.944299999999998</v>
      </c>
      <c r="K399" t="s">
        <v>649</v>
      </c>
      <c r="L399">
        <v>13.794600000000001</v>
      </c>
      <c r="M399">
        <f t="shared" si="12"/>
        <v>13.944000000000001</v>
      </c>
      <c r="N399">
        <f t="shared" si="13"/>
        <v>-0.14939999999999998</v>
      </c>
    </row>
    <row r="400" spans="1:14" x14ac:dyDescent="0.3">
      <c r="A400" s="69" t="s">
        <v>760</v>
      </c>
      <c r="B400" s="70">
        <v>68.428100000000001</v>
      </c>
      <c r="K400" t="s">
        <v>650</v>
      </c>
      <c r="L400">
        <v>5.8266</v>
      </c>
      <c r="M400">
        <f t="shared" si="12"/>
        <v>5.976</v>
      </c>
      <c r="N400">
        <f t="shared" si="13"/>
        <v>-0.14939999999999998</v>
      </c>
    </row>
    <row r="401" spans="1:14" x14ac:dyDescent="0.3">
      <c r="A401" s="69" t="s">
        <v>761</v>
      </c>
      <c r="B401" s="70">
        <v>19.3505</v>
      </c>
      <c r="K401" t="s">
        <v>651</v>
      </c>
      <c r="L401">
        <v>6.8226000000000004</v>
      </c>
      <c r="M401">
        <f t="shared" si="12"/>
        <v>6.9720000000000004</v>
      </c>
      <c r="N401">
        <f t="shared" si="13"/>
        <v>-0.14939999999999998</v>
      </c>
    </row>
    <row r="402" spans="1:14" x14ac:dyDescent="0.3">
      <c r="A402" s="69" t="s">
        <v>762</v>
      </c>
      <c r="B402" s="70">
        <v>26.482299999999999</v>
      </c>
      <c r="K402" t="s">
        <v>652</v>
      </c>
      <c r="L402">
        <v>8.8146000000000004</v>
      </c>
      <c r="M402">
        <f t="shared" si="12"/>
        <v>8.9640000000000004</v>
      </c>
      <c r="N402">
        <f t="shared" si="13"/>
        <v>-0.14939999999999998</v>
      </c>
    </row>
    <row r="403" spans="1:14" x14ac:dyDescent="0.3">
      <c r="A403" s="69" t="s">
        <v>763</v>
      </c>
      <c r="B403" s="70">
        <v>27.952599999999997</v>
      </c>
      <c r="K403" t="s">
        <v>653</v>
      </c>
      <c r="L403">
        <v>8.8146000000000004</v>
      </c>
      <c r="M403">
        <f t="shared" si="12"/>
        <v>8.9640000000000004</v>
      </c>
      <c r="N403">
        <f t="shared" si="13"/>
        <v>-0.14939999999999998</v>
      </c>
    </row>
    <row r="404" spans="1:14" x14ac:dyDescent="0.3">
      <c r="A404" s="69" t="s">
        <v>764</v>
      </c>
      <c r="B404" s="70">
        <v>28.611699999999999</v>
      </c>
      <c r="K404" t="s">
        <v>654</v>
      </c>
      <c r="L404">
        <v>12.7986</v>
      </c>
      <c r="M404">
        <f t="shared" si="12"/>
        <v>12.948000000000002</v>
      </c>
      <c r="N404">
        <f t="shared" si="13"/>
        <v>-0.14940000000000175</v>
      </c>
    </row>
    <row r="405" spans="1:14" x14ac:dyDescent="0.3">
      <c r="A405" s="69" t="s">
        <v>765</v>
      </c>
      <c r="B405" s="70">
        <v>32.143799999999999</v>
      </c>
      <c r="K405" t="s">
        <v>655</v>
      </c>
      <c r="L405">
        <v>8.8146000000000004</v>
      </c>
      <c r="M405">
        <f t="shared" si="12"/>
        <v>8.9640000000000004</v>
      </c>
      <c r="N405">
        <f t="shared" si="13"/>
        <v>-0.14939999999999998</v>
      </c>
    </row>
    <row r="406" spans="1:14" x14ac:dyDescent="0.3">
      <c r="A406" s="69" t="s">
        <v>766</v>
      </c>
      <c r="B406" s="70">
        <v>32.498699999999999</v>
      </c>
      <c r="K406" t="s">
        <v>656</v>
      </c>
      <c r="L406">
        <v>9.8106000000000009</v>
      </c>
      <c r="M406">
        <f t="shared" si="12"/>
        <v>9.9600000000000009</v>
      </c>
      <c r="N406">
        <f t="shared" si="13"/>
        <v>-0.14939999999999998</v>
      </c>
    </row>
    <row r="407" spans="1:14" x14ac:dyDescent="0.3">
      <c r="A407" s="69" t="s">
        <v>767</v>
      </c>
      <c r="B407" s="70">
        <v>36.14909999999999</v>
      </c>
      <c r="K407" t="s">
        <v>657</v>
      </c>
      <c r="L407">
        <v>9.8106000000000009</v>
      </c>
      <c r="M407">
        <f t="shared" si="12"/>
        <v>19.920000000000002</v>
      </c>
      <c r="N407">
        <f t="shared" si="13"/>
        <v>-10.109400000000001</v>
      </c>
    </row>
    <row r="408" spans="1:14" x14ac:dyDescent="0.3">
      <c r="A408" s="69" t="s">
        <v>768</v>
      </c>
      <c r="B408" s="70">
        <v>40.255800000000001</v>
      </c>
      <c r="K408" t="s">
        <v>657</v>
      </c>
      <c r="L408">
        <v>9.8106000000000009</v>
      </c>
      <c r="M408">
        <f t="shared" si="12"/>
        <v>19.920000000000002</v>
      </c>
      <c r="N408">
        <f t="shared" si="13"/>
        <v>-10.109400000000001</v>
      </c>
    </row>
    <row r="409" spans="1:14" x14ac:dyDescent="0.3">
      <c r="A409" s="69" t="s">
        <v>769</v>
      </c>
      <c r="B409" s="70">
        <v>47.5304</v>
      </c>
      <c r="K409" t="s">
        <v>658</v>
      </c>
      <c r="L409">
        <v>10.8066</v>
      </c>
      <c r="M409">
        <f t="shared" si="12"/>
        <v>10.956000000000001</v>
      </c>
      <c r="N409">
        <f t="shared" si="13"/>
        <v>-0.14940000000000175</v>
      </c>
    </row>
    <row r="410" spans="1:14" x14ac:dyDescent="0.3">
      <c r="A410" s="69" t="s">
        <v>770</v>
      </c>
      <c r="B410" s="70">
        <v>44.9816</v>
      </c>
      <c r="K410" t="s">
        <v>659</v>
      </c>
      <c r="L410">
        <v>11.553599999999999</v>
      </c>
      <c r="M410">
        <f t="shared" si="12"/>
        <v>10.806600000000001</v>
      </c>
      <c r="N410">
        <f t="shared" si="13"/>
        <v>0.74699999999999811</v>
      </c>
    </row>
    <row r="411" spans="1:14" x14ac:dyDescent="0.3">
      <c r="A411" s="69" t="s">
        <v>771</v>
      </c>
      <c r="B411" s="70">
        <v>65.31</v>
      </c>
      <c r="K411" t="s">
        <v>660</v>
      </c>
      <c r="L411">
        <v>12.5496</v>
      </c>
      <c r="M411">
        <f t="shared" si="12"/>
        <v>11.802600000000002</v>
      </c>
      <c r="N411">
        <f t="shared" si="13"/>
        <v>0.74699999999999811</v>
      </c>
    </row>
    <row r="412" spans="1:14" x14ac:dyDescent="0.3">
      <c r="A412" s="69" t="s">
        <v>772</v>
      </c>
      <c r="B412" s="70">
        <v>30.437760000000004</v>
      </c>
      <c r="K412" t="s">
        <v>661</v>
      </c>
      <c r="L412">
        <v>13.794600000000001</v>
      </c>
      <c r="M412">
        <f t="shared" si="12"/>
        <v>13.944000000000001</v>
      </c>
      <c r="N412">
        <f t="shared" si="13"/>
        <v>-0.14939999999999998</v>
      </c>
    </row>
    <row r="413" spans="1:14" x14ac:dyDescent="0.3">
      <c r="A413" s="69" t="s">
        <v>773</v>
      </c>
      <c r="B413" s="70">
        <v>8.7548400000000015</v>
      </c>
      <c r="K413" t="s">
        <v>662</v>
      </c>
      <c r="L413">
        <v>16.782599999999999</v>
      </c>
      <c r="M413">
        <f t="shared" si="12"/>
        <v>16.932000000000002</v>
      </c>
      <c r="N413">
        <f t="shared" si="13"/>
        <v>-0.14940000000000353</v>
      </c>
    </row>
    <row r="414" spans="1:14" x14ac:dyDescent="0.3">
      <c r="A414" s="69" t="s">
        <v>774</v>
      </c>
      <c r="B414" s="70">
        <v>9.9500400000000013</v>
      </c>
      <c r="K414" t="s">
        <v>663</v>
      </c>
      <c r="L414">
        <v>11.8026</v>
      </c>
      <c r="M414">
        <f t="shared" si="12"/>
        <v>23.904</v>
      </c>
      <c r="N414">
        <f t="shared" si="13"/>
        <v>-12.1014</v>
      </c>
    </row>
    <row r="415" spans="1:14" x14ac:dyDescent="0.3">
      <c r="A415" s="69" t="s">
        <v>775</v>
      </c>
      <c r="B415" s="70">
        <v>11.444040000000001</v>
      </c>
      <c r="K415" t="s">
        <v>663</v>
      </c>
      <c r="L415">
        <v>11.8026</v>
      </c>
      <c r="M415">
        <f t="shared" si="12"/>
        <v>23.904</v>
      </c>
      <c r="N415">
        <f t="shared" si="13"/>
        <v>-12.1014</v>
      </c>
    </row>
    <row r="416" spans="1:14" x14ac:dyDescent="0.3">
      <c r="A416" s="69" t="s">
        <v>776</v>
      </c>
      <c r="B416" s="70">
        <v>19.085039999999999</v>
      </c>
      <c r="K416" t="s">
        <v>664</v>
      </c>
      <c r="L416">
        <v>13.794600000000001</v>
      </c>
      <c r="M416">
        <f t="shared" si="12"/>
        <v>13.944000000000001</v>
      </c>
      <c r="N416">
        <f t="shared" si="13"/>
        <v>-0.14939999999999998</v>
      </c>
    </row>
    <row r="417" spans="1:14" x14ac:dyDescent="0.3">
      <c r="A417" s="69" t="s">
        <v>777</v>
      </c>
      <c r="B417" s="70">
        <v>0.70650000000000002</v>
      </c>
      <c r="K417" t="s">
        <v>665</v>
      </c>
      <c r="L417">
        <v>16.782599999999999</v>
      </c>
      <c r="M417">
        <f t="shared" si="12"/>
        <v>16.932000000000002</v>
      </c>
      <c r="N417">
        <f t="shared" si="13"/>
        <v>-0.14940000000000353</v>
      </c>
    </row>
    <row r="418" spans="1:14" x14ac:dyDescent="0.3">
      <c r="A418" s="69" t="s">
        <v>778</v>
      </c>
      <c r="B418" s="70">
        <v>1.413</v>
      </c>
      <c r="K418" t="s">
        <v>666</v>
      </c>
      <c r="L418">
        <v>21.762599999999999</v>
      </c>
      <c r="M418">
        <f t="shared" si="12"/>
        <v>21.912000000000003</v>
      </c>
      <c r="N418">
        <f t="shared" si="13"/>
        <v>-0.14940000000000353</v>
      </c>
    </row>
    <row r="419" spans="1:14" x14ac:dyDescent="0.3">
      <c r="A419" s="69" t="s">
        <v>779</v>
      </c>
      <c r="B419" s="70">
        <v>0.70650000000000002</v>
      </c>
      <c r="K419" t="s">
        <v>667</v>
      </c>
      <c r="L419">
        <v>23.7546</v>
      </c>
      <c r="M419">
        <f t="shared" si="12"/>
        <v>23.904</v>
      </c>
      <c r="N419">
        <f t="shared" si="13"/>
        <v>-0.14939999999999998</v>
      </c>
    </row>
    <row r="420" spans="1:14" x14ac:dyDescent="0.3">
      <c r="A420" s="69" t="s">
        <v>780</v>
      </c>
      <c r="B420" s="70">
        <v>0.88649999999999995</v>
      </c>
      <c r="K420" t="s">
        <v>668</v>
      </c>
      <c r="L420">
        <v>27.738600000000002</v>
      </c>
      <c r="M420">
        <f t="shared" si="12"/>
        <v>27.888000000000002</v>
      </c>
      <c r="N420">
        <f t="shared" si="13"/>
        <v>-0.14939999999999998</v>
      </c>
    </row>
    <row r="421" spans="1:14" x14ac:dyDescent="0.3">
      <c r="A421" s="69" t="s">
        <v>781</v>
      </c>
      <c r="B421" s="70">
        <v>28.619999999999997</v>
      </c>
      <c r="K421" t="s">
        <v>669</v>
      </c>
      <c r="L421">
        <v>32.718600000000002</v>
      </c>
      <c r="M421">
        <f t="shared" si="12"/>
        <v>32.868000000000002</v>
      </c>
      <c r="N421">
        <f t="shared" si="13"/>
        <v>-0.14939999999999998</v>
      </c>
    </row>
    <row r="422" spans="1:14" x14ac:dyDescent="0.3">
      <c r="A422" s="69" t="s">
        <v>782</v>
      </c>
      <c r="B422" s="70">
        <v>7.1549999999999994</v>
      </c>
      <c r="K422" t="s">
        <v>670</v>
      </c>
      <c r="L422">
        <v>43.2</v>
      </c>
      <c r="M422">
        <f t="shared" si="12"/>
        <v>43.199999999999996</v>
      </c>
      <c r="N422">
        <f t="shared" si="13"/>
        <v>0</v>
      </c>
    </row>
    <row r="423" spans="1:14" x14ac:dyDescent="0.3">
      <c r="A423" s="69" t="s">
        <v>783</v>
      </c>
      <c r="B423" s="70">
        <v>3.5774999999999997</v>
      </c>
      <c r="K423" t="s">
        <v>671</v>
      </c>
      <c r="L423">
        <v>36</v>
      </c>
      <c r="M423">
        <f t="shared" si="12"/>
        <v>36</v>
      </c>
      <c r="N423">
        <f t="shared" si="13"/>
        <v>0</v>
      </c>
    </row>
    <row r="424" spans="1:14" x14ac:dyDescent="0.3">
      <c r="A424" s="69" t="s">
        <v>784</v>
      </c>
      <c r="B424" s="70">
        <v>3.5774999999999997</v>
      </c>
      <c r="K424" t="s">
        <v>672</v>
      </c>
      <c r="L424">
        <v>55.2</v>
      </c>
      <c r="M424">
        <f t="shared" si="12"/>
        <v>55.2</v>
      </c>
      <c r="N424">
        <f t="shared" si="13"/>
        <v>0</v>
      </c>
    </row>
    <row r="425" spans="1:14" x14ac:dyDescent="0.3">
      <c r="A425" s="69" t="s">
        <v>785</v>
      </c>
      <c r="B425" s="70">
        <v>10.732499999999998</v>
      </c>
      <c r="K425" t="s">
        <v>673</v>
      </c>
      <c r="L425">
        <v>50.4</v>
      </c>
      <c r="M425">
        <f t="shared" si="12"/>
        <v>50.399999999999991</v>
      </c>
      <c r="N425">
        <f t="shared" si="13"/>
        <v>0</v>
      </c>
    </row>
    <row r="426" spans="1:14" x14ac:dyDescent="0.3">
      <c r="A426" s="69" t="s">
        <v>786</v>
      </c>
      <c r="B426" s="70">
        <v>2.5324999999999998</v>
      </c>
      <c r="K426" t="s">
        <v>674</v>
      </c>
      <c r="L426">
        <v>6.202</v>
      </c>
      <c r="M426">
        <f t="shared" si="12"/>
        <v>6.202</v>
      </c>
      <c r="N426">
        <f t="shared" si="13"/>
        <v>0</v>
      </c>
    </row>
    <row r="427" spans="1:14" x14ac:dyDescent="0.3">
      <c r="A427" s="69" t="s">
        <v>787</v>
      </c>
      <c r="B427" s="70">
        <v>3.5774999999999997</v>
      </c>
      <c r="K427" t="s">
        <v>675</v>
      </c>
      <c r="L427">
        <v>13.944000000000001</v>
      </c>
      <c r="M427">
        <f t="shared" si="12"/>
        <v>13.944000000000001</v>
      </c>
      <c r="N427">
        <f t="shared" si="13"/>
        <v>0</v>
      </c>
    </row>
    <row r="428" spans="1:14" x14ac:dyDescent="0.3">
      <c r="A428" s="69" t="s">
        <v>788</v>
      </c>
      <c r="B428" s="70">
        <v>3.5774999999999997</v>
      </c>
      <c r="K428" t="s">
        <v>676</v>
      </c>
      <c r="L428">
        <v>10.956</v>
      </c>
      <c r="M428">
        <f t="shared" si="12"/>
        <v>10.956</v>
      </c>
      <c r="N428">
        <f t="shared" si="13"/>
        <v>0</v>
      </c>
    </row>
    <row r="429" spans="1:14" x14ac:dyDescent="0.3">
      <c r="A429" s="69" t="s">
        <v>789</v>
      </c>
      <c r="B429" s="70">
        <v>3.5774999999999997</v>
      </c>
      <c r="K429" t="s">
        <v>677</v>
      </c>
      <c r="L429">
        <v>26.891999999999999</v>
      </c>
      <c r="M429">
        <f t="shared" si="12"/>
        <v>26.892000000000003</v>
      </c>
      <c r="N429">
        <f t="shared" si="13"/>
        <v>0</v>
      </c>
    </row>
    <row r="430" spans="1:14" x14ac:dyDescent="0.3">
      <c r="A430" s="69" t="s">
        <v>790</v>
      </c>
      <c r="B430" s="70">
        <v>3.5774999999999997</v>
      </c>
      <c r="K430" t="s">
        <v>678</v>
      </c>
      <c r="L430">
        <v>13.944000000000001</v>
      </c>
      <c r="M430">
        <f t="shared" si="12"/>
        <v>13.944000000000001</v>
      </c>
      <c r="N430">
        <f t="shared" si="13"/>
        <v>0</v>
      </c>
    </row>
    <row r="431" spans="1:14" x14ac:dyDescent="0.3">
      <c r="A431" s="69" t="s">
        <v>791</v>
      </c>
      <c r="B431" s="70">
        <v>3.5774999999999997</v>
      </c>
      <c r="K431" t="s">
        <v>679</v>
      </c>
      <c r="L431">
        <v>15.936</v>
      </c>
      <c r="M431">
        <f t="shared" si="12"/>
        <v>15.936000000000002</v>
      </c>
      <c r="N431">
        <f t="shared" si="13"/>
        <v>0</v>
      </c>
    </row>
    <row r="432" spans="1:14" x14ac:dyDescent="0.3">
      <c r="A432" s="69" t="s">
        <v>792</v>
      </c>
      <c r="B432" s="70">
        <v>32.967117500000001</v>
      </c>
      <c r="K432" t="s">
        <v>680</v>
      </c>
      <c r="L432">
        <v>16.931999999999999</v>
      </c>
      <c r="M432">
        <f t="shared" si="12"/>
        <v>16.932000000000002</v>
      </c>
      <c r="N432">
        <f t="shared" si="13"/>
        <v>0</v>
      </c>
    </row>
    <row r="433" spans="1:14" x14ac:dyDescent="0.3">
      <c r="A433" s="69" t="s">
        <v>793</v>
      </c>
      <c r="B433" s="70">
        <v>19.572901874999999</v>
      </c>
      <c r="K433" t="s">
        <v>681</v>
      </c>
      <c r="L433">
        <v>25.46</v>
      </c>
      <c r="M433">
        <f t="shared" si="12"/>
        <v>25.46</v>
      </c>
      <c r="N433">
        <f t="shared" si="13"/>
        <v>0</v>
      </c>
    </row>
    <row r="434" spans="1:14" x14ac:dyDescent="0.3">
      <c r="A434" s="69" t="s">
        <v>794</v>
      </c>
      <c r="B434" s="70">
        <v>16.652059000000001</v>
      </c>
      <c r="K434" t="s">
        <v>682</v>
      </c>
      <c r="L434">
        <v>34.840000000000003</v>
      </c>
      <c r="M434">
        <f t="shared" si="12"/>
        <v>34.840000000000003</v>
      </c>
      <c r="N434">
        <f t="shared" si="13"/>
        <v>0</v>
      </c>
    </row>
    <row r="435" spans="1:14" x14ac:dyDescent="0.3">
      <c r="A435" s="69" t="s">
        <v>795</v>
      </c>
      <c r="B435" s="70">
        <v>16.652059000000001</v>
      </c>
      <c r="K435" t="s">
        <v>683</v>
      </c>
      <c r="L435">
        <v>40.200000000000003</v>
      </c>
      <c r="M435">
        <f t="shared" si="12"/>
        <v>40.200000000000003</v>
      </c>
      <c r="N435">
        <f t="shared" si="13"/>
        <v>0</v>
      </c>
    </row>
    <row r="436" spans="1:14" x14ac:dyDescent="0.3">
      <c r="A436" s="69" t="s">
        <v>796</v>
      </c>
      <c r="B436" s="70">
        <v>19.769485499999998</v>
      </c>
      <c r="K436" t="s">
        <v>684</v>
      </c>
      <c r="L436">
        <v>22.78</v>
      </c>
      <c r="M436">
        <f t="shared" si="12"/>
        <v>22.78</v>
      </c>
      <c r="N436">
        <f t="shared" si="13"/>
        <v>0</v>
      </c>
    </row>
    <row r="437" spans="1:14" x14ac:dyDescent="0.3">
      <c r="A437" s="69" t="s">
        <v>797</v>
      </c>
      <c r="B437" s="70">
        <v>35.774999999999999</v>
      </c>
      <c r="K437" t="s">
        <v>685</v>
      </c>
      <c r="L437">
        <v>28.14</v>
      </c>
      <c r="M437">
        <f t="shared" si="12"/>
        <v>28.14</v>
      </c>
      <c r="N437">
        <f t="shared" si="13"/>
        <v>0</v>
      </c>
    </row>
    <row r="438" spans="1:14" x14ac:dyDescent="0.3">
      <c r="A438" s="69" t="s">
        <v>798</v>
      </c>
      <c r="B438" s="70">
        <v>2.5324999999999998</v>
      </c>
      <c r="K438" t="s">
        <v>686</v>
      </c>
      <c r="L438">
        <v>52.26</v>
      </c>
      <c r="M438">
        <f t="shared" si="12"/>
        <v>52.26</v>
      </c>
      <c r="N438">
        <f t="shared" si="13"/>
        <v>0</v>
      </c>
    </row>
    <row r="439" spans="1:14" x14ac:dyDescent="0.3">
      <c r="A439" s="69" t="s">
        <v>799</v>
      </c>
      <c r="B439" s="70">
        <v>3.5774999999999997</v>
      </c>
      <c r="K439" t="s">
        <v>687</v>
      </c>
      <c r="L439">
        <v>54.94</v>
      </c>
      <c r="M439">
        <f t="shared" si="12"/>
        <v>54.94</v>
      </c>
      <c r="N439">
        <f t="shared" si="13"/>
        <v>0</v>
      </c>
    </row>
    <row r="440" spans="1:14" x14ac:dyDescent="0.3">
      <c r="A440" s="69" t="s">
        <v>800</v>
      </c>
      <c r="B440" s="70">
        <v>3.5774999999999997</v>
      </c>
      <c r="K440" t="s">
        <v>688</v>
      </c>
      <c r="L440">
        <v>32.159999999999997</v>
      </c>
      <c r="M440">
        <f t="shared" si="12"/>
        <v>32.159999999999997</v>
      </c>
      <c r="N440">
        <f t="shared" si="13"/>
        <v>0</v>
      </c>
    </row>
    <row r="441" spans="1:14" x14ac:dyDescent="0.3">
      <c r="A441" s="69" t="s">
        <v>801</v>
      </c>
      <c r="B441" s="70">
        <v>3.5774999999999997</v>
      </c>
      <c r="K441" t="s">
        <v>689</v>
      </c>
      <c r="L441">
        <v>37.520000000000003</v>
      </c>
      <c r="M441">
        <f t="shared" si="12"/>
        <v>37.519999999999996</v>
      </c>
      <c r="N441">
        <f t="shared" si="13"/>
        <v>0</v>
      </c>
    </row>
    <row r="442" spans="1:14" x14ac:dyDescent="0.3">
      <c r="A442" s="69" t="s">
        <v>802</v>
      </c>
      <c r="B442" s="70">
        <v>14.309999999999999</v>
      </c>
      <c r="K442" t="s">
        <v>690</v>
      </c>
      <c r="L442">
        <v>96</v>
      </c>
      <c r="M442">
        <f t="shared" si="12"/>
        <v>96</v>
      </c>
      <c r="N442">
        <f t="shared" si="13"/>
        <v>0</v>
      </c>
    </row>
    <row r="443" spans="1:14" x14ac:dyDescent="0.3">
      <c r="A443" s="69" t="s">
        <v>803</v>
      </c>
      <c r="B443" s="70">
        <v>14.309999999999999</v>
      </c>
      <c r="K443" t="s">
        <v>691</v>
      </c>
      <c r="L443">
        <v>40.799999999999997</v>
      </c>
      <c r="M443">
        <f t="shared" si="12"/>
        <v>40.799999999999997</v>
      </c>
      <c r="N443">
        <f t="shared" si="13"/>
        <v>0</v>
      </c>
    </row>
    <row r="444" spans="1:14" x14ac:dyDescent="0.3">
      <c r="A444" s="69" t="s">
        <v>804</v>
      </c>
      <c r="B444" s="70">
        <v>3.5774999999999997</v>
      </c>
      <c r="K444" t="s">
        <v>692</v>
      </c>
      <c r="L444">
        <v>93.6</v>
      </c>
      <c r="M444">
        <f t="shared" si="12"/>
        <v>93.6</v>
      </c>
      <c r="N444">
        <f t="shared" si="13"/>
        <v>0</v>
      </c>
    </row>
    <row r="445" spans="1:14" x14ac:dyDescent="0.3">
      <c r="A445" s="69" t="s">
        <v>805</v>
      </c>
      <c r="B445" s="70">
        <v>42.93</v>
      </c>
      <c r="K445" t="s">
        <v>693</v>
      </c>
      <c r="L445">
        <v>6.202</v>
      </c>
      <c r="M445">
        <f t="shared" si="12"/>
        <v>6.2019999999999991</v>
      </c>
      <c r="N445">
        <f t="shared" si="13"/>
        <v>0</v>
      </c>
    </row>
    <row r="446" spans="1:14" x14ac:dyDescent="0.3">
      <c r="A446" s="69" t="s">
        <v>806</v>
      </c>
      <c r="B446" s="70">
        <v>3.5774999999999997</v>
      </c>
      <c r="K446" t="s">
        <v>694</v>
      </c>
      <c r="L446">
        <v>7.5309999999999997</v>
      </c>
      <c r="M446">
        <f t="shared" si="12"/>
        <v>7.5309999999999997</v>
      </c>
      <c r="N446">
        <f t="shared" si="13"/>
        <v>0</v>
      </c>
    </row>
    <row r="447" spans="1:14" x14ac:dyDescent="0.3">
      <c r="A447" s="69" t="s">
        <v>807</v>
      </c>
      <c r="B447" s="70">
        <v>10.732499999999998</v>
      </c>
      <c r="K447" t="s">
        <v>695</v>
      </c>
      <c r="L447">
        <v>7.0880000000000001</v>
      </c>
      <c r="M447">
        <f t="shared" si="12"/>
        <v>7.0880000000000001</v>
      </c>
      <c r="N447">
        <f t="shared" si="13"/>
        <v>0</v>
      </c>
    </row>
    <row r="448" spans="1:14" x14ac:dyDescent="0.3">
      <c r="A448" s="69" t="s">
        <v>808</v>
      </c>
      <c r="B448" s="70">
        <v>3.5774999999999997</v>
      </c>
      <c r="K448" t="s">
        <v>696</v>
      </c>
      <c r="L448">
        <v>6.202</v>
      </c>
      <c r="M448">
        <f t="shared" si="12"/>
        <v>6.2019999999999991</v>
      </c>
      <c r="N448">
        <f t="shared" si="13"/>
        <v>0</v>
      </c>
    </row>
    <row r="449" spans="1:14" x14ac:dyDescent="0.3">
      <c r="A449" s="69" t="s">
        <v>809</v>
      </c>
      <c r="B449" s="70">
        <v>3.5774999999999997</v>
      </c>
      <c r="K449" t="s">
        <v>697</v>
      </c>
      <c r="L449">
        <v>13.944000000000001</v>
      </c>
      <c r="M449">
        <f t="shared" si="12"/>
        <v>13.944000000000001</v>
      </c>
      <c r="N449">
        <f t="shared" si="13"/>
        <v>0</v>
      </c>
    </row>
    <row r="450" spans="1:14" x14ac:dyDescent="0.3">
      <c r="A450" s="69" t="s">
        <v>810</v>
      </c>
      <c r="B450" s="70">
        <v>35.774999999999999</v>
      </c>
      <c r="K450" t="s">
        <v>698</v>
      </c>
      <c r="L450">
        <v>14.94</v>
      </c>
      <c r="M450">
        <f t="shared" si="12"/>
        <v>29.880000000000003</v>
      </c>
      <c r="N450">
        <f t="shared" si="13"/>
        <v>-14.940000000000003</v>
      </c>
    </row>
    <row r="451" spans="1:14" x14ac:dyDescent="0.3">
      <c r="A451" s="69" t="s">
        <v>811</v>
      </c>
      <c r="B451" s="70">
        <v>7.1549999999999994</v>
      </c>
      <c r="K451" t="s">
        <v>698</v>
      </c>
      <c r="L451">
        <v>14.94</v>
      </c>
      <c r="M451">
        <f t="shared" ref="M451:M514" si="14">_xlfn.XLOOKUP(K451,A:A,B:B)</f>
        <v>29.880000000000003</v>
      </c>
      <c r="N451">
        <f t="shared" ref="N451:N514" si="15">L451-M451</f>
        <v>-14.940000000000003</v>
      </c>
    </row>
    <row r="452" spans="1:14" x14ac:dyDescent="0.3">
      <c r="A452" s="69" t="s">
        <v>812</v>
      </c>
      <c r="B452" s="70">
        <v>3.5774999999999997</v>
      </c>
      <c r="K452" t="s">
        <v>699</v>
      </c>
      <c r="L452">
        <v>16.931999999999999</v>
      </c>
      <c r="M452">
        <f t="shared" si="14"/>
        <v>16.932000000000002</v>
      </c>
      <c r="N452">
        <f t="shared" si="15"/>
        <v>0</v>
      </c>
    </row>
    <row r="453" spans="1:14" x14ac:dyDescent="0.3">
      <c r="A453" s="69" t="s">
        <v>813</v>
      </c>
      <c r="B453" s="70">
        <v>3.5774999999999997</v>
      </c>
      <c r="K453" t="s">
        <v>700</v>
      </c>
      <c r="L453">
        <v>18.923999999999999</v>
      </c>
      <c r="M453">
        <f t="shared" si="14"/>
        <v>18.923999999999999</v>
      </c>
      <c r="N453">
        <f t="shared" si="15"/>
        <v>0</v>
      </c>
    </row>
    <row r="454" spans="1:14" x14ac:dyDescent="0.3">
      <c r="A454" s="69" t="s">
        <v>814</v>
      </c>
      <c r="B454" s="70">
        <v>3.5774999999999997</v>
      </c>
      <c r="K454" t="s">
        <v>701</v>
      </c>
      <c r="L454">
        <v>26.891999999999999</v>
      </c>
      <c r="M454">
        <f t="shared" si="14"/>
        <v>26.892000000000003</v>
      </c>
      <c r="N454">
        <f t="shared" si="15"/>
        <v>0</v>
      </c>
    </row>
    <row r="455" spans="1:14" x14ac:dyDescent="0.3">
      <c r="A455" s="69" t="s">
        <v>815</v>
      </c>
      <c r="B455" s="70">
        <v>3.5774999999999997</v>
      </c>
      <c r="K455" t="s">
        <v>702</v>
      </c>
      <c r="L455">
        <v>17.928000000000001</v>
      </c>
      <c r="M455">
        <f t="shared" si="14"/>
        <v>17.928000000000001</v>
      </c>
      <c r="N455">
        <f t="shared" si="15"/>
        <v>0</v>
      </c>
    </row>
    <row r="456" spans="1:14" x14ac:dyDescent="0.3">
      <c r="A456" s="69" t="s">
        <v>816</v>
      </c>
      <c r="B456" s="70">
        <v>79.344999999999985</v>
      </c>
      <c r="K456" t="s">
        <v>703</v>
      </c>
      <c r="L456">
        <v>16.931999999999999</v>
      </c>
      <c r="M456">
        <f t="shared" si="14"/>
        <v>16.932000000000002</v>
      </c>
      <c r="N456">
        <f t="shared" si="15"/>
        <v>0</v>
      </c>
    </row>
    <row r="457" spans="1:14" x14ac:dyDescent="0.3">
      <c r="A457" s="69" t="s">
        <v>817</v>
      </c>
      <c r="B457" s="70">
        <v>3.5774999999999997</v>
      </c>
      <c r="K457" t="s">
        <v>704</v>
      </c>
      <c r="L457">
        <v>22.908000000000001</v>
      </c>
      <c r="M457">
        <f t="shared" si="14"/>
        <v>68.724000000000004</v>
      </c>
      <c r="N457">
        <f t="shared" si="15"/>
        <v>-45.816000000000003</v>
      </c>
    </row>
    <row r="458" spans="1:14" x14ac:dyDescent="0.3">
      <c r="A458" s="69" t="s">
        <v>818</v>
      </c>
      <c r="B458" s="70">
        <v>17.002499999999998</v>
      </c>
      <c r="K458" t="s">
        <v>704</v>
      </c>
      <c r="L458">
        <v>22.908000000000001</v>
      </c>
      <c r="M458">
        <f t="shared" si="14"/>
        <v>68.724000000000004</v>
      </c>
      <c r="N458">
        <f t="shared" si="15"/>
        <v>-45.816000000000003</v>
      </c>
    </row>
    <row r="459" spans="1:14" x14ac:dyDescent="0.3">
      <c r="A459" s="69" t="s">
        <v>819</v>
      </c>
      <c r="B459" s="70">
        <v>5.6674999999999995</v>
      </c>
      <c r="K459" t="s">
        <v>704</v>
      </c>
      <c r="L459">
        <v>22.908000000000001</v>
      </c>
      <c r="M459">
        <f t="shared" si="14"/>
        <v>68.724000000000004</v>
      </c>
      <c r="N459">
        <f t="shared" si="15"/>
        <v>-45.816000000000003</v>
      </c>
    </row>
    <row r="460" spans="1:14" x14ac:dyDescent="0.3">
      <c r="A460" s="69" t="s">
        <v>820</v>
      </c>
      <c r="B460" s="70">
        <v>5.6674999999999995</v>
      </c>
      <c r="K460" t="s">
        <v>705</v>
      </c>
      <c r="L460">
        <v>19.920000000000002</v>
      </c>
      <c r="M460">
        <f t="shared" si="14"/>
        <v>19.920000000000002</v>
      </c>
      <c r="N460">
        <f t="shared" si="15"/>
        <v>0</v>
      </c>
    </row>
    <row r="461" spans="1:14" x14ac:dyDescent="0.3">
      <c r="A461" s="69" t="s">
        <v>821</v>
      </c>
      <c r="B461" s="70">
        <v>79.344999999999985</v>
      </c>
      <c r="K461" t="s">
        <v>706</v>
      </c>
      <c r="L461">
        <v>16.931999999999999</v>
      </c>
      <c r="M461">
        <f t="shared" si="14"/>
        <v>16.932000000000002</v>
      </c>
      <c r="N461">
        <f t="shared" si="15"/>
        <v>0</v>
      </c>
    </row>
    <row r="462" spans="1:14" x14ac:dyDescent="0.3">
      <c r="A462" s="69" t="s">
        <v>822</v>
      </c>
      <c r="B462" s="70">
        <v>5.6674999999999995</v>
      </c>
      <c r="K462" t="s">
        <v>707</v>
      </c>
      <c r="L462">
        <v>18.923999999999999</v>
      </c>
      <c r="M462">
        <f t="shared" si="14"/>
        <v>18.923999999999999</v>
      </c>
      <c r="N462">
        <f t="shared" si="15"/>
        <v>0</v>
      </c>
    </row>
    <row r="463" spans="1:14" x14ac:dyDescent="0.3">
      <c r="A463" s="69" t="s">
        <v>823</v>
      </c>
      <c r="B463" s="70">
        <v>11.334999999999999</v>
      </c>
      <c r="K463" t="s">
        <v>708</v>
      </c>
      <c r="L463">
        <v>44.82</v>
      </c>
      <c r="M463">
        <f t="shared" si="14"/>
        <v>44.820000000000007</v>
      </c>
      <c r="N463">
        <f t="shared" si="15"/>
        <v>0</v>
      </c>
    </row>
    <row r="464" spans="1:14" x14ac:dyDescent="0.3">
      <c r="A464" s="69" t="s">
        <v>824</v>
      </c>
      <c r="B464" s="70">
        <v>5.6674999999999995</v>
      </c>
      <c r="K464" t="s">
        <v>709</v>
      </c>
      <c r="L464">
        <v>19.920000000000002</v>
      </c>
      <c r="M464">
        <f t="shared" si="14"/>
        <v>19.920000000000002</v>
      </c>
      <c r="N464">
        <f t="shared" si="15"/>
        <v>0</v>
      </c>
    </row>
    <row r="465" spans="1:14" x14ac:dyDescent="0.3">
      <c r="A465" s="69" t="s">
        <v>825</v>
      </c>
      <c r="B465" s="70">
        <v>5.6674999999999995</v>
      </c>
      <c r="K465" t="s">
        <v>710</v>
      </c>
      <c r="L465">
        <v>46.811999999999998</v>
      </c>
      <c r="M465">
        <f t="shared" si="14"/>
        <v>46.812000000000005</v>
      </c>
      <c r="N465">
        <f t="shared" si="15"/>
        <v>0</v>
      </c>
    </row>
    <row r="466" spans="1:14" x14ac:dyDescent="0.3">
      <c r="A466" s="69" t="s">
        <v>826</v>
      </c>
      <c r="B466" s="70">
        <v>5.6674999999999995</v>
      </c>
      <c r="K466" t="s">
        <v>711</v>
      </c>
      <c r="L466">
        <v>23.904</v>
      </c>
      <c r="M466">
        <f t="shared" si="14"/>
        <v>23.904</v>
      </c>
      <c r="N466">
        <f t="shared" si="15"/>
        <v>0</v>
      </c>
    </row>
    <row r="467" spans="1:14" x14ac:dyDescent="0.3">
      <c r="A467" s="69" t="s">
        <v>827</v>
      </c>
      <c r="B467" s="70">
        <v>68.010000000000005</v>
      </c>
      <c r="K467" t="s">
        <v>712</v>
      </c>
      <c r="L467">
        <v>25.896000000000001</v>
      </c>
      <c r="M467">
        <f t="shared" si="14"/>
        <v>25.896000000000004</v>
      </c>
      <c r="N467">
        <f t="shared" si="15"/>
        <v>0</v>
      </c>
    </row>
    <row r="468" spans="1:14" x14ac:dyDescent="0.3">
      <c r="A468" s="69" t="s">
        <v>828</v>
      </c>
      <c r="B468" s="70">
        <v>17.002499999999998</v>
      </c>
      <c r="K468" t="s">
        <v>713</v>
      </c>
      <c r="L468">
        <v>14.74</v>
      </c>
      <c r="M468">
        <f t="shared" si="14"/>
        <v>14.739999999999998</v>
      </c>
      <c r="N468">
        <f t="shared" si="15"/>
        <v>0</v>
      </c>
    </row>
    <row r="469" spans="1:14" x14ac:dyDescent="0.3">
      <c r="A469" s="69" t="s">
        <v>829</v>
      </c>
      <c r="B469" s="70">
        <v>5.6674999999999995</v>
      </c>
      <c r="K469" t="s">
        <v>714</v>
      </c>
      <c r="L469">
        <v>33.6</v>
      </c>
      <c r="M469">
        <f t="shared" si="14"/>
        <v>33.6</v>
      </c>
      <c r="N469">
        <f t="shared" si="15"/>
        <v>0</v>
      </c>
    </row>
    <row r="470" spans="1:14" x14ac:dyDescent="0.3">
      <c r="A470" s="69" t="s">
        <v>830</v>
      </c>
      <c r="B470" s="70">
        <v>5.6674999999999995</v>
      </c>
      <c r="K470" t="s">
        <v>715</v>
      </c>
      <c r="L470">
        <v>36</v>
      </c>
      <c r="M470">
        <f t="shared" si="14"/>
        <v>36</v>
      </c>
      <c r="N470">
        <f t="shared" si="15"/>
        <v>0</v>
      </c>
    </row>
    <row r="471" spans="1:14" x14ac:dyDescent="0.3">
      <c r="A471" s="69" t="s">
        <v>831</v>
      </c>
      <c r="B471" s="70">
        <v>39.672499999999992</v>
      </c>
      <c r="K471" t="s">
        <v>716</v>
      </c>
      <c r="L471">
        <v>38.4</v>
      </c>
      <c r="M471">
        <f t="shared" si="14"/>
        <v>38.400000000000006</v>
      </c>
      <c r="N471">
        <f t="shared" si="15"/>
        <v>0</v>
      </c>
    </row>
    <row r="472" spans="1:14" x14ac:dyDescent="0.3">
      <c r="A472" s="69" t="s">
        <v>832</v>
      </c>
      <c r="B472" s="70">
        <v>5.6674999999999995</v>
      </c>
      <c r="K472" t="s">
        <v>717</v>
      </c>
      <c r="L472">
        <v>3.7440000000000002</v>
      </c>
      <c r="M472">
        <f t="shared" si="14"/>
        <v>7.4879999999999995</v>
      </c>
      <c r="N472">
        <f t="shared" si="15"/>
        <v>-3.7439999999999993</v>
      </c>
    </row>
    <row r="473" spans="1:14" x14ac:dyDescent="0.3">
      <c r="A473" s="69" t="s">
        <v>833</v>
      </c>
      <c r="B473" s="70">
        <v>5.6674999999999995</v>
      </c>
      <c r="K473" t="s">
        <v>717</v>
      </c>
      <c r="L473">
        <v>3.7440000000000002</v>
      </c>
      <c r="M473">
        <f t="shared" si="14"/>
        <v>7.4879999999999995</v>
      </c>
      <c r="N473">
        <f t="shared" si="15"/>
        <v>-3.7439999999999993</v>
      </c>
    </row>
    <row r="474" spans="1:14" x14ac:dyDescent="0.3">
      <c r="A474" s="69" t="s">
        <v>834</v>
      </c>
      <c r="B474" s="70">
        <v>8.8652000000000015</v>
      </c>
      <c r="K474" t="s">
        <v>718</v>
      </c>
      <c r="L474">
        <v>4.68</v>
      </c>
      <c r="M474">
        <f t="shared" si="14"/>
        <v>32.76</v>
      </c>
      <c r="N474">
        <f t="shared" si="15"/>
        <v>-28.08</v>
      </c>
    </row>
    <row r="475" spans="1:14" x14ac:dyDescent="0.3">
      <c r="A475" s="69" t="s">
        <v>835</v>
      </c>
      <c r="B475" s="70">
        <v>7.1549999999999994</v>
      </c>
      <c r="K475" t="s">
        <v>718</v>
      </c>
      <c r="L475">
        <v>4.68</v>
      </c>
      <c r="M475">
        <f t="shared" si="14"/>
        <v>32.76</v>
      </c>
      <c r="N475">
        <f t="shared" si="15"/>
        <v>-28.08</v>
      </c>
    </row>
    <row r="476" spans="1:14" x14ac:dyDescent="0.3">
      <c r="A476" s="69" t="s">
        <v>836</v>
      </c>
      <c r="B476" s="70">
        <v>16.48355875</v>
      </c>
      <c r="K476" t="s">
        <v>718</v>
      </c>
      <c r="L476">
        <v>4.68</v>
      </c>
      <c r="M476">
        <f t="shared" si="14"/>
        <v>32.76</v>
      </c>
      <c r="N476">
        <f t="shared" si="15"/>
        <v>-28.08</v>
      </c>
    </row>
    <row r="477" spans="1:14" x14ac:dyDescent="0.3">
      <c r="A477" s="69" t="s">
        <v>837</v>
      </c>
      <c r="B477" s="70">
        <v>16.48355875</v>
      </c>
      <c r="K477" t="s">
        <v>718</v>
      </c>
      <c r="L477">
        <v>4.68</v>
      </c>
      <c r="M477">
        <f t="shared" si="14"/>
        <v>32.76</v>
      </c>
      <c r="N477">
        <f t="shared" si="15"/>
        <v>-28.08</v>
      </c>
    </row>
    <row r="478" spans="1:14" x14ac:dyDescent="0.3">
      <c r="A478" s="69" t="s">
        <v>838</v>
      </c>
      <c r="B478" s="70">
        <v>16.652059000000001</v>
      </c>
      <c r="K478" t="s">
        <v>718</v>
      </c>
      <c r="L478">
        <v>4.68</v>
      </c>
      <c r="M478">
        <f t="shared" si="14"/>
        <v>32.76</v>
      </c>
      <c r="N478">
        <f t="shared" si="15"/>
        <v>-28.08</v>
      </c>
    </row>
    <row r="479" spans="1:14" x14ac:dyDescent="0.3">
      <c r="A479" s="69" t="s">
        <v>839</v>
      </c>
      <c r="B479" s="70">
        <v>16.652059000000001</v>
      </c>
      <c r="K479" t="s">
        <v>718</v>
      </c>
      <c r="L479">
        <v>4.68</v>
      </c>
      <c r="M479">
        <f t="shared" si="14"/>
        <v>32.76</v>
      </c>
      <c r="N479">
        <f t="shared" si="15"/>
        <v>-28.08</v>
      </c>
    </row>
    <row r="480" spans="1:14" x14ac:dyDescent="0.3">
      <c r="A480" s="69" t="s">
        <v>840</v>
      </c>
      <c r="B480" s="70">
        <v>16.921235500000002</v>
      </c>
      <c r="K480" t="s">
        <v>718</v>
      </c>
      <c r="L480">
        <v>4.68</v>
      </c>
      <c r="M480">
        <f t="shared" si="14"/>
        <v>32.76</v>
      </c>
      <c r="N480">
        <f t="shared" si="15"/>
        <v>-28.08</v>
      </c>
    </row>
    <row r="481" spans="1:14" x14ac:dyDescent="0.3">
      <c r="A481" s="69" t="s">
        <v>841</v>
      </c>
      <c r="B481" s="70">
        <v>18.008915999999999</v>
      </c>
      <c r="K481" t="s">
        <v>719</v>
      </c>
      <c r="L481">
        <v>5.6159999999999997</v>
      </c>
      <c r="M481">
        <f t="shared" si="14"/>
        <v>11.231999999999999</v>
      </c>
      <c r="N481">
        <f t="shared" si="15"/>
        <v>-5.6159999999999997</v>
      </c>
    </row>
    <row r="482" spans="1:14" x14ac:dyDescent="0.3">
      <c r="A482" s="69" t="s">
        <v>842</v>
      </c>
      <c r="B482" s="70">
        <v>18.008915999999999</v>
      </c>
      <c r="K482" t="s">
        <v>719</v>
      </c>
      <c r="L482">
        <v>5.6159999999999997</v>
      </c>
      <c r="M482">
        <f t="shared" si="14"/>
        <v>11.231999999999999</v>
      </c>
      <c r="N482">
        <f t="shared" si="15"/>
        <v>-5.6159999999999997</v>
      </c>
    </row>
    <row r="483" spans="1:14" x14ac:dyDescent="0.3">
      <c r="A483" s="69" t="s">
        <v>843</v>
      </c>
      <c r="B483" s="70">
        <v>21.464999999999996</v>
      </c>
      <c r="K483" t="s">
        <v>720</v>
      </c>
      <c r="L483">
        <v>6.5519999999999996</v>
      </c>
      <c r="M483">
        <f t="shared" si="14"/>
        <v>13.103999999999999</v>
      </c>
      <c r="N483">
        <f t="shared" si="15"/>
        <v>-6.5519999999999996</v>
      </c>
    </row>
    <row r="484" spans="1:14" x14ac:dyDescent="0.3">
      <c r="A484" s="69" t="s">
        <v>844</v>
      </c>
      <c r="B484" s="70">
        <v>3.5774999999999997</v>
      </c>
      <c r="K484" t="s">
        <v>720</v>
      </c>
      <c r="L484">
        <v>6.5519999999999996</v>
      </c>
      <c r="M484">
        <f t="shared" si="14"/>
        <v>13.103999999999999</v>
      </c>
      <c r="N484">
        <f t="shared" si="15"/>
        <v>-6.5519999999999996</v>
      </c>
    </row>
    <row r="485" spans="1:14" x14ac:dyDescent="0.3">
      <c r="A485" s="69" t="s">
        <v>845</v>
      </c>
      <c r="B485" s="70">
        <v>18.72672</v>
      </c>
      <c r="K485" t="s">
        <v>721</v>
      </c>
      <c r="L485">
        <v>7.4880000000000004</v>
      </c>
      <c r="M485">
        <f t="shared" si="14"/>
        <v>7.4879999999999995</v>
      </c>
      <c r="N485">
        <f t="shared" si="15"/>
        <v>0</v>
      </c>
    </row>
    <row r="486" spans="1:14" x14ac:dyDescent="0.3">
      <c r="A486" s="69" t="s">
        <v>846</v>
      </c>
      <c r="B486" s="70">
        <v>20.857524000000002</v>
      </c>
      <c r="K486" t="s">
        <v>722</v>
      </c>
      <c r="L486">
        <v>8.4239999999999995</v>
      </c>
      <c r="M486">
        <f t="shared" si="14"/>
        <v>33.695999999999998</v>
      </c>
      <c r="N486">
        <f t="shared" si="15"/>
        <v>-25.271999999999998</v>
      </c>
    </row>
    <row r="487" spans="1:14" x14ac:dyDescent="0.3">
      <c r="A487" s="69" t="s">
        <v>847</v>
      </c>
      <c r="B487" s="70">
        <v>10.732499999999998</v>
      </c>
      <c r="K487" t="s">
        <v>722</v>
      </c>
      <c r="L487">
        <v>8.4239999999999995</v>
      </c>
      <c r="M487">
        <f t="shared" si="14"/>
        <v>33.695999999999998</v>
      </c>
      <c r="N487">
        <f t="shared" si="15"/>
        <v>-25.271999999999998</v>
      </c>
    </row>
    <row r="488" spans="1:14" x14ac:dyDescent="0.3">
      <c r="A488" s="69" t="s">
        <v>848</v>
      </c>
      <c r="B488" s="70">
        <v>3.5774999999999997</v>
      </c>
      <c r="K488" t="s">
        <v>722</v>
      </c>
      <c r="L488">
        <v>8.4239999999999995</v>
      </c>
      <c r="M488">
        <f t="shared" si="14"/>
        <v>33.695999999999998</v>
      </c>
      <c r="N488">
        <f t="shared" si="15"/>
        <v>-25.271999999999998</v>
      </c>
    </row>
    <row r="489" spans="1:14" x14ac:dyDescent="0.3">
      <c r="A489" s="69" t="s">
        <v>849</v>
      </c>
      <c r="B489" s="70">
        <v>34.004999999999988</v>
      </c>
      <c r="K489" t="s">
        <v>722</v>
      </c>
      <c r="L489">
        <v>8.4239999999999995</v>
      </c>
      <c r="M489">
        <f t="shared" si="14"/>
        <v>33.695999999999998</v>
      </c>
      <c r="N489">
        <f t="shared" si="15"/>
        <v>-25.271999999999998</v>
      </c>
    </row>
    <row r="490" spans="1:14" x14ac:dyDescent="0.3">
      <c r="A490" s="69" t="s">
        <v>850</v>
      </c>
      <c r="B490" s="70">
        <v>34.004999999999988</v>
      </c>
      <c r="K490" t="s">
        <v>723</v>
      </c>
      <c r="L490">
        <v>9.36</v>
      </c>
      <c r="M490">
        <f t="shared" si="14"/>
        <v>9.36</v>
      </c>
      <c r="N490">
        <f t="shared" si="15"/>
        <v>0</v>
      </c>
    </row>
    <row r="491" spans="1:14" x14ac:dyDescent="0.3">
      <c r="A491" s="69" t="s">
        <v>851</v>
      </c>
      <c r="B491" s="70">
        <v>34.004999999999988</v>
      </c>
      <c r="K491" t="s">
        <v>724</v>
      </c>
      <c r="L491">
        <v>10.295999999999999</v>
      </c>
      <c r="M491">
        <f t="shared" si="14"/>
        <v>30.887999999999998</v>
      </c>
      <c r="N491">
        <f t="shared" si="15"/>
        <v>-20.591999999999999</v>
      </c>
    </row>
    <row r="492" spans="1:14" x14ac:dyDescent="0.3">
      <c r="A492" s="69" t="s">
        <v>852</v>
      </c>
      <c r="B492" s="70">
        <v>5.6674999999999995</v>
      </c>
      <c r="K492" t="s">
        <v>724</v>
      </c>
      <c r="L492">
        <v>10.295999999999999</v>
      </c>
      <c r="M492">
        <f t="shared" si="14"/>
        <v>30.887999999999998</v>
      </c>
      <c r="N492">
        <f t="shared" si="15"/>
        <v>-20.591999999999999</v>
      </c>
    </row>
    <row r="493" spans="1:14" x14ac:dyDescent="0.3">
      <c r="A493" s="69" t="s">
        <v>853</v>
      </c>
      <c r="B493" s="70">
        <v>5.6674999999999995</v>
      </c>
      <c r="K493" t="s">
        <v>724</v>
      </c>
      <c r="L493">
        <v>10.295999999999999</v>
      </c>
      <c r="M493">
        <f t="shared" si="14"/>
        <v>30.887999999999998</v>
      </c>
      <c r="N493">
        <f t="shared" si="15"/>
        <v>-20.591999999999999</v>
      </c>
    </row>
    <row r="494" spans="1:14" x14ac:dyDescent="0.3">
      <c r="A494" s="69" t="s">
        <v>854</v>
      </c>
      <c r="B494" s="70">
        <v>6.7124999999999995</v>
      </c>
      <c r="K494" t="s">
        <v>725</v>
      </c>
      <c r="L494">
        <v>11.231999999999999</v>
      </c>
      <c r="M494">
        <f t="shared" si="14"/>
        <v>22.463999999999999</v>
      </c>
      <c r="N494">
        <f t="shared" si="15"/>
        <v>-11.231999999999999</v>
      </c>
    </row>
    <row r="495" spans="1:14" x14ac:dyDescent="0.3">
      <c r="A495" s="69" t="s">
        <v>855</v>
      </c>
      <c r="B495" s="70">
        <v>28.337499999999991</v>
      </c>
      <c r="K495" t="s">
        <v>725</v>
      </c>
      <c r="L495">
        <v>11.231999999999999</v>
      </c>
      <c r="M495">
        <f t="shared" si="14"/>
        <v>22.463999999999999</v>
      </c>
      <c r="N495">
        <f t="shared" si="15"/>
        <v>-11.231999999999999</v>
      </c>
    </row>
    <row r="496" spans="1:14" x14ac:dyDescent="0.3">
      <c r="A496" s="69" t="s">
        <v>856</v>
      </c>
      <c r="B496" s="70">
        <v>5.6674999999999995</v>
      </c>
      <c r="K496" t="s">
        <v>726</v>
      </c>
      <c r="L496">
        <v>12.167999999999999</v>
      </c>
      <c r="M496">
        <f t="shared" si="14"/>
        <v>12.167999999999999</v>
      </c>
      <c r="N496">
        <f t="shared" si="15"/>
        <v>0</v>
      </c>
    </row>
    <row r="497" spans="1:14" x14ac:dyDescent="0.3">
      <c r="A497" s="69" t="s">
        <v>857</v>
      </c>
      <c r="B497" s="70">
        <v>6.7124999999999995</v>
      </c>
      <c r="K497" t="s">
        <v>727</v>
      </c>
      <c r="L497">
        <v>2.68</v>
      </c>
      <c r="M497">
        <f t="shared" si="14"/>
        <v>2.68</v>
      </c>
      <c r="N497">
        <f t="shared" si="15"/>
        <v>0</v>
      </c>
    </row>
    <row r="498" spans="1:14" x14ac:dyDescent="0.3">
      <c r="A498" s="69" t="s">
        <v>858</v>
      </c>
      <c r="B498" s="70">
        <v>3.5774999999999997</v>
      </c>
      <c r="K498" t="s">
        <v>728</v>
      </c>
      <c r="L498">
        <v>6.7</v>
      </c>
      <c r="M498">
        <f t="shared" si="14"/>
        <v>20.100000000000001</v>
      </c>
      <c r="N498">
        <f t="shared" si="15"/>
        <v>-13.400000000000002</v>
      </c>
    </row>
    <row r="499" spans="1:14" x14ac:dyDescent="0.3">
      <c r="A499" s="69" t="s">
        <v>859</v>
      </c>
      <c r="B499" s="70">
        <v>3.5774999999999997</v>
      </c>
      <c r="K499" t="s">
        <v>728</v>
      </c>
      <c r="L499">
        <v>6.7</v>
      </c>
      <c r="M499">
        <f t="shared" si="14"/>
        <v>20.100000000000001</v>
      </c>
      <c r="N499">
        <f t="shared" si="15"/>
        <v>-13.400000000000002</v>
      </c>
    </row>
    <row r="500" spans="1:14" x14ac:dyDescent="0.3">
      <c r="A500" s="69" t="s">
        <v>860</v>
      </c>
      <c r="B500" s="70">
        <v>3.5774999999999997</v>
      </c>
      <c r="K500" t="s">
        <v>728</v>
      </c>
      <c r="L500">
        <v>6.7</v>
      </c>
      <c r="M500">
        <f t="shared" si="14"/>
        <v>20.100000000000001</v>
      </c>
      <c r="N500">
        <f t="shared" si="15"/>
        <v>-13.400000000000002</v>
      </c>
    </row>
    <row r="501" spans="1:14" x14ac:dyDescent="0.3">
      <c r="A501" s="69" t="s">
        <v>861</v>
      </c>
      <c r="B501" s="70">
        <v>11.334999999999999</v>
      </c>
      <c r="K501" t="s">
        <v>729</v>
      </c>
      <c r="L501">
        <v>8.0399999999999991</v>
      </c>
      <c r="M501">
        <f t="shared" si="14"/>
        <v>24.119999999999997</v>
      </c>
      <c r="N501">
        <f t="shared" si="15"/>
        <v>-16.079999999999998</v>
      </c>
    </row>
    <row r="502" spans="1:14" x14ac:dyDescent="0.3">
      <c r="A502" s="69" t="s">
        <v>862</v>
      </c>
      <c r="B502" s="70">
        <v>3.5774999999999997</v>
      </c>
      <c r="K502" t="s">
        <v>729</v>
      </c>
      <c r="L502">
        <v>8.0399999999999991</v>
      </c>
      <c r="M502">
        <f t="shared" si="14"/>
        <v>24.119999999999997</v>
      </c>
      <c r="N502">
        <f t="shared" si="15"/>
        <v>-16.079999999999998</v>
      </c>
    </row>
    <row r="503" spans="1:14" x14ac:dyDescent="0.3">
      <c r="A503" s="69" t="s">
        <v>863</v>
      </c>
      <c r="B503" s="70">
        <v>3</v>
      </c>
      <c r="K503" t="s">
        <v>729</v>
      </c>
      <c r="L503">
        <v>8.0399999999999991</v>
      </c>
      <c r="M503">
        <f t="shared" si="14"/>
        <v>24.119999999999997</v>
      </c>
      <c r="N503">
        <f t="shared" si="15"/>
        <v>-16.079999999999998</v>
      </c>
    </row>
    <row r="504" spans="1:14" x14ac:dyDescent="0.3">
      <c r="A504" s="69" t="s">
        <v>864</v>
      </c>
      <c r="B504" s="70">
        <v>1</v>
      </c>
      <c r="K504" t="s">
        <v>730</v>
      </c>
      <c r="L504">
        <v>9.3800000000000008</v>
      </c>
      <c r="M504">
        <f t="shared" si="14"/>
        <v>9.379999999999999</v>
      </c>
      <c r="N504">
        <f t="shared" si="15"/>
        <v>0</v>
      </c>
    </row>
    <row r="505" spans="1:14" x14ac:dyDescent="0.3">
      <c r="A505" s="69" t="s">
        <v>865</v>
      </c>
      <c r="B505" s="70">
        <v>1</v>
      </c>
      <c r="K505" t="s">
        <v>731</v>
      </c>
      <c r="L505">
        <v>10.72</v>
      </c>
      <c r="M505">
        <f t="shared" si="14"/>
        <v>10.72</v>
      </c>
      <c r="N505">
        <f t="shared" si="15"/>
        <v>0</v>
      </c>
    </row>
    <row r="506" spans="1:14" x14ac:dyDescent="0.3">
      <c r="A506" s="69" t="s">
        <v>866</v>
      </c>
      <c r="B506" s="70">
        <v>1</v>
      </c>
      <c r="K506" t="s">
        <v>732</v>
      </c>
      <c r="L506">
        <v>12.06</v>
      </c>
      <c r="M506">
        <f t="shared" si="14"/>
        <v>24.12</v>
      </c>
      <c r="N506">
        <f t="shared" si="15"/>
        <v>-12.06</v>
      </c>
    </row>
    <row r="507" spans="1:14" x14ac:dyDescent="0.3">
      <c r="A507" s="69" t="s">
        <v>867</v>
      </c>
      <c r="B507" s="70">
        <v>1</v>
      </c>
      <c r="K507" t="s">
        <v>732</v>
      </c>
      <c r="L507">
        <v>12.06</v>
      </c>
      <c r="M507">
        <f t="shared" si="14"/>
        <v>24.12</v>
      </c>
      <c r="N507">
        <f t="shared" si="15"/>
        <v>-12.06</v>
      </c>
    </row>
    <row r="508" spans="1:14" x14ac:dyDescent="0.3">
      <c r="A508" s="69" t="s">
        <v>868</v>
      </c>
      <c r="B508" s="70">
        <v>4</v>
      </c>
      <c r="K508" t="s">
        <v>733</v>
      </c>
      <c r="L508">
        <v>7.2</v>
      </c>
      <c r="M508">
        <f t="shared" si="14"/>
        <v>7.1999999999999993</v>
      </c>
      <c r="N508">
        <f t="shared" si="15"/>
        <v>0</v>
      </c>
    </row>
    <row r="509" spans="1:14" x14ac:dyDescent="0.3">
      <c r="A509" s="69" t="s">
        <v>869</v>
      </c>
      <c r="B509" s="70">
        <v>1.2434399999999999</v>
      </c>
      <c r="K509" t="s">
        <v>734</v>
      </c>
      <c r="L509">
        <v>9.6</v>
      </c>
      <c r="M509">
        <f t="shared" si="14"/>
        <v>19.200000000000003</v>
      </c>
      <c r="N509">
        <f t="shared" si="15"/>
        <v>-9.6000000000000032</v>
      </c>
    </row>
    <row r="510" spans="1:14" x14ac:dyDescent="0.3">
      <c r="A510" s="69" t="s">
        <v>870</v>
      </c>
      <c r="B510" s="70">
        <v>0.20935199999999998</v>
      </c>
      <c r="K510" t="s">
        <v>734</v>
      </c>
      <c r="L510">
        <v>9.6</v>
      </c>
      <c r="M510">
        <f t="shared" si="14"/>
        <v>19.200000000000003</v>
      </c>
      <c r="N510">
        <f t="shared" si="15"/>
        <v>-9.6000000000000032</v>
      </c>
    </row>
    <row r="511" spans="1:14" x14ac:dyDescent="0.3">
      <c r="A511" s="69" t="s">
        <v>871</v>
      </c>
      <c r="B511" s="70">
        <v>0.62171999999999994</v>
      </c>
      <c r="K511" t="s">
        <v>735</v>
      </c>
      <c r="L511">
        <v>12</v>
      </c>
      <c r="M511">
        <f t="shared" si="14"/>
        <v>12</v>
      </c>
      <c r="N511">
        <f t="shared" si="15"/>
        <v>0</v>
      </c>
    </row>
    <row r="512" spans="1:14" x14ac:dyDescent="0.3">
      <c r="A512" s="69" t="s">
        <v>872</v>
      </c>
      <c r="B512" s="70">
        <v>2.7977399999999997</v>
      </c>
      <c r="K512" t="s">
        <v>736</v>
      </c>
      <c r="L512">
        <v>14.4</v>
      </c>
      <c r="M512">
        <f t="shared" si="14"/>
        <v>28.799999999999997</v>
      </c>
      <c r="N512">
        <f t="shared" si="15"/>
        <v>-14.399999999999997</v>
      </c>
    </row>
    <row r="513" spans="1:14" x14ac:dyDescent="0.3">
      <c r="A513" s="69" t="s">
        <v>873</v>
      </c>
      <c r="B513" s="70">
        <v>0.31085999999999997</v>
      </c>
      <c r="K513" t="s">
        <v>736</v>
      </c>
      <c r="L513">
        <v>14.4</v>
      </c>
      <c r="M513">
        <f t="shared" si="14"/>
        <v>28.799999999999997</v>
      </c>
      <c r="N513">
        <f t="shared" si="15"/>
        <v>-14.399999999999997</v>
      </c>
    </row>
    <row r="514" spans="1:14" x14ac:dyDescent="0.3">
      <c r="A514" s="69" t="s">
        <v>874</v>
      </c>
      <c r="B514" s="70">
        <v>0.41870399999999997</v>
      </c>
      <c r="K514" t="s">
        <v>737</v>
      </c>
      <c r="L514">
        <v>16.8</v>
      </c>
      <c r="M514">
        <f t="shared" si="14"/>
        <v>50.399999999999991</v>
      </c>
      <c r="N514">
        <f t="shared" si="15"/>
        <v>-33.599999999999994</v>
      </c>
    </row>
    <row r="515" spans="1:14" x14ac:dyDescent="0.3">
      <c r="A515" s="69" t="s">
        <v>875</v>
      </c>
      <c r="B515" s="70">
        <v>0.31085999999999997</v>
      </c>
      <c r="K515" t="s">
        <v>737</v>
      </c>
      <c r="L515">
        <v>16.8</v>
      </c>
      <c r="M515">
        <f t="shared" ref="M515:M578" si="16">_xlfn.XLOOKUP(K515,A:A,B:B)</f>
        <v>50.399999999999991</v>
      </c>
      <c r="N515">
        <f t="shared" ref="N515:N578" si="17">L515-M515</f>
        <v>-33.599999999999994</v>
      </c>
    </row>
    <row r="516" spans="1:14" x14ac:dyDescent="0.3">
      <c r="A516" s="69" t="s">
        <v>876</v>
      </c>
      <c r="B516" s="70">
        <v>2.4868799999999998</v>
      </c>
      <c r="K516" t="s">
        <v>737</v>
      </c>
      <c r="L516">
        <v>16.8</v>
      </c>
      <c r="M516">
        <f t="shared" si="16"/>
        <v>50.399999999999991</v>
      </c>
      <c r="N516">
        <f t="shared" si="17"/>
        <v>-33.599999999999994</v>
      </c>
    </row>
    <row r="517" spans="1:14" x14ac:dyDescent="0.3">
      <c r="A517" s="69" t="s">
        <v>877</v>
      </c>
      <c r="B517" s="70">
        <v>0.31085999999999997</v>
      </c>
      <c r="K517" t="s">
        <v>738</v>
      </c>
      <c r="L517">
        <v>19.2</v>
      </c>
      <c r="M517">
        <f t="shared" si="16"/>
        <v>19.200000000000003</v>
      </c>
      <c r="N517">
        <f t="shared" si="17"/>
        <v>0</v>
      </c>
    </row>
    <row r="518" spans="1:14" x14ac:dyDescent="0.3">
      <c r="A518" s="69" t="s">
        <v>878</v>
      </c>
      <c r="B518" s="70">
        <v>2.7977399999999997</v>
      </c>
      <c r="K518" t="s">
        <v>739</v>
      </c>
      <c r="L518">
        <v>24</v>
      </c>
      <c r="M518">
        <f t="shared" si="16"/>
        <v>48</v>
      </c>
      <c r="N518">
        <f t="shared" si="17"/>
        <v>-24</v>
      </c>
    </row>
    <row r="519" spans="1:14" x14ac:dyDescent="0.3">
      <c r="A519" s="69" t="s">
        <v>879</v>
      </c>
      <c r="B519" s="70">
        <v>0.41870399999999997</v>
      </c>
      <c r="K519" t="s">
        <v>739</v>
      </c>
      <c r="L519">
        <v>24</v>
      </c>
      <c r="M519">
        <f t="shared" si="16"/>
        <v>48</v>
      </c>
      <c r="N519">
        <f t="shared" si="17"/>
        <v>-24</v>
      </c>
    </row>
    <row r="520" spans="1:14" x14ac:dyDescent="0.3">
      <c r="A520" s="69" t="s">
        <v>880</v>
      </c>
      <c r="B520" s="70">
        <v>0.31085999999999997</v>
      </c>
      <c r="K520" t="s">
        <v>740</v>
      </c>
      <c r="L520">
        <v>40.799999999999997</v>
      </c>
      <c r="M520">
        <f t="shared" si="16"/>
        <v>40.799999999999997</v>
      </c>
      <c r="N520">
        <f t="shared" si="17"/>
        <v>0</v>
      </c>
    </row>
    <row r="521" spans="1:14" x14ac:dyDescent="0.3">
      <c r="A521" s="69" t="s">
        <v>881</v>
      </c>
      <c r="B521" s="70">
        <v>7.0650000000000004</v>
      </c>
      <c r="K521" t="s">
        <v>741</v>
      </c>
      <c r="L521">
        <v>0.88600000000000001</v>
      </c>
      <c r="M521">
        <f t="shared" si="16"/>
        <v>1.772</v>
      </c>
      <c r="N521">
        <f t="shared" si="17"/>
        <v>-0.88600000000000001</v>
      </c>
    </row>
    <row r="522" spans="1:14" x14ac:dyDescent="0.3">
      <c r="A522" s="69" t="s">
        <v>882</v>
      </c>
      <c r="B522" s="70">
        <v>1.0705499999999999</v>
      </c>
      <c r="K522" t="s">
        <v>741</v>
      </c>
      <c r="L522">
        <v>0.88600000000000001</v>
      </c>
      <c r="M522">
        <f t="shared" si="16"/>
        <v>1.772</v>
      </c>
      <c r="N522">
        <f t="shared" si="17"/>
        <v>-0.88600000000000001</v>
      </c>
    </row>
    <row r="523" spans="1:14" x14ac:dyDescent="0.3">
      <c r="A523" s="69" t="s">
        <v>883</v>
      </c>
      <c r="B523" s="70">
        <v>9.891</v>
      </c>
      <c r="K523" t="s">
        <v>742</v>
      </c>
      <c r="L523">
        <v>1.329</v>
      </c>
      <c r="M523">
        <f t="shared" si="16"/>
        <v>5.3159999999999998</v>
      </c>
      <c r="N523">
        <f t="shared" si="17"/>
        <v>-3.9870000000000001</v>
      </c>
    </row>
    <row r="524" spans="1:14" x14ac:dyDescent="0.3">
      <c r="A524" s="69" t="s">
        <v>884</v>
      </c>
      <c r="B524" s="70">
        <v>8.4779999999999998</v>
      </c>
      <c r="K524" t="s">
        <v>742</v>
      </c>
      <c r="L524">
        <v>1.329</v>
      </c>
      <c r="M524">
        <f t="shared" si="16"/>
        <v>5.3159999999999998</v>
      </c>
      <c r="N524">
        <f t="shared" si="17"/>
        <v>-3.9870000000000001</v>
      </c>
    </row>
    <row r="525" spans="1:14" x14ac:dyDescent="0.3">
      <c r="A525" s="69" t="s">
        <v>885</v>
      </c>
      <c r="B525" s="70">
        <v>1.0705499999999999</v>
      </c>
      <c r="K525" t="s">
        <v>742</v>
      </c>
      <c r="L525">
        <v>1.329</v>
      </c>
      <c r="M525">
        <f t="shared" si="16"/>
        <v>5.3159999999999998</v>
      </c>
      <c r="N525">
        <f t="shared" si="17"/>
        <v>-3.9870000000000001</v>
      </c>
    </row>
    <row r="526" spans="1:14" x14ac:dyDescent="0.3">
      <c r="A526" s="69" t="s">
        <v>886</v>
      </c>
      <c r="B526" s="70"/>
      <c r="K526" t="s">
        <v>742</v>
      </c>
      <c r="L526">
        <v>1.329</v>
      </c>
      <c r="M526">
        <f t="shared" si="16"/>
        <v>5.3159999999999998</v>
      </c>
      <c r="N526">
        <f t="shared" si="17"/>
        <v>-3.9870000000000001</v>
      </c>
    </row>
    <row r="527" spans="1:14" x14ac:dyDescent="0.3">
      <c r="A527" s="69" t="s">
        <v>887</v>
      </c>
      <c r="B527" s="70"/>
      <c r="K527" t="s">
        <v>743</v>
      </c>
      <c r="L527">
        <v>1.772</v>
      </c>
      <c r="M527">
        <f t="shared" si="16"/>
        <v>10.632</v>
      </c>
      <c r="N527">
        <f t="shared" si="17"/>
        <v>-8.86</v>
      </c>
    </row>
    <row r="528" spans="1:14" x14ac:dyDescent="0.3">
      <c r="A528" s="69" t="s">
        <v>888</v>
      </c>
      <c r="B528" s="70"/>
      <c r="K528" t="s">
        <v>743</v>
      </c>
      <c r="L528">
        <v>1.772</v>
      </c>
      <c r="M528">
        <f t="shared" si="16"/>
        <v>10.632</v>
      </c>
      <c r="N528">
        <f t="shared" si="17"/>
        <v>-8.86</v>
      </c>
    </row>
    <row r="529" spans="1:14" x14ac:dyDescent="0.3">
      <c r="A529" s="69" t="s">
        <v>889</v>
      </c>
      <c r="B529" s="70"/>
      <c r="K529" t="s">
        <v>743</v>
      </c>
      <c r="L529">
        <v>1.772</v>
      </c>
      <c r="M529">
        <f t="shared" si="16"/>
        <v>10.632</v>
      </c>
      <c r="N529">
        <f t="shared" si="17"/>
        <v>-8.86</v>
      </c>
    </row>
    <row r="530" spans="1:14" x14ac:dyDescent="0.3">
      <c r="A530" s="69" t="s">
        <v>890</v>
      </c>
      <c r="B530" s="70"/>
      <c r="K530" t="s">
        <v>743</v>
      </c>
      <c r="L530">
        <v>1.772</v>
      </c>
      <c r="M530">
        <f t="shared" si="16"/>
        <v>10.632</v>
      </c>
      <c r="N530">
        <f t="shared" si="17"/>
        <v>-8.86</v>
      </c>
    </row>
    <row r="531" spans="1:14" x14ac:dyDescent="0.3">
      <c r="A531" s="69" t="s">
        <v>891</v>
      </c>
      <c r="B531" s="70"/>
      <c r="K531" t="s">
        <v>743</v>
      </c>
      <c r="L531">
        <v>1.772</v>
      </c>
      <c r="M531">
        <f t="shared" si="16"/>
        <v>10.632</v>
      </c>
      <c r="N531">
        <f t="shared" si="17"/>
        <v>-8.86</v>
      </c>
    </row>
    <row r="532" spans="1:14" x14ac:dyDescent="0.3">
      <c r="A532" s="69" t="s">
        <v>892</v>
      </c>
      <c r="B532" s="70"/>
      <c r="K532" t="s">
        <v>743</v>
      </c>
      <c r="L532">
        <v>1.772</v>
      </c>
      <c r="M532">
        <f t="shared" si="16"/>
        <v>10.632</v>
      </c>
      <c r="N532">
        <f t="shared" si="17"/>
        <v>-8.86</v>
      </c>
    </row>
    <row r="533" spans="1:14" x14ac:dyDescent="0.3">
      <c r="A533" s="69" t="s">
        <v>893</v>
      </c>
      <c r="B533" s="70"/>
      <c r="K533" t="s">
        <v>744</v>
      </c>
      <c r="L533">
        <v>2.2149999999999999</v>
      </c>
      <c r="M533">
        <f t="shared" si="16"/>
        <v>22.15</v>
      </c>
      <c r="N533">
        <f t="shared" si="17"/>
        <v>-19.934999999999999</v>
      </c>
    </row>
    <row r="534" spans="1:14" x14ac:dyDescent="0.3">
      <c r="A534" s="69" t="s">
        <v>894</v>
      </c>
      <c r="B534" s="70"/>
      <c r="K534" t="s">
        <v>744</v>
      </c>
      <c r="L534">
        <v>2.2149999999999999</v>
      </c>
      <c r="M534">
        <f t="shared" si="16"/>
        <v>22.15</v>
      </c>
      <c r="N534">
        <f t="shared" si="17"/>
        <v>-19.934999999999999</v>
      </c>
    </row>
    <row r="535" spans="1:14" x14ac:dyDescent="0.3">
      <c r="A535" s="69" t="s">
        <v>895</v>
      </c>
      <c r="B535" s="70"/>
      <c r="K535" t="s">
        <v>744</v>
      </c>
      <c r="L535">
        <v>2.2149999999999999</v>
      </c>
      <c r="M535">
        <f t="shared" si="16"/>
        <v>22.15</v>
      </c>
      <c r="N535">
        <f t="shared" si="17"/>
        <v>-19.934999999999999</v>
      </c>
    </row>
    <row r="536" spans="1:14" x14ac:dyDescent="0.3">
      <c r="A536" s="69" t="s">
        <v>896</v>
      </c>
      <c r="B536" s="70"/>
      <c r="K536" t="s">
        <v>744</v>
      </c>
      <c r="L536">
        <v>2.2149999999999999</v>
      </c>
      <c r="M536">
        <f t="shared" si="16"/>
        <v>22.15</v>
      </c>
      <c r="N536">
        <f t="shared" si="17"/>
        <v>-19.934999999999999</v>
      </c>
    </row>
    <row r="537" spans="1:14" x14ac:dyDescent="0.3">
      <c r="A537" s="69" t="s">
        <v>897</v>
      </c>
      <c r="B537" s="70">
        <v>15.674999999999999</v>
      </c>
      <c r="K537" t="s">
        <v>744</v>
      </c>
      <c r="L537">
        <v>2.2149999999999999</v>
      </c>
      <c r="M537">
        <f t="shared" si="16"/>
        <v>22.15</v>
      </c>
      <c r="N537">
        <f t="shared" si="17"/>
        <v>-19.934999999999999</v>
      </c>
    </row>
    <row r="538" spans="1:14" x14ac:dyDescent="0.3">
      <c r="A538" s="69" t="s">
        <v>898</v>
      </c>
      <c r="B538" s="70">
        <v>6.27</v>
      </c>
      <c r="K538" t="s">
        <v>744</v>
      </c>
      <c r="L538">
        <v>2.2149999999999999</v>
      </c>
      <c r="M538">
        <f t="shared" si="16"/>
        <v>22.15</v>
      </c>
      <c r="N538">
        <f t="shared" si="17"/>
        <v>-19.934999999999999</v>
      </c>
    </row>
    <row r="539" spans="1:14" x14ac:dyDescent="0.3">
      <c r="A539" s="69" t="s">
        <v>899</v>
      </c>
      <c r="B539" s="70">
        <v>6.27</v>
      </c>
      <c r="K539" t="s">
        <v>744</v>
      </c>
      <c r="L539">
        <v>2.2149999999999999</v>
      </c>
      <c r="M539">
        <f t="shared" si="16"/>
        <v>22.15</v>
      </c>
      <c r="N539">
        <f t="shared" si="17"/>
        <v>-19.934999999999999</v>
      </c>
    </row>
    <row r="540" spans="1:14" x14ac:dyDescent="0.3">
      <c r="A540" s="69" t="s">
        <v>900</v>
      </c>
      <c r="B540" s="70">
        <v>32.082117499999995</v>
      </c>
      <c r="K540" t="s">
        <v>744</v>
      </c>
      <c r="L540">
        <v>2.2149999999999999</v>
      </c>
      <c r="M540">
        <f t="shared" si="16"/>
        <v>22.15</v>
      </c>
      <c r="N540">
        <f t="shared" si="17"/>
        <v>-19.934999999999999</v>
      </c>
    </row>
    <row r="541" spans="1:14" x14ac:dyDescent="0.3">
      <c r="A541" s="69" t="s">
        <v>901</v>
      </c>
      <c r="B541" s="70">
        <v>19.130401874999997</v>
      </c>
      <c r="K541" t="s">
        <v>744</v>
      </c>
      <c r="L541">
        <v>2.2149999999999999</v>
      </c>
      <c r="M541">
        <f t="shared" si="16"/>
        <v>22.15</v>
      </c>
      <c r="N541">
        <f t="shared" si="17"/>
        <v>-19.934999999999999</v>
      </c>
    </row>
    <row r="542" spans="1:14" x14ac:dyDescent="0.3">
      <c r="A542" s="69" t="s">
        <v>902</v>
      </c>
      <c r="B542" s="70">
        <v>32.082117499999995</v>
      </c>
      <c r="K542" t="s">
        <v>744</v>
      </c>
      <c r="L542">
        <v>2.2149999999999999</v>
      </c>
      <c r="M542">
        <f t="shared" si="16"/>
        <v>22.15</v>
      </c>
      <c r="N542">
        <f t="shared" si="17"/>
        <v>-19.934999999999999</v>
      </c>
    </row>
    <row r="543" spans="1:14" x14ac:dyDescent="0.3">
      <c r="A543" s="69" t="s">
        <v>903</v>
      </c>
      <c r="B543" s="70">
        <v>19.130401874999997</v>
      </c>
      <c r="K543" t="s">
        <v>745</v>
      </c>
      <c r="L543">
        <v>2.6579999999999999</v>
      </c>
      <c r="M543">
        <f t="shared" si="16"/>
        <v>10.632</v>
      </c>
      <c r="N543">
        <f t="shared" si="17"/>
        <v>-7.9740000000000002</v>
      </c>
    </row>
    <row r="544" spans="1:14" x14ac:dyDescent="0.3">
      <c r="A544" s="69" t="s">
        <v>904</v>
      </c>
      <c r="B544" s="70">
        <v>22.219745</v>
      </c>
      <c r="K544" t="s">
        <v>745</v>
      </c>
      <c r="L544">
        <v>2.6579999999999999</v>
      </c>
      <c r="M544">
        <f t="shared" si="16"/>
        <v>10.632</v>
      </c>
      <c r="N544">
        <f t="shared" si="17"/>
        <v>-7.9740000000000002</v>
      </c>
    </row>
    <row r="545" spans="1:14" x14ac:dyDescent="0.3">
      <c r="A545" s="69" t="s">
        <v>905</v>
      </c>
      <c r="B545" s="70">
        <v>32.419117999999997</v>
      </c>
      <c r="K545" t="s">
        <v>745</v>
      </c>
      <c r="L545">
        <v>2.6579999999999999</v>
      </c>
      <c r="M545">
        <f t="shared" si="16"/>
        <v>10.632</v>
      </c>
      <c r="N545">
        <f t="shared" si="17"/>
        <v>-7.9740000000000002</v>
      </c>
    </row>
    <row r="546" spans="1:14" x14ac:dyDescent="0.3">
      <c r="A546" s="69" t="s">
        <v>906</v>
      </c>
      <c r="B546" s="70">
        <v>16.209558999999999</v>
      </c>
      <c r="K546" t="s">
        <v>745</v>
      </c>
      <c r="L546">
        <v>2.6579999999999999</v>
      </c>
      <c r="M546">
        <f t="shared" si="16"/>
        <v>10.632</v>
      </c>
      <c r="N546">
        <f t="shared" si="17"/>
        <v>-7.9740000000000002</v>
      </c>
    </row>
    <row r="547" spans="1:14" x14ac:dyDescent="0.3">
      <c r="A547" s="69" t="s">
        <v>907</v>
      </c>
      <c r="B547" s="70">
        <v>19.326985499999999</v>
      </c>
      <c r="K547" t="s">
        <v>746</v>
      </c>
      <c r="L547">
        <v>1.992</v>
      </c>
      <c r="M547">
        <f t="shared" si="16"/>
        <v>3.9840000000000004</v>
      </c>
      <c r="N547">
        <f t="shared" si="17"/>
        <v>-1.9920000000000004</v>
      </c>
    </row>
    <row r="548" spans="1:14" x14ac:dyDescent="0.3">
      <c r="A548" s="69" t="s">
        <v>908</v>
      </c>
      <c r="B548" s="70">
        <v>16.209558999999999</v>
      </c>
      <c r="K548" t="s">
        <v>746</v>
      </c>
      <c r="L548">
        <v>1.992</v>
      </c>
      <c r="M548">
        <f t="shared" si="16"/>
        <v>3.9840000000000004</v>
      </c>
      <c r="N548">
        <f t="shared" si="17"/>
        <v>-1.9920000000000004</v>
      </c>
    </row>
    <row r="549" spans="1:14" x14ac:dyDescent="0.3">
      <c r="A549" s="69" t="s">
        <v>909</v>
      </c>
      <c r="B549" s="70">
        <v>16.209558999999999</v>
      </c>
      <c r="K549" t="s">
        <v>747</v>
      </c>
      <c r="L549">
        <v>2.988</v>
      </c>
      <c r="M549">
        <f t="shared" si="16"/>
        <v>17.928000000000001</v>
      </c>
      <c r="N549">
        <f t="shared" si="17"/>
        <v>-14.940000000000001</v>
      </c>
    </row>
    <row r="550" spans="1:14" x14ac:dyDescent="0.3">
      <c r="A550" s="69" t="s">
        <v>910</v>
      </c>
      <c r="B550" s="70">
        <v>19.326985499999999</v>
      </c>
      <c r="K550" t="s">
        <v>747</v>
      </c>
      <c r="L550">
        <v>2.988</v>
      </c>
      <c r="M550">
        <f t="shared" si="16"/>
        <v>17.928000000000001</v>
      </c>
      <c r="N550">
        <f t="shared" si="17"/>
        <v>-14.940000000000001</v>
      </c>
    </row>
    <row r="551" spans="1:14" x14ac:dyDescent="0.3">
      <c r="A551" s="69" t="s">
        <v>911</v>
      </c>
      <c r="B551" s="70">
        <v>16.478735499999999</v>
      </c>
      <c r="K551" t="s">
        <v>747</v>
      </c>
      <c r="L551">
        <v>2.988</v>
      </c>
      <c r="M551">
        <f t="shared" si="16"/>
        <v>17.928000000000001</v>
      </c>
      <c r="N551">
        <f t="shared" si="17"/>
        <v>-14.940000000000001</v>
      </c>
    </row>
    <row r="552" spans="1:14" x14ac:dyDescent="0.3">
      <c r="A552" s="69" t="s">
        <v>912</v>
      </c>
      <c r="B552" s="70">
        <v>16.478735499999999</v>
      </c>
      <c r="K552" t="s">
        <v>747</v>
      </c>
      <c r="L552">
        <v>2.988</v>
      </c>
      <c r="M552">
        <f t="shared" si="16"/>
        <v>17.928000000000001</v>
      </c>
      <c r="N552">
        <f t="shared" si="17"/>
        <v>-14.940000000000001</v>
      </c>
    </row>
    <row r="553" spans="1:14" x14ac:dyDescent="0.3">
      <c r="A553" s="69" t="s">
        <v>913</v>
      </c>
      <c r="B553" s="70">
        <v>35.132831999999993</v>
      </c>
      <c r="K553" t="s">
        <v>747</v>
      </c>
      <c r="L553">
        <v>2.988</v>
      </c>
      <c r="M553">
        <f t="shared" si="16"/>
        <v>17.928000000000001</v>
      </c>
      <c r="N553">
        <f t="shared" si="17"/>
        <v>-14.940000000000001</v>
      </c>
    </row>
    <row r="554" spans="1:14" x14ac:dyDescent="0.3">
      <c r="A554" s="69" t="s">
        <v>914</v>
      </c>
      <c r="B554" s="70">
        <v>17.566415999999997</v>
      </c>
      <c r="K554" t="s">
        <v>747</v>
      </c>
      <c r="L554">
        <v>2.988</v>
      </c>
      <c r="M554">
        <f t="shared" si="16"/>
        <v>17.928000000000001</v>
      </c>
      <c r="N554">
        <f t="shared" si="17"/>
        <v>-14.940000000000001</v>
      </c>
    </row>
    <row r="555" spans="1:14" x14ac:dyDescent="0.3">
      <c r="A555" s="69" t="s">
        <v>915</v>
      </c>
      <c r="B555" s="70">
        <v>34.484999999999992</v>
      </c>
      <c r="K555" t="s">
        <v>748</v>
      </c>
      <c r="L555">
        <v>3.984</v>
      </c>
      <c r="M555">
        <f t="shared" si="16"/>
        <v>15.936000000000002</v>
      </c>
      <c r="N555">
        <f t="shared" si="17"/>
        <v>-11.952000000000002</v>
      </c>
    </row>
    <row r="556" spans="1:14" x14ac:dyDescent="0.3">
      <c r="A556" s="69" t="s">
        <v>916</v>
      </c>
      <c r="B556" s="70">
        <v>9.4049999999999994</v>
      </c>
      <c r="K556" t="s">
        <v>748</v>
      </c>
      <c r="L556">
        <v>3.984</v>
      </c>
      <c r="M556">
        <f t="shared" si="16"/>
        <v>15.936000000000002</v>
      </c>
      <c r="N556">
        <f t="shared" si="17"/>
        <v>-11.952000000000002</v>
      </c>
    </row>
    <row r="557" spans="1:14" x14ac:dyDescent="0.3">
      <c r="A557" s="69" t="s">
        <v>917</v>
      </c>
      <c r="B557" s="70">
        <v>18.284219999999998</v>
      </c>
      <c r="K557" t="s">
        <v>748</v>
      </c>
      <c r="L557">
        <v>3.984</v>
      </c>
      <c r="M557">
        <f t="shared" si="16"/>
        <v>15.936000000000002</v>
      </c>
      <c r="N557">
        <f t="shared" si="17"/>
        <v>-11.952000000000002</v>
      </c>
    </row>
    <row r="558" spans="1:14" x14ac:dyDescent="0.3">
      <c r="A558" s="69" t="s">
        <v>918</v>
      </c>
      <c r="B558" s="70">
        <v>20.415023999999999</v>
      </c>
      <c r="K558" t="s">
        <v>748</v>
      </c>
      <c r="L558">
        <v>3.984</v>
      </c>
      <c r="M558">
        <f t="shared" si="16"/>
        <v>15.936000000000002</v>
      </c>
      <c r="N558">
        <f t="shared" si="17"/>
        <v>-11.952000000000002</v>
      </c>
    </row>
    <row r="559" spans="1:14" x14ac:dyDescent="0.3">
      <c r="A559" s="69" t="s">
        <v>919</v>
      </c>
      <c r="B559" s="70">
        <v>28.214999999999996</v>
      </c>
      <c r="K559" t="s">
        <v>749</v>
      </c>
      <c r="L559">
        <v>4.9800000000000004</v>
      </c>
      <c r="M559">
        <f t="shared" si="16"/>
        <v>64.740000000000023</v>
      </c>
      <c r="N559">
        <f t="shared" si="17"/>
        <v>-59.760000000000019</v>
      </c>
    </row>
    <row r="560" spans="1:14" x14ac:dyDescent="0.3">
      <c r="A560" s="69" t="s">
        <v>920</v>
      </c>
      <c r="B560" s="70">
        <v>3.1349999999999998</v>
      </c>
      <c r="K560" t="s">
        <v>749</v>
      </c>
      <c r="L560">
        <v>4.9800000000000004</v>
      </c>
      <c r="M560">
        <f t="shared" si="16"/>
        <v>64.740000000000023</v>
      </c>
      <c r="N560">
        <f t="shared" si="17"/>
        <v>-59.760000000000019</v>
      </c>
    </row>
    <row r="561" spans="1:14" x14ac:dyDescent="0.3">
      <c r="A561" s="69" t="s">
        <v>921</v>
      </c>
      <c r="B561" s="70">
        <v>6.27</v>
      </c>
      <c r="K561" t="s">
        <v>749</v>
      </c>
      <c r="L561">
        <v>4.9800000000000004</v>
      </c>
      <c r="M561">
        <f t="shared" si="16"/>
        <v>64.740000000000023</v>
      </c>
      <c r="N561">
        <f t="shared" si="17"/>
        <v>-59.760000000000019</v>
      </c>
    </row>
    <row r="562" spans="1:14" x14ac:dyDescent="0.3">
      <c r="A562" s="69" t="s">
        <v>922</v>
      </c>
      <c r="B562" s="70">
        <v>3.1349999999999998</v>
      </c>
      <c r="K562" t="s">
        <v>749</v>
      </c>
      <c r="L562">
        <v>4.9800000000000004</v>
      </c>
      <c r="M562">
        <f t="shared" si="16"/>
        <v>64.740000000000023</v>
      </c>
      <c r="N562">
        <f t="shared" si="17"/>
        <v>-59.760000000000019</v>
      </c>
    </row>
    <row r="563" spans="1:14" x14ac:dyDescent="0.3">
      <c r="A563" s="69" t="s">
        <v>923</v>
      </c>
      <c r="B563" s="70">
        <v>28.214999999999996</v>
      </c>
      <c r="K563" t="s">
        <v>749</v>
      </c>
      <c r="L563">
        <v>4.9800000000000004</v>
      </c>
      <c r="M563">
        <f t="shared" si="16"/>
        <v>64.740000000000023</v>
      </c>
      <c r="N563">
        <f t="shared" si="17"/>
        <v>-59.760000000000019</v>
      </c>
    </row>
    <row r="564" spans="1:14" x14ac:dyDescent="0.3">
      <c r="A564" s="69" t="s">
        <v>924</v>
      </c>
      <c r="B564" s="70">
        <v>6.27</v>
      </c>
      <c r="K564" t="s">
        <v>749</v>
      </c>
      <c r="L564">
        <v>4.9800000000000004</v>
      </c>
      <c r="M564">
        <f t="shared" si="16"/>
        <v>64.740000000000023</v>
      </c>
      <c r="N564">
        <f t="shared" si="17"/>
        <v>-59.760000000000019</v>
      </c>
    </row>
    <row r="565" spans="1:14" x14ac:dyDescent="0.3">
      <c r="A565" s="69" t="s">
        <v>925</v>
      </c>
      <c r="B565" s="70">
        <v>2.09</v>
      </c>
      <c r="K565" t="s">
        <v>749</v>
      </c>
      <c r="L565">
        <v>4.9800000000000004</v>
      </c>
      <c r="M565">
        <f t="shared" si="16"/>
        <v>64.740000000000023</v>
      </c>
      <c r="N565">
        <f t="shared" si="17"/>
        <v>-59.760000000000019</v>
      </c>
    </row>
    <row r="566" spans="1:14" x14ac:dyDescent="0.3">
      <c r="A566" s="69" t="s">
        <v>926</v>
      </c>
      <c r="B566" s="70">
        <v>3.1349999999999998</v>
      </c>
      <c r="K566" t="s">
        <v>749</v>
      </c>
      <c r="L566">
        <v>4.9800000000000004</v>
      </c>
      <c r="M566">
        <f t="shared" si="16"/>
        <v>64.740000000000023</v>
      </c>
      <c r="N566">
        <f t="shared" si="17"/>
        <v>-59.760000000000019</v>
      </c>
    </row>
    <row r="567" spans="1:14" x14ac:dyDescent="0.3">
      <c r="A567" s="69" t="s">
        <v>927</v>
      </c>
      <c r="B567" s="70">
        <v>57.475000000000009</v>
      </c>
      <c r="K567" t="s">
        <v>749</v>
      </c>
      <c r="L567">
        <v>4.9800000000000004</v>
      </c>
      <c r="M567">
        <f t="shared" si="16"/>
        <v>64.740000000000023</v>
      </c>
      <c r="N567">
        <f t="shared" si="17"/>
        <v>-59.760000000000019</v>
      </c>
    </row>
    <row r="568" spans="1:14" x14ac:dyDescent="0.3">
      <c r="A568" s="69" t="s">
        <v>928</v>
      </c>
      <c r="B568" s="70">
        <v>15.674999999999999</v>
      </c>
      <c r="K568" t="s">
        <v>749</v>
      </c>
      <c r="L568">
        <v>4.9800000000000004</v>
      </c>
      <c r="M568">
        <f t="shared" si="16"/>
        <v>64.740000000000023</v>
      </c>
      <c r="N568">
        <f t="shared" si="17"/>
        <v>-59.760000000000019</v>
      </c>
    </row>
    <row r="569" spans="1:14" x14ac:dyDescent="0.3">
      <c r="A569" s="69" t="s">
        <v>929</v>
      </c>
      <c r="B569" s="70">
        <v>5.2249999999999996</v>
      </c>
      <c r="K569" t="s">
        <v>749</v>
      </c>
      <c r="L569">
        <v>4.9800000000000004</v>
      </c>
      <c r="M569">
        <f t="shared" si="16"/>
        <v>64.740000000000023</v>
      </c>
      <c r="N569">
        <f t="shared" si="17"/>
        <v>-59.760000000000019</v>
      </c>
    </row>
    <row r="570" spans="1:14" x14ac:dyDescent="0.3">
      <c r="A570" s="69" t="s">
        <v>930</v>
      </c>
      <c r="B570" s="70">
        <v>67.925000000000011</v>
      </c>
      <c r="K570" t="s">
        <v>749</v>
      </c>
      <c r="L570">
        <v>4.9800000000000004</v>
      </c>
      <c r="M570">
        <f t="shared" si="16"/>
        <v>64.740000000000023</v>
      </c>
      <c r="N570">
        <f t="shared" si="17"/>
        <v>-59.760000000000019</v>
      </c>
    </row>
    <row r="571" spans="1:14" x14ac:dyDescent="0.3">
      <c r="A571" s="69" t="s">
        <v>931</v>
      </c>
      <c r="B571" s="70">
        <v>11.062932485474366</v>
      </c>
      <c r="K571" t="s">
        <v>749</v>
      </c>
      <c r="L571">
        <v>4.9800000000000004</v>
      </c>
      <c r="M571">
        <f t="shared" si="16"/>
        <v>64.740000000000023</v>
      </c>
      <c r="N571">
        <f t="shared" si="17"/>
        <v>-59.760000000000019</v>
      </c>
    </row>
    <row r="572" spans="1:14" x14ac:dyDescent="0.3">
      <c r="A572" s="69" t="s">
        <v>932</v>
      </c>
      <c r="B572" s="70">
        <v>10.45</v>
      </c>
      <c r="K572" t="s">
        <v>750</v>
      </c>
      <c r="L572">
        <v>5.976</v>
      </c>
      <c r="M572">
        <f t="shared" si="16"/>
        <v>29.88</v>
      </c>
      <c r="N572">
        <f t="shared" si="17"/>
        <v>-23.904</v>
      </c>
    </row>
    <row r="573" spans="1:14" x14ac:dyDescent="0.3">
      <c r="A573" s="69" t="s">
        <v>933</v>
      </c>
      <c r="B573" s="70">
        <v>5.2249999999999996</v>
      </c>
      <c r="K573" t="s">
        <v>750</v>
      </c>
      <c r="L573">
        <v>5.976</v>
      </c>
      <c r="M573">
        <f t="shared" si="16"/>
        <v>29.88</v>
      </c>
      <c r="N573">
        <f t="shared" si="17"/>
        <v>-23.904</v>
      </c>
    </row>
    <row r="574" spans="1:14" x14ac:dyDescent="0.3">
      <c r="A574" s="69" t="s">
        <v>934</v>
      </c>
      <c r="B574" s="70">
        <v>5.2249999999999996</v>
      </c>
      <c r="K574" t="s">
        <v>750</v>
      </c>
      <c r="L574">
        <v>5.976</v>
      </c>
      <c r="M574">
        <f t="shared" si="16"/>
        <v>29.88</v>
      </c>
      <c r="N574">
        <f t="shared" si="17"/>
        <v>-23.904</v>
      </c>
    </row>
    <row r="575" spans="1:14" x14ac:dyDescent="0.3">
      <c r="A575" s="69" t="s">
        <v>935</v>
      </c>
      <c r="B575" s="70">
        <v>8.36</v>
      </c>
      <c r="K575" t="s">
        <v>750</v>
      </c>
      <c r="L575">
        <v>5.976</v>
      </c>
      <c r="M575">
        <f t="shared" si="16"/>
        <v>29.88</v>
      </c>
      <c r="N575">
        <f t="shared" si="17"/>
        <v>-23.904</v>
      </c>
    </row>
    <row r="576" spans="1:14" x14ac:dyDescent="0.3">
      <c r="A576" s="69" t="s">
        <v>936</v>
      </c>
      <c r="B576" s="70">
        <v>57.475000000000009</v>
      </c>
      <c r="K576" t="s">
        <v>750</v>
      </c>
      <c r="L576">
        <v>5.976</v>
      </c>
      <c r="M576">
        <f t="shared" si="16"/>
        <v>29.88</v>
      </c>
      <c r="N576">
        <f t="shared" si="17"/>
        <v>-23.904</v>
      </c>
    </row>
    <row r="577" spans="1:14" x14ac:dyDescent="0.3">
      <c r="A577" s="69" t="s">
        <v>937</v>
      </c>
      <c r="B577" s="70">
        <v>13.16039325869869</v>
      </c>
      <c r="K577" t="s">
        <v>751</v>
      </c>
      <c r="L577">
        <v>6.9720000000000004</v>
      </c>
      <c r="M577">
        <f t="shared" si="16"/>
        <v>69.72</v>
      </c>
      <c r="N577">
        <f t="shared" si="17"/>
        <v>-62.747999999999998</v>
      </c>
    </row>
    <row r="578" spans="1:14" x14ac:dyDescent="0.3">
      <c r="A578" s="69" t="s">
        <v>938</v>
      </c>
      <c r="B578" s="70">
        <v>5.2249999999999996</v>
      </c>
      <c r="K578" t="s">
        <v>751</v>
      </c>
      <c r="L578">
        <v>6.9720000000000004</v>
      </c>
      <c r="M578">
        <f t="shared" si="16"/>
        <v>69.72</v>
      </c>
      <c r="N578">
        <f t="shared" si="17"/>
        <v>-62.747999999999998</v>
      </c>
    </row>
    <row r="579" spans="1:14" x14ac:dyDescent="0.3">
      <c r="A579" s="69" t="s">
        <v>939</v>
      </c>
      <c r="B579" s="70">
        <v>5.2249999999999996</v>
      </c>
      <c r="K579" t="s">
        <v>751</v>
      </c>
      <c r="L579">
        <v>6.9720000000000004</v>
      </c>
      <c r="M579">
        <f t="shared" ref="M579:M642" si="18">_xlfn.XLOOKUP(K579,A:A,B:B)</f>
        <v>69.72</v>
      </c>
      <c r="N579">
        <f t="shared" ref="N579:N642" si="19">L579-M579</f>
        <v>-62.747999999999998</v>
      </c>
    </row>
    <row r="580" spans="1:14" x14ac:dyDescent="0.3">
      <c r="A580" s="69" t="s">
        <v>940</v>
      </c>
      <c r="B580" s="70">
        <v>7.3149999999999986</v>
      </c>
      <c r="K580" t="s">
        <v>751</v>
      </c>
      <c r="L580">
        <v>6.9720000000000004</v>
      </c>
      <c r="M580">
        <f t="shared" si="18"/>
        <v>69.72</v>
      </c>
      <c r="N580">
        <f t="shared" si="19"/>
        <v>-62.747999999999998</v>
      </c>
    </row>
    <row r="581" spans="1:14" x14ac:dyDescent="0.3">
      <c r="A581" s="69" t="s">
        <v>941</v>
      </c>
      <c r="B581" s="70">
        <v>5.2249999999999996</v>
      </c>
      <c r="K581" t="s">
        <v>751</v>
      </c>
      <c r="L581">
        <v>6.9720000000000004</v>
      </c>
      <c r="M581">
        <f t="shared" si="18"/>
        <v>69.72</v>
      </c>
      <c r="N581">
        <f t="shared" si="19"/>
        <v>-62.747999999999998</v>
      </c>
    </row>
    <row r="582" spans="1:14" x14ac:dyDescent="0.3">
      <c r="A582" s="69" t="s">
        <v>942</v>
      </c>
      <c r="B582" s="70">
        <v>5.2249999999999996</v>
      </c>
      <c r="K582" t="s">
        <v>751</v>
      </c>
      <c r="L582">
        <v>6.9720000000000004</v>
      </c>
      <c r="M582">
        <f t="shared" si="18"/>
        <v>69.72</v>
      </c>
      <c r="N582">
        <f t="shared" si="19"/>
        <v>-62.747999999999998</v>
      </c>
    </row>
    <row r="583" spans="1:14" x14ac:dyDescent="0.3">
      <c r="A583" s="69" t="s">
        <v>943</v>
      </c>
      <c r="B583" s="70">
        <v>6.27</v>
      </c>
      <c r="K583" t="s">
        <v>751</v>
      </c>
      <c r="L583">
        <v>6.9720000000000004</v>
      </c>
      <c r="M583">
        <f t="shared" si="18"/>
        <v>69.72</v>
      </c>
      <c r="N583">
        <f t="shared" si="19"/>
        <v>-62.747999999999998</v>
      </c>
    </row>
    <row r="584" spans="1:14" x14ac:dyDescent="0.3">
      <c r="A584" s="69" t="s">
        <v>944</v>
      </c>
      <c r="B584" s="70">
        <v>57.475000000000009</v>
      </c>
      <c r="K584" t="s">
        <v>751</v>
      </c>
      <c r="L584">
        <v>6.9720000000000004</v>
      </c>
      <c r="M584">
        <f t="shared" si="18"/>
        <v>69.72</v>
      </c>
      <c r="N584">
        <f t="shared" si="19"/>
        <v>-62.747999999999998</v>
      </c>
    </row>
    <row r="585" spans="1:14" x14ac:dyDescent="0.3">
      <c r="A585" s="69" t="s">
        <v>945</v>
      </c>
      <c r="B585" s="70">
        <v>5.2249999999999996</v>
      </c>
      <c r="K585" t="s">
        <v>751</v>
      </c>
      <c r="L585">
        <v>6.9720000000000004</v>
      </c>
      <c r="M585">
        <f t="shared" si="18"/>
        <v>69.72</v>
      </c>
      <c r="N585">
        <f t="shared" si="19"/>
        <v>-62.747999999999998</v>
      </c>
    </row>
    <row r="586" spans="1:14" x14ac:dyDescent="0.3">
      <c r="A586" s="69" t="s">
        <v>946</v>
      </c>
      <c r="B586" s="70">
        <v>15.133560060176386</v>
      </c>
      <c r="K586" t="s">
        <v>751</v>
      </c>
      <c r="L586">
        <v>6.9720000000000004</v>
      </c>
      <c r="M586">
        <f t="shared" si="18"/>
        <v>69.72</v>
      </c>
      <c r="N586">
        <f t="shared" si="19"/>
        <v>-62.747999999999998</v>
      </c>
    </row>
    <row r="587" spans="1:14" x14ac:dyDescent="0.3">
      <c r="A587" s="69" t="s">
        <v>947</v>
      </c>
      <c r="B587" s="70">
        <v>5.2249999999999996</v>
      </c>
      <c r="K587" t="s">
        <v>752</v>
      </c>
      <c r="L587">
        <v>7.968</v>
      </c>
      <c r="M587">
        <f t="shared" si="18"/>
        <v>47.808000000000007</v>
      </c>
      <c r="N587">
        <f t="shared" si="19"/>
        <v>-39.840000000000003</v>
      </c>
    </row>
    <row r="588" spans="1:14" x14ac:dyDescent="0.3">
      <c r="A588" s="69" t="s">
        <v>948</v>
      </c>
      <c r="B588" s="70">
        <v>5.2249999999999996</v>
      </c>
      <c r="K588" t="s">
        <v>752</v>
      </c>
      <c r="L588">
        <v>7.968</v>
      </c>
      <c r="M588">
        <f t="shared" si="18"/>
        <v>47.808000000000007</v>
      </c>
      <c r="N588">
        <f t="shared" si="19"/>
        <v>-39.840000000000003</v>
      </c>
    </row>
    <row r="589" spans="1:14" x14ac:dyDescent="0.3">
      <c r="A589" s="69" t="s">
        <v>949</v>
      </c>
      <c r="B589" s="70">
        <v>8.4227000000000007</v>
      </c>
      <c r="K589" t="s">
        <v>752</v>
      </c>
      <c r="L589">
        <v>7.968</v>
      </c>
      <c r="M589">
        <f t="shared" si="18"/>
        <v>47.808000000000007</v>
      </c>
      <c r="N589">
        <f t="shared" si="19"/>
        <v>-39.840000000000003</v>
      </c>
    </row>
    <row r="590" spans="1:14" x14ac:dyDescent="0.3">
      <c r="A590" s="69" t="s">
        <v>950</v>
      </c>
      <c r="B590" s="70">
        <v>3.5774999999999997</v>
      </c>
      <c r="K590" t="s">
        <v>752</v>
      </c>
      <c r="L590">
        <v>7.968</v>
      </c>
      <c r="M590">
        <f t="shared" si="18"/>
        <v>47.808000000000007</v>
      </c>
      <c r="N590">
        <f t="shared" si="19"/>
        <v>-39.840000000000003</v>
      </c>
    </row>
    <row r="591" spans="1:14" x14ac:dyDescent="0.3">
      <c r="A591" s="69" t="s">
        <v>951</v>
      </c>
      <c r="B591" s="70">
        <v>3.5774999999999997</v>
      </c>
      <c r="K591" t="s">
        <v>752</v>
      </c>
      <c r="L591">
        <v>7.968</v>
      </c>
      <c r="M591">
        <f t="shared" si="18"/>
        <v>47.808000000000007</v>
      </c>
      <c r="N591">
        <f t="shared" si="19"/>
        <v>-39.840000000000003</v>
      </c>
    </row>
    <row r="592" spans="1:14" x14ac:dyDescent="0.3">
      <c r="A592" s="69" t="s">
        <v>952</v>
      </c>
      <c r="B592" s="70">
        <v>3.5774999999999997</v>
      </c>
      <c r="K592" t="s">
        <v>752</v>
      </c>
      <c r="L592">
        <v>7.968</v>
      </c>
      <c r="M592">
        <f t="shared" si="18"/>
        <v>47.808000000000007</v>
      </c>
      <c r="N592">
        <f t="shared" si="19"/>
        <v>-39.840000000000003</v>
      </c>
    </row>
    <row r="593" spans="1:14" x14ac:dyDescent="0.3">
      <c r="A593" s="69" t="s">
        <v>953</v>
      </c>
      <c r="B593" s="70">
        <v>3.5774999999999997</v>
      </c>
      <c r="K593" t="s">
        <v>753</v>
      </c>
      <c r="L593">
        <v>10.717000000000001</v>
      </c>
      <c r="M593">
        <f t="shared" si="18"/>
        <v>10.7172</v>
      </c>
      <c r="N593">
        <f t="shared" si="19"/>
        <v>-1.9999999999953388E-4</v>
      </c>
    </row>
    <row r="594" spans="1:14" x14ac:dyDescent="0.3">
      <c r="A594" s="69" t="s">
        <v>1051</v>
      </c>
      <c r="B594" s="70">
        <v>11785.240864679341</v>
      </c>
      <c r="K594" t="s">
        <v>754</v>
      </c>
      <c r="L594">
        <v>33.487099999999998</v>
      </c>
      <c r="M594">
        <f t="shared" si="18"/>
        <v>33.486600000000003</v>
      </c>
      <c r="N594">
        <f t="shared" si="19"/>
        <v>4.99999999995282E-4</v>
      </c>
    </row>
    <row r="595" spans="1:14" x14ac:dyDescent="0.3">
      <c r="K595" t="s">
        <v>755</v>
      </c>
      <c r="L595">
        <v>24.203299999999999</v>
      </c>
      <c r="M595">
        <f t="shared" si="18"/>
        <v>24.200400000000002</v>
      </c>
      <c r="N595">
        <f t="shared" si="19"/>
        <v>2.899999999996794E-3</v>
      </c>
    </row>
    <row r="596" spans="1:14" x14ac:dyDescent="0.3">
      <c r="K596" t="s">
        <v>756</v>
      </c>
      <c r="L596">
        <v>21.937899999999999</v>
      </c>
      <c r="M596">
        <f t="shared" si="18"/>
        <v>21.9358</v>
      </c>
      <c r="N596">
        <f t="shared" si="19"/>
        <v>2.0999999999986585E-3</v>
      </c>
    </row>
    <row r="597" spans="1:14" x14ac:dyDescent="0.3">
      <c r="K597" t="s">
        <v>757</v>
      </c>
      <c r="L597">
        <v>26.9907</v>
      </c>
      <c r="M597">
        <f t="shared" si="18"/>
        <v>26.987599999999997</v>
      </c>
      <c r="N597">
        <f t="shared" si="19"/>
        <v>3.1000000000034333E-3</v>
      </c>
    </row>
    <row r="598" spans="1:14" x14ac:dyDescent="0.3">
      <c r="K598" t="s">
        <v>758</v>
      </c>
      <c r="L598">
        <v>30.599799999999998</v>
      </c>
      <c r="M598">
        <f t="shared" si="18"/>
        <v>30.592199999999998</v>
      </c>
      <c r="N598">
        <f t="shared" si="19"/>
        <v>7.6000000000000512E-3</v>
      </c>
    </row>
    <row r="599" spans="1:14" x14ac:dyDescent="0.3">
      <c r="K599" t="s">
        <v>759</v>
      </c>
      <c r="L599">
        <v>59.953099999999999</v>
      </c>
      <c r="M599">
        <f t="shared" si="18"/>
        <v>59.944299999999998</v>
      </c>
      <c r="N599">
        <f t="shared" si="19"/>
        <v>8.8000000000008072E-3</v>
      </c>
    </row>
    <row r="600" spans="1:14" x14ac:dyDescent="0.3">
      <c r="K600" t="s">
        <v>760</v>
      </c>
      <c r="L600">
        <v>68.432699999999997</v>
      </c>
      <c r="M600">
        <f t="shared" si="18"/>
        <v>68.428100000000001</v>
      </c>
      <c r="N600">
        <f t="shared" si="19"/>
        <v>4.5999999999963848E-3</v>
      </c>
    </row>
    <row r="601" spans="1:14" x14ac:dyDescent="0.3">
      <c r="K601" t="s">
        <v>761</v>
      </c>
      <c r="L601">
        <v>19.350100000000001</v>
      </c>
      <c r="M601">
        <f t="shared" si="18"/>
        <v>19.3505</v>
      </c>
      <c r="N601">
        <f t="shared" si="19"/>
        <v>-3.9999999999906777E-4</v>
      </c>
    </row>
    <row r="602" spans="1:14" x14ac:dyDescent="0.3">
      <c r="K602" t="s">
        <v>762</v>
      </c>
      <c r="L602">
        <v>26.490100000000002</v>
      </c>
      <c r="M602">
        <f t="shared" si="18"/>
        <v>26.482299999999999</v>
      </c>
      <c r="N602">
        <f t="shared" si="19"/>
        <v>7.8000000000031378E-3</v>
      </c>
    </row>
    <row r="603" spans="1:14" x14ac:dyDescent="0.3">
      <c r="K603" t="s">
        <v>763</v>
      </c>
      <c r="L603">
        <v>27.959700000000002</v>
      </c>
      <c r="M603">
        <f t="shared" si="18"/>
        <v>27.952599999999997</v>
      </c>
      <c r="N603">
        <f t="shared" si="19"/>
        <v>7.1000000000047692E-3</v>
      </c>
    </row>
    <row r="604" spans="1:14" x14ac:dyDescent="0.3">
      <c r="K604" t="s">
        <v>764</v>
      </c>
      <c r="L604">
        <v>28.615200000000002</v>
      </c>
      <c r="M604">
        <f t="shared" si="18"/>
        <v>28.611699999999999</v>
      </c>
      <c r="N604">
        <f t="shared" si="19"/>
        <v>3.5000000000025011E-3</v>
      </c>
    </row>
    <row r="605" spans="1:14" x14ac:dyDescent="0.3">
      <c r="K605" t="s">
        <v>765</v>
      </c>
      <c r="L605">
        <v>32.147399999999998</v>
      </c>
      <c r="M605">
        <f t="shared" si="18"/>
        <v>32.143799999999999</v>
      </c>
      <c r="N605">
        <f t="shared" si="19"/>
        <v>3.5999999999987153E-3</v>
      </c>
    </row>
    <row r="606" spans="1:14" x14ac:dyDescent="0.3">
      <c r="K606" t="s">
        <v>766</v>
      </c>
      <c r="L606">
        <v>32.511600000000001</v>
      </c>
      <c r="M606">
        <f t="shared" si="18"/>
        <v>32.498699999999999</v>
      </c>
      <c r="N606">
        <f t="shared" si="19"/>
        <v>1.290000000000191E-2</v>
      </c>
    </row>
    <row r="607" spans="1:14" x14ac:dyDescent="0.3">
      <c r="K607" t="s">
        <v>767</v>
      </c>
      <c r="L607">
        <v>36.152999999999999</v>
      </c>
      <c r="M607">
        <f t="shared" si="18"/>
        <v>36.14909999999999</v>
      </c>
      <c r="N607">
        <f t="shared" si="19"/>
        <v>3.9000000000086743E-3</v>
      </c>
    </row>
    <row r="608" spans="1:14" x14ac:dyDescent="0.3">
      <c r="K608" t="s">
        <v>768</v>
      </c>
      <c r="L608">
        <v>40.267800000000001</v>
      </c>
      <c r="M608">
        <f t="shared" si="18"/>
        <v>40.255800000000001</v>
      </c>
      <c r="N608">
        <f t="shared" si="19"/>
        <v>1.2000000000000455E-2</v>
      </c>
    </row>
    <row r="609" spans="11:14" x14ac:dyDescent="0.3">
      <c r="K609" t="s">
        <v>769</v>
      </c>
      <c r="L609">
        <v>47.552799999999998</v>
      </c>
      <c r="M609">
        <f t="shared" si="18"/>
        <v>47.5304</v>
      </c>
      <c r="N609">
        <f t="shared" si="19"/>
        <v>2.2399999999997533E-2</v>
      </c>
    </row>
    <row r="610" spans="11:14" x14ac:dyDescent="0.3">
      <c r="K610" t="s">
        <v>770</v>
      </c>
      <c r="L610">
        <v>44.993299999999998</v>
      </c>
      <c r="M610">
        <f t="shared" si="18"/>
        <v>44.9816</v>
      </c>
      <c r="N610">
        <f t="shared" si="19"/>
        <v>1.1699999999997601E-2</v>
      </c>
    </row>
    <row r="611" spans="11:14" x14ac:dyDescent="0.3">
      <c r="K611" t="s">
        <v>771</v>
      </c>
      <c r="L611">
        <v>65.319500000000005</v>
      </c>
      <c r="M611">
        <f t="shared" si="18"/>
        <v>65.31</v>
      </c>
      <c r="N611">
        <f t="shared" si="19"/>
        <v>9.5000000000027285E-3</v>
      </c>
    </row>
    <row r="612" spans="11:14" x14ac:dyDescent="0.3">
      <c r="K612" t="s">
        <v>772</v>
      </c>
      <c r="L612">
        <v>30.431699999999999</v>
      </c>
      <c r="M612">
        <f t="shared" si="18"/>
        <v>30.437760000000004</v>
      </c>
      <c r="N612">
        <f t="shared" si="19"/>
        <v>-6.0600000000050613E-3</v>
      </c>
    </row>
    <row r="613" spans="11:14" x14ac:dyDescent="0.3">
      <c r="K613" t="s">
        <v>773</v>
      </c>
      <c r="L613">
        <v>8.7504000000000008</v>
      </c>
      <c r="M613">
        <f t="shared" si="18"/>
        <v>8.7548400000000015</v>
      </c>
      <c r="N613">
        <f t="shared" si="19"/>
        <v>-4.4400000000006656E-3</v>
      </c>
    </row>
    <row r="614" spans="11:14" x14ac:dyDescent="0.3">
      <c r="K614" t="s">
        <v>774</v>
      </c>
      <c r="L614">
        <v>9.9527000000000001</v>
      </c>
      <c r="M614">
        <f t="shared" si="18"/>
        <v>9.9500400000000013</v>
      </c>
      <c r="N614">
        <f t="shared" si="19"/>
        <v>2.6599999999987745E-3</v>
      </c>
    </row>
    <row r="615" spans="11:14" x14ac:dyDescent="0.3">
      <c r="K615" t="s">
        <v>775</v>
      </c>
      <c r="L615">
        <v>11.4389</v>
      </c>
      <c r="M615">
        <f t="shared" si="18"/>
        <v>11.444040000000001</v>
      </c>
      <c r="N615">
        <f t="shared" si="19"/>
        <v>-5.1400000000008106E-3</v>
      </c>
    </row>
    <row r="616" spans="11:14" x14ac:dyDescent="0.3">
      <c r="K616" t="s">
        <v>776</v>
      </c>
      <c r="L616">
        <v>20.379000000000001</v>
      </c>
      <c r="M616">
        <f t="shared" si="18"/>
        <v>19.085039999999999</v>
      </c>
      <c r="N616">
        <f t="shared" si="19"/>
        <v>1.293960000000002</v>
      </c>
    </row>
    <row r="617" spans="11:14" x14ac:dyDescent="0.3">
      <c r="K617" t="s">
        <v>777</v>
      </c>
      <c r="L617">
        <v>0.70740000000000003</v>
      </c>
      <c r="M617">
        <f t="shared" si="18"/>
        <v>0.70650000000000002</v>
      </c>
      <c r="N617">
        <f t="shared" si="19"/>
        <v>9.000000000000119E-4</v>
      </c>
    </row>
    <row r="618" spans="11:14" x14ac:dyDescent="0.3">
      <c r="K618" t="s">
        <v>778</v>
      </c>
      <c r="L618">
        <v>0.70740000000000003</v>
      </c>
      <c r="M618">
        <f t="shared" si="18"/>
        <v>1.413</v>
      </c>
      <c r="N618">
        <f t="shared" si="19"/>
        <v>-0.7056</v>
      </c>
    </row>
    <row r="619" spans="11:14" x14ac:dyDescent="0.3">
      <c r="K619" t="s">
        <v>778</v>
      </c>
      <c r="L619">
        <v>0.70740000000000003</v>
      </c>
      <c r="M619">
        <f t="shared" si="18"/>
        <v>1.413</v>
      </c>
      <c r="N619">
        <f t="shared" si="19"/>
        <v>-0.7056</v>
      </c>
    </row>
    <row r="620" spans="11:14" x14ac:dyDescent="0.3">
      <c r="K620" t="s">
        <v>779</v>
      </c>
      <c r="L620">
        <v>0.70740000000000003</v>
      </c>
      <c r="M620">
        <f t="shared" si="18"/>
        <v>0.70650000000000002</v>
      </c>
      <c r="N620">
        <f t="shared" si="19"/>
        <v>9.000000000000119E-4</v>
      </c>
    </row>
    <row r="621" spans="11:14" x14ac:dyDescent="0.3">
      <c r="K621" t="s">
        <v>780</v>
      </c>
      <c r="L621">
        <v>2.988</v>
      </c>
      <c r="M621">
        <f t="shared" si="18"/>
        <v>0.88649999999999995</v>
      </c>
      <c r="N621">
        <f t="shared" si="19"/>
        <v>2.1015000000000001</v>
      </c>
    </row>
    <row r="622" spans="11:14" x14ac:dyDescent="0.3">
      <c r="K622" t="s">
        <v>781</v>
      </c>
      <c r="L622">
        <v>4.0199999999999996</v>
      </c>
      <c r="M622">
        <f t="shared" si="18"/>
        <v>28.619999999999997</v>
      </c>
      <c r="N622">
        <f t="shared" si="19"/>
        <v>-24.599999999999998</v>
      </c>
    </row>
    <row r="623" spans="11:14" x14ac:dyDescent="0.3">
      <c r="K623" t="s">
        <v>781</v>
      </c>
      <c r="L623">
        <v>4.0199999999999996</v>
      </c>
      <c r="M623">
        <f t="shared" si="18"/>
        <v>28.619999999999997</v>
      </c>
      <c r="N623">
        <f t="shared" si="19"/>
        <v>-24.599999999999998</v>
      </c>
    </row>
    <row r="624" spans="11:14" x14ac:dyDescent="0.3">
      <c r="K624" t="s">
        <v>781</v>
      </c>
      <c r="L624">
        <v>4.0199999999999996</v>
      </c>
      <c r="M624">
        <f t="shared" si="18"/>
        <v>28.619999999999997</v>
      </c>
      <c r="N624">
        <f t="shared" si="19"/>
        <v>-24.599999999999998</v>
      </c>
    </row>
    <row r="625" spans="11:14" x14ac:dyDescent="0.3">
      <c r="K625" t="s">
        <v>781</v>
      </c>
      <c r="L625">
        <v>4.0199999999999996</v>
      </c>
      <c r="M625">
        <f t="shared" si="18"/>
        <v>28.619999999999997</v>
      </c>
      <c r="N625">
        <f t="shared" si="19"/>
        <v>-24.599999999999998</v>
      </c>
    </row>
    <row r="626" spans="11:14" x14ac:dyDescent="0.3">
      <c r="K626" t="s">
        <v>781</v>
      </c>
      <c r="L626">
        <v>4.0199999999999996</v>
      </c>
      <c r="M626">
        <f t="shared" si="18"/>
        <v>28.619999999999997</v>
      </c>
      <c r="N626">
        <f t="shared" si="19"/>
        <v>-24.599999999999998</v>
      </c>
    </row>
    <row r="627" spans="11:14" x14ac:dyDescent="0.3">
      <c r="K627" t="s">
        <v>781</v>
      </c>
      <c r="L627">
        <v>4.0199999999999996</v>
      </c>
      <c r="M627">
        <f t="shared" si="18"/>
        <v>28.619999999999997</v>
      </c>
      <c r="N627">
        <f t="shared" si="19"/>
        <v>-24.599999999999998</v>
      </c>
    </row>
    <row r="628" spans="11:14" x14ac:dyDescent="0.3">
      <c r="K628" t="s">
        <v>781</v>
      </c>
      <c r="L628">
        <v>4.0199999999999996</v>
      </c>
      <c r="M628">
        <f t="shared" si="18"/>
        <v>28.619999999999997</v>
      </c>
      <c r="N628">
        <f t="shared" si="19"/>
        <v>-24.599999999999998</v>
      </c>
    </row>
    <row r="629" spans="11:14" x14ac:dyDescent="0.3">
      <c r="K629" t="s">
        <v>781</v>
      </c>
      <c r="L629">
        <v>4.0199999999999996</v>
      </c>
      <c r="M629">
        <f t="shared" si="18"/>
        <v>28.619999999999997</v>
      </c>
      <c r="N629">
        <f t="shared" si="19"/>
        <v>-24.599999999999998</v>
      </c>
    </row>
    <row r="630" spans="11:14" x14ac:dyDescent="0.3">
      <c r="K630" t="s">
        <v>782</v>
      </c>
      <c r="L630">
        <v>2.2574000000000001</v>
      </c>
      <c r="M630">
        <f t="shared" si="18"/>
        <v>7.1549999999999994</v>
      </c>
      <c r="N630">
        <f t="shared" si="19"/>
        <v>-4.8975999999999988</v>
      </c>
    </row>
    <row r="631" spans="11:14" x14ac:dyDescent="0.3">
      <c r="K631" t="s">
        <v>782</v>
      </c>
      <c r="L631">
        <v>2.2574000000000001</v>
      </c>
      <c r="M631">
        <f t="shared" si="18"/>
        <v>7.1549999999999994</v>
      </c>
      <c r="N631">
        <f t="shared" si="19"/>
        <v>-4.8975999999999988</v>
      </c>
    </row>
    <row r="632" spans="11:14" x14ac:dyDescent="0.3">
      <c r="K632" t="s">
        <v>783</v>
      </c>
      <c r="L632">
        <v>4.0199999999999996</v>
      </c>
      <c r="M632">
        <f t="shared" si="18"/>
        <v>3.5774999999999997</v>
      </c>
      <c r="N632">
        <f t="shared" si="19"/>
        <v>0.44249999999999989</v>
      </c>
    </row>
    <row r="633" spans="11:14" x14ac:dyDescent="0.3">
      <c r="K633" t="s">
        <v>784</v>
      </c>
      <c r="L633">
        <v>4.0199999999999996</v>
      </c>
      <c r="M633">
        <f t="shared" si="18"/>
        <v>3.5774999999999997</v>
      </c>
      <c r="N633">
        <f t="shared" si="19"/>
        <v>0.44249999999999989</v>
      </c>
    </row>
    <row r="634" spans="11:14" x14ac:dyDescent="0.3">
      <c r="K634" t="s">
        <v>785</v>
      </c>
      <c r="L634">
        <v>4.0199999999999996</v>
      </c>
      <c r="M634">
        <f t="shared" si="18"/>
        <v>10.732499999999998</v>
      </c>
      <c r="N634">
        <f t="shared" si="19"/>
        <v>-6.7124999999999986</v>
      </c>
    </row>
    <row r="635" spans="11:14" x14ac:dyDescent="0.3">
      <c r="K635" t="s">
        <v>785</v>
      </c>
      <c r="L635">
        <v>4.0199999999999996</v>
      </c>
      <c r="M635">
        <f t="shared" si="18"/>
        <v>10.732499999999998</v>
      </c>
      <c r="N635">
        <f t="shared" si="19"/>
        <v>-6.7124999999999986</v>
      </c>
    </row>
    <row r="636" spans="11:14" x14ac:dyDescent="0.3">
      <c r="K636" t="s">
        <v>785</v>
      </c>
      <c r="L636">
        <v>4.0199999999999996</v>
      </c>
      <c r="M636">
        <f t="shared" si="18"/>
        <v>10.732499999999998</v>
      </c>
      <c r="N636">
        <f t="shared" si="19"/>
        <v>-6.7124999999999986</v>
      </c>
    </row>
    <row r="637" spans="11:14" x14ac:dyDescent="0.3">
      <c r="K637" t="s">
        <v>786</v>
      </c>
      <c r="L637">
        <v>2.9750000000000001</v>
      </c>
      <c r="M637">
        <f t="shared" si="18"/>
        <v>2.5324999999999998</v>
      </c>
      <c r="N637">
        <f t="shared" si="19"/>
        <v>0.44250000000000034</v>
      </c>
    </row>
    <row r="638" spans="11:14" x14ac:dyDescent="0.3">
      <c r="K638" t="s">
        <v>787</v>
      </c>
      <c r="L638">
        <v>4.0199999999999996</v>
      </c>
      <c r="M638">
        <f t="shared" si="18"/>
        <v>3.5774999999999997</v>
      </c>
      <c r="N638">
        <f t="shared" si="19"/>
        <v>0.44249999999999989</v>
      </c>
    </row>
    <row r="639" spans="11:14" x14ac:dyDescent="0.3">
      <c r="K639" t="s">
        <v>788</v>
      </c>
      <c r="L639">
        <v>4.0199999999999996</v>
      </c>
      <c r="M639">
        <f t="shared" si="18"/>
        <v>3.5774999999999997</v>
      </c>
      <c r="N639">
        <f t="shared" si="19"/>
        <v>0.44249999999999989</v>
      </c>
    </row>
    <row r="640" spans="11:14" x14ac:dyDescent="0.3">
      <c r="K640" t="s">
        <v>789</v>
      </c>
      <c r="L640">
        <v>4.0199999999999996</v>
      </c>
      <c r="M640">
        <f t="shared" si="18"/>
        <v>3.5774999999999997</v>
      </c>
      <c r="N640">
        <f t="shared" si="19"/>
        <v>0.44249999999999989</v>
      </c>
    </row>
    <row r="641" spans="11:14" x14ac:dyDescent="0.3">
      <c r="K641" t="s">
        <v>790</v>
      </c>
      <c r="L641">
        <v>4.0199999999999996</v>
      </c>
      <c r="M641">
        <f t="shared" si="18"/>
        <v>3.5774999999999997</v>
      </c>
      <c r="N641">
        <f t="shared" si="19"/>
        <v>0.44249999999999989</v>
      </c>
    </row>
    <row r="642" spans="11:14" x14ac:dyDescent="0.3">
      <c r="K642" t="s">
        <v>791</v>
      </c>
      <c r="L642">
        <v>4.0199999999999996</v>
      </c>
      <c r="M642">
        <f t="shared" si="18"/>
        <v>3.5774999999999997</v>
      </c>
      <c r="N642">
        <f t="shared" si="19"/>
        <v>0.44249999999999989</v>
      </c>
    </row>
    <row r="643" spans="11:14" x14ac:dyDescent="0.3">
      <c r="K643" t="s">
        <v>792</v>
      </c>
      <c r="L643">
        <v>17.809100000000001</v>
      </c>
      <c r="M643">
        <f t="shared" ref="M643:M706" si="20">_xlfn.XLOOKUP(K643,A:A,B:B)</f>
        <v>32.967117500000001</v>
      </c>
      <c r="N643">
        <f t="shared" ref="N643:N706" si="21">L643-M643</f>
        <v>-15.1580175</v>
      </c>
    </row>
    <row r="644" spans="11:14" x14ac:dyDescent="0.3">
      <c r="K644" t="s">
        <v>792</v>
      </c>
      <c r="L644">
        <v>17.809100000000001</v>
      </c>
      <c r="M644">
        <f t="shared" si="20"/>
        <v>32.967117500000001</v>
      </c>
      <c r="N644">
        <f t="shared" si="21"/>
        <v>-15.1580175</v>
      </c>
    </row>
    <row r="645" spans="11:14" x14ac:dyDescent="0.3">
      <c r="K645" t="s">
        <v>793</v>
      </c>
      <c r="L645">
        <v>19.5352</v>
      </c>
      <c r="M645">
        <f t="shared" si="20"/>
        <v>19.572901874999999</v>
      </c>
      <c r="N645">
        <f t="shared" si="21"/>
        <v>-3.7701874999999774E-2</v>
      </c>
    </row>
    <row r="646" spans="11:14" x14ac:dyDescent="0.3">
      <c r="K646" t="s">
        <v>794</v>
      </c>
      <c r="L646">
        <v>17.759799999999998</v>
      </c>
      <c r="M646">
        <f t="shared" si="20"/>
        <v>16.652059000000001</v>
      </c>
      <c r="N646">
        <f t="shared" si="21"/>
        <v>1.1077409999999972</v>
      </c>
    </row>
    <row r="647" spans="11:14" x14ac:dyDescent="0.3">
      <c r="K647" t="s">
        <v>795</v>
      </c>
      <c r="L647">
        <v>10.9194</v>
      </c>
      <c r="M647">
        <f t="shared" si="20"/>
        <v>16.652059000000001</v>
      </c>
      <c r="N647">
        <f t="shared" si="21"/>
        <v>-5.7326590000000017</v>
      </c>
    </row>
    <row r="648" spans="11:14" x14ac:dyDescent="0.3">
      <c r="K648" t="s">
        <v>796</v>
      </c>
      <c r="L648">
        <v>18.173999999999999</v>
      </c>
      <c r="M648">
        <f t="shared" si="20"/>
        <v>19.769485499999998</v>
      </c>
      <c r="N648">
        <f t="shared" si="21"/>
        <v>-1.5954854999999988</v>
      </c>
    </row>
    <row r="649" spans="11:14" x14ac:dyDescent="0.3">
      <c r="K649" t="s">
        <v>797</v>
      </c>
      <c r="L649">
        <v>4.0199999999999996</v>
      </c>
      <c r="M649">
        <f t="shared" si="20"/>
        <v>35.774999999999999</v>
      </c>
      <c r="N649">
        <f t="shared" si="21"/>
        <v>-31.754999999999999</v>
      </c>
    </row>
    <row r="650" spans="11:14" x14ac:dyDescent="0.3">
      <c r="K650" t="s">
        <v>797</v>
      </c>
      <c r="L650">
        <v>4.0199999999999996</v>
      </c>
      <c r="M650">
        <f t="shared" si="20"/>
        <v>35.774999999999999</v>
      </c>
      <c r="N650">
        <f t="shared" si="21"/>
        <v>-31.754999999999999</v>
      </c>
    </row>
    <row r="651" spans="11:14" x14ac:dyDescent="0.3">
      <c r="K651" t="s">
        <v>797</v>
      </c>
      <c r="L651">
        <v>4.0199999999999996</v>
      </c>
      <c r="M651">
        <f t="shared" si="20"/>
        <v>35.774999999999999</v>
      </c>
      <c r="N651">
        <f t="shared" si="21"/>
        <v>-31.754999999999999</v>
      </c>
    </row>
    <row r="652" spans="11:14" x14ac:dyDescent="0.3">
      <c r="K652" t="s">
        <v>797</v>
      </c>
      <c r="L652">
        <v>4.0199999999999996</v>
      </c>
      <c r="M652">
        <f t="shared" si="20"/>
        <v>35.774999999999999</v>
      </c>
      <c r="N652">
        <f t="shared" si="21"/>
        <v>-31.754999999999999</v>
      </c>
    </row>
    <row r="653" spans="11:14" x14ac:dyDescent="0.3">
      <c r="K653" t="s">
        <v>797</v>
      </c>
      <c r="L653">
        <v>4.0199999999999996</v>
      </c>
      <c r="M653">
        <f t="shared" si="20"/>
        <v>35.774999999999999</v>
      </c>
      <c r="N653">
        <f t="shared" si="21"/>
        <v>-31.754999999999999</v>
      </c>
    </row>
    <row r="654" spans="11:14" x14ac:dyDescent="0.3">
      <c r="K654" t="s">
        <v>797</v>
      </c>
      <c r="L654">
        <v>4.0199999999999996</v>
      </c>
      <c r="M654">
        <f t="shared" si="20"/>
        <v>35.774999999999999</v>
      </c>
      <c r="N654">
        <f t="shared" si="21"/>
        <v>-31.754999999999999</v>
      </c>
    </row>
    <row r="655" spans="11:14" x14ac:dyDescent="0.3">
      <c r="K655" t="s">
        <v>797</v>
      </c>
      <c r="L655">
        <v>4.0199999999999996</v>
      </c>
      <c r="M655">
        <f t="shared" si="20"/>
        <v>35.774999999999999</v>
      </c>
      <c r="N655">
        <f t="shared" si="21"/>
        <v>-31.754999999999999</v>
      </c>
    </row>
    <row r="656" spans="11:14" x14ac:dyDescent="0.3">
      <c r="K656" t="s">
        <v>797</v>
      </c>
      <c r="L656">
        <v>4.0199999999999996</v>
      </c>
      <c r="M656">
        <f t="shared" si="20"/>
        <v>35.774999999999999</v>
      </c>
      <c r="N656">
        <f t="shared" si="21"/>
        <v>-31.754999999999999</v>
      </c>
    </row>
    <row r="657" spans="11:14" x14ac:dyDescent="0.3">
      <c r="K657" t="s">
        <v>797</v>
      </c>
      <c r="L657">
        <v>4.0199999999999996</v>
      </c>
      <c r="M657">
        <f t="shared" si="20"/>
        <v>35.774999999999999</v>
      </c>
      <c r="N657">
        <f t="shared" si="21"/>
        <v>-31.754999999999999</v>
      </c>
    </row>
    <row r="658" spans="11:14" x14ac:dyDescent="0.3">
      <c r="K658" t="s">
        <v>797</v>
      </c>
      <c r="L658">
        <v>4.0199999999999996</v>
      </c>
      <c r="M658">
        <f t="shared" si="20"/>
        <v>35.774999999999999</v>
      </c>
      <c r="N658">
        <f t="shared" si="21"/>
        <v>-31.754999999999999</v>
      </c>
    </row>
    <row r="659" spans="11:14" x14ac:dyDescent="0.3">
      <c r="K659" t="s">
        <v>798</v>
      </c>
      <c r="L659">
        <v>2.9750000000000001</v>
      </c>
      <c r="M659">
        <f t="shared" si="20"/>
        <v>2.5324999999999998</v>
      </c>
      <c r="N659">
        <f t="shared" si="21"/>
        <v>0.44250000000000034</v>
      </c>
    </row>
    <row r="660" spans="11:14" x14ac:dyDescent="0.3">
      <c r="K660" t="s">
        <v>799</v>
      </c>
      <c r="L660">
        <v>4.0199999999999996</v>
      </c>
      <c r="M660">
        <f t="shared" si="20"/>
        <v>3.5774999999999997</v>
      </c>
      <c r="N660">
        <f t="shared" si="21"/>
        <v>0.44249999999999989</v>
      </c>
    </row>
    <row r="661" spans="11:14" x14ac:dyDescent="0.3">
      <c r="K661" t="s">
        <v>800</v>
      </c>
      <c r="L661">
        <v>4.0199999999999996</v>
      </c>
      <c r="M661">
        <f t="shared" si="20"/>
        <v>3.5774999999999997</v>
      </c>
      <c r="N661">
        <f t="shared" si="21"/>
        <v>0.44249999999999989</v>
      </c>
    </row>
    <row r="662" spans="11:14" x14ac:dyDescent="0.3">
      <c r="K662" t="s">
        <v>801</v>
      </c>
      <c r="L662">
        <v>2.2574000000000001</v>
      </c>
      <c r="M662">
        <f t="shared" si="20"/>
        <v>3.5774999999999997</v>
      </c>
      <c r="N662">
        <f t="shared" si="21"/>
        <v>-1.3200999999999996</v>
      </c>
    </row>
    <row r="663" spans="11:14" x14ac:dyDescent="0.3">
      <c r="K663" t="s">
        <v>802</v>
      </c>
      <c r="L663">
        <v>2.2574000000000001</v>
      </c>
      <c r="M663">
        <f t="shared" si="20"/>
        <v>14.309999999999999</v>
      </c>
      <c r="N663">
        <f t="shared" si="21"/>
        <v>-12.052599999999998</v>
      </c>
    </row>
    <row r="664" spans="11:14" x14ac:dyDescent="0.3">
      <c r="K664" t="s">
        <v>802</v>
      </c>
      <c r="L664">
        <v>2.2574000000000001</v>
      </c>
      <c r="M664">
        <f t="shared" si="20"/>
        <v>14.309999999999999</v>
      </c>
      <c r="N664">
        <f t="shared" si="21"/>
        <v>-12.052599999999998</v>
      </c>
    </row>
    <row r="665" spans="11:14" x14ac:dyDescent="0.3">
      <c r="K665" t="s">
        <v>802</v>
      </c>
      <c r="L665">
        <v>2.2574000000000001</v>
      </c>
      <c r="M665">
        <f t="shared" si="20"/>
        <v>14.309999999999999</v>
      </c>
      <c r="N665">
        <f t="shared" si="21"/>
        <v>-12.052599999999998</v>
      </c>
    </row>
    <row r="666" spans="11:14" x14ac:dyDescent="0.3">
      <c r="K666" t="s">
        <v>802</v>
      </c>
      <c r="L666">
        <v>2.2574000000000001</v>
      </c>
      <c r="M666">
        <f t="shared" si="20"/>
        <v>14.309999999999999</v>
      </c>
      <c r="N666">
        <f t="shared" si="21"/>
        <v>-12.052599999999998</v>
      </c>
    </row>
    <row r="667" spans="11:14" x14ac:dyDescent="0.3">
      <c r="K667" t="s">
        <v>803</v>
      </c>
      <c r="L667">
        <v>4.0199999999999996</v>
      </c>
      <c r="M667">
        <f t="shared" si="20"/>
        <v>14.309999999999999</v>
      </c>
      <c r="N667">
        <f t="shared" si="21"/>
        <v>-10.29</v>
      </c>
    </row>
    <row r="668" spans="11:14" x14ac:dyDescent="0.3">
      <c r="K668" t="s">
        <v>803</v>
      </c>
      <c r="L668">
        <v>4.0199999999999996</v>
      </c>
      <c r="M668">
        <f t="shared" si="20"/>
        <v>14.309999999999999</v>
      </c>
      <c r="N668">
        <f t="shared" si="21"/>
        <v>-10.29</v>
      </c>
    </row>
    <row r="669" spans="11:14" x14ac:dyDescent="0.3">
      <c r="K669" t="s">
        <v>803</v>
      </c>
      <c r="L669">
        <v>4.0199999999999996</v>
      </c>
      <c r="M669">
        <f t="shared" si="20"/>
        <v>14.309999999999999</v>
      </c>
      <c r="N669">
        <f t="shared" si="21"/>
        <v>-10.29</v>
      </c>
    </row>
    <row r="670" spans="11:14" x14ac:dyDescent="0.3">
      <c r="K670" t="s">
        <v>803</v>
      </c>
      <c r="L670">
        <v>4.0199999999999996</v>
      </c>
      <c r="M670">
        <f t="shared" si="20"/>
        <v>14.309999999999999</v>
      </c>
      <c r="N670">
        <f t="shared" si="21"/>
        <v>-10.29</v>
      </c>
    </row>
    <row r="671" spans="11:14" x14ac:dyDescent="0.3">
      <c r="K671" t="s">
        <v>804</v>
      </c>
      <c r="L671">
        <v>4.0199999999999996</v>
      </c>
      <c r="M671">
        <f t="shared" si="20"/>
        <v>3.5774999999999997</v>
      </c>
      <c r="N671">
        <f t="shared" si="21"/>
        <v>0.44249999999999989</v>
      </c>
    </row>
    <row r="672" spans="11:14" x14ac:dyDescent="0.3">
      <c r="K672" t="s">
        <v>805</v>
      </c>
      <c r="L672">
        <v>4.0199999999999996</v>
      </c>
      <c r="M672">
        <f t="shared" si="20"/>
        <v>42.93</v>
      </c>
      <c r="N672">
        <f t="shared" si="21"/>
        <v>-38.909999999999997</v>
      </c>
    </row>
    <row r="673" spans="11:14" x14ac:dyDescent="0.3">
      <c r="K673" t="s">
        <v>805</v>
      </c>
      <c r="L673">
        <v>4.0199999999999996</v>
      </c>
      <c r="M673">
        <f t="shared" si="20"/>
        <v>42.93</v>
      </c>
      <c r="N673">
        <f t="shared" si="21"/>
        <v>-38.909999999999997</v>
      </c>
    </row>
    <row r="674" spans="11:14" x14ac:dyDescent="0.3">
      <c r="K674" t="s">
        <v>805</v>
      </c>
      <c r="L674">
        <v>4.0199999999999996</v>
      </c>
      <c r="M674">
        <f t="shared" si="20"/>
        <v>42.93</v>
      </c>
      <c r="N674">
        <f t="shared" si="21"/>
        <v>-38.909999999999997</v>
      </c>
    </row>
    <row r="675" spans="11:14" x14ac:dyDescent="0.3">
      <c r="K675" t="s">
        <v>805</v>
      </c>
      <c r="L675">
        <v>4.0199999999999996</v>
      </c>
      <c r="M675">
        <f t="shared" si="20"/>
        <v>42.93</v>
      </c>
      <c r="N675">
        <f t="shared" si="21"/>
        <v>-38.909999999999997</v>
      </c>
    </row>
    <row r="676" spans="11:14" x14ac:dyDescent="0.3">
      <c r="K676" t="s">
        <v>805</v>
      </c>
      <c r="L676">
        <v>4.0199999999999996</v>
      </c>
      <c r="M676">
        <f t="shared" si="20"/>
        <v>42.93</v>
      </c>
      <c r="N676">
        <f t="shared" si="21"/>
        <v>-38.909999999999997</v>
      </c>
    </row>
    <row r="677" spans="11:14" x14ac:dyDescent="0.3">
      <c r="K677" t="s">
        <v>805</v>
      </c>
      <c r="L677">
        <v>4.0199999999999996</v>
      </c>
      <c r="M677">
        <f t="shared" si="20"/>
        <v>42.93</v>
      </c>
      <c r="N677">
        <f t="shared" si="21"/>
        <v>-38.909999999999997</v>
      </c>
    </row>
    <row r="678" spans="11:14" x14ac:dyDescent="0.3">
      <c r="K678" t="s">
        <v>805</v>
      </c>
      <c r="L678">
        <v>4.0199999999999996</v>
      </c>
      <c r="M678">
        <f t="shared" si="20"/>
        <v>42.93</v>
      </c>
      <c r="N678">
        <f t="shared" si="21"/>
        <v>-38.909999999999997</v>
      </c>
    </row>
    <row r="679" spans="11:14" x14ac:dyDescent="0.3">
      <c r="K679" t="s">
        <v>805</v>
      </c>
      <c r="L679">
        <v>4.0199999999999996</v>
      </c>
      <c r="M679">
        <f t="shared" si="20"/>
        <v>42.93</v>
      </c>
      <c r="N679">
        <f t="shared" si="21"/>
        <v>-38.909999999999997</v>
      </c>
    </row>
    <row r="680" spans="11:14" x14ac:dyDescent="0.3">
      <c r="K680" t="s">
        <v>805</v>
      </c>
      <c r="L680">
        <v>4.0199999999999996</v>
      </c>
      <c r="M680">
        <f t="shared" si="20"/>
        <v>42.93</v>
      </c>
      <c r="N680">
        <f t="shared" si="21"/>
        <v>-38.909999999999997</v>
      </c>
    </row>
    <row r="681" spans="11:14" x14ac:dyDescent="0.3">
      <c r="K681" t="s">
        <v>805</v>
      </c>
      <c r="L681">
        <v>4.0199999999999996</v>
      </c>
      <c r="M681">
        <f t="shared" si="20"/>
        <v>42.93</v>
      </c>
      <c r="N681">
        <f t="shared" si="21"/>
        <v>-38.909999999999997</v>
      </c>
    </row>
    <row r="682" spans="11:14" x14ac:dyDescent="0.3">
      <c r="K682" t="s">
        <v>805</v>
      </c>
      <c r="L682">
        <v>4.0199999999999996</v>
      </c>
      <c r="M682">
        <f t="shared" si="20"/>
        <v>42.93</v>
      </c>
      <c r="N682">
        <f t="shared" si="21"/>
        <v>-38.909999999999997</v>
      </c>
    </row>
    <row r="683" spans="11:14" x14ac:dyDescent="0.3">
      <c r="K683" t="s">
        <v>805</v>
      </c>
      <c r="L683">
        <v>4.0199999999999996</v>
      </c>
      <c r="M683">
        <f t="shared" si="20"/>
        <v>42.93</v>
      </c>
      <c r="N683">
        <f t="shared" si="21"/>
        <v>-38.909999999999997</v>
      </c>
    </row>
    <row r="684" spans="11:14" x14ac:dyDescent="0.3">
      <c r="K684" t="s">
        <v>806</v>
      </c>
      <c r="L684">
        <v>2.9117000000000002</v>
      </c>
      <c r="M684">
        <f t="shared" si="20"/>
        <v>3.5774999999999997</v>
      </c>
      <c r="N684">
        <f t="shared" si="21"/>
        <v>-0.6657999999999995</v>
      </c>
    </row>
    <row r="685" spans="11:14" x14ac:dyDescent="0.3">
      <c r="K685" t="s">
        <v>807</v>
      </c>
      <c r="L685">
        <v>2.9117000000000002</v>
      </c>
      <c r="M685">
        <f t="shared" si="20"/>
        <v>10.732499999999998</v>
      </c>
      <c r="N685">
        <f t="shared" si="21"/>
        <v>-7.8207999999999984</v>
      </c>
    </row>
    <row r="686" spans="11:14" x14ac:dyDescent="0.3">
      <c r="K686" t="s">
        <v>807</v>
      </c>
      <c r="L686">
        <v>2.9117000000000002</v>
      </c>
      <c r="M686">
        <f t="shared" si="20"/>
        <v>10.732499999999998</v>
      </c>
      <c r="N686">
        <f t="shared" si="21"/>
        <v>-7.8207999999999984</v>
      </c>
    </row>
    <row r="687" spans="11:14" x14ac:dyDescent="0.3">
      <c r="K687" t="s">
        <v>807</v>
      </c>
      <c r="L687">
        <v>2.9117000000000002</v>
      </c>
      <c r="M687">
        <f t="shared" si="20"/>
        <v>10.732499999999998</v>
      </c>
      <c r="N687">
        <f t="shared" si="21"/>
        <v>-7.8207999999999984</v>
      </c>
    </row>
    <row r="688" spans="11:14" x14ac:dyDescent="0.3">
      <c r="K688" t="s">
        <v>808</v>
      </c>
      <c r="L688">
        <v>4.0199999999999996</v>
      </c>
      <c r="M688">
        <f t="shared" si="20"/>
        <v>3.5774999999999997</v>
      </c>
      <c r="N688">
        <f t="shared" si="21"/>
        <v>0.44249999999999989</v>
      </c>
    </row>
    <row r="689" spans="11:14" x14ac:dyDescent="0.3">
      <c r="K689" t="s">
        <v>809</v>
      </c>
      <c r="L689">
        <v>4.0199999999999996</v>
      </c>
      <c r="M689">
        <f t="shared" si="20"/>
        <v>3.5774999999999997</v>
      </c>
      <c r="N689">
        <f t="shared" si="21"/>
        <v>0.44249999999999989</v>
      </c>
    </row>
    <row r="690" spans="11:14" x14ac:dyDescent="0.3">
      <c r="K690" t="s">
        <v>810</v>
      </c>
      <c r="L690">
        <v>4.0199999999999996</v>
      </c>
      <c r="M690">
        <f t="shared" si="20"/>
        <v>35.774999999999999</v>
      </c>
      <c r="N690">
        <f t="shared" si="21"/>
        <v>-31.754999999999999</v>
      </c>
    </row>
    <row r="691" spans="11:14" x14ac:dyDescent="0.3">
      <c r="K691" t="s">
        <v>810</v>
      </c>
      <c r="L691">
        <v>4.0199999999999996</v>
      </c>
      <c r="M691">
        <f t="shared" si="20"/>
        <v>35.774999999999999</v>
      </c>
      <c r="N691">
        <f t="shared" si="21"/>
        <v>-31.754999999999999</v>
      </c>
    </row>
    <row r="692" spans="11:14" x14ac:dyDescent="0.3">
      <c r="K692" t="s">
        <v>810</v>
      </c>
      <c r="L692">
        <v>4.0199999999999996</v>
      </c>
      <c r="M692">
        <f t="shared" si="20"/>
        <v>35.774999999999999</v>
      </c>
      <c r="N692">
        <f t="shared" si="21"/>
        <v>-31.754999999999999</v>
      </c>
    </row>
    <row r="693" spans="11:14" x14ac:dyDescent="0.3">
      <c r="K693" t="s">
        <v>810</v>
      </c>
      <c r="L693">
        <v>4.0199999999999996</v>
      </c>
      <c r="M693">
        <f t="shared" si="20"/>
        <v>35.774999999999999</v>
      </c>
      <c r="N693">
        <f t="shared" si="21"/>
        <v>-31.754999999999999</v>
      </c>
    </row>
    <row r="694" spans="11:14" x14ac:dyDescent="0.3">
      <c r="K694" t="s">
        <v>810</v>
      </c>
      <c r="L694">
        <v>4.0199999999999996</v>
      </c>
      <c r="M694">
        <f t="shared" si="20"/>
        <v>35.774999999999999</v>
      </c>
      <c r="N694">
        <f t="shared" si="21"/>
        <v>-31.754999999999999</v>
      </c>
    </row>
    <row r="695" spans="11:14" x14ac:dyDescent="0.3">
      <c r="K695" t="s">
        <v>810</v>
      </c>
      <c r="L695">
        <v>4.0199999999999996</v>
      </c>
      <c r="M695">
        <f t="shared" si="20"/>
        <v>35.774999999999999</v>
      </c>
      <c r="N695">
        <f t="shared" si="21"/>
        <v>-31.754999999999999</v>
      </c>
    </row>
    <row r="696" spans="11:14" x14ac:dyDescent="0.3">
      <c r="K696" t="s">
        <v>810</v>
      </c>
      <c r="L696">
        <v>4.0199999999999996</v>
      </c>
      <c r="M696">
        <f t="shared" si="20"/>
        <v>35.774999999999999</v>
      </c>
      <c r="N696">
        <f t="shared" si="21"/>
        <v>-31.754999999999999</v>
      </c>
    </row>
    <row r="697" spans="11:14" x14ac:dyDescent="0.3">
      <c r="K697" t="s">
        <v>810</v>
      </c>
      <c r="L697">
        <v>4.0199999999999996</v>
      </c>
      <c r="M697">
        <f t="shared" si="20"/>
        <v>35.774999999999999</v>
      </c>
      <c r="N697">
        <f t="shared" si="21"/>
        <v>-31.754999999999999</v>
      </c>
    </row>
    <row r="698" spans="11:14" x14ac:dyDescent="0.3">
      <c r="K698" t="s">
        <v>810</v>
      </c>
      <c r="L698">
        <v>4.0199999999999996</v>
      </c>
      <c r="M698">
        <f t="shared" si="20"/>
        <v>35.774999999999999</v>
      </c>
      <c r="N698">
        <f t="shared" si="21"/>
        <v>-31.754999999999999</v>
      </c>
    </row>
    <row r="699" spans="11:14" x14ac:dyDescent="0.3">
      <c r="K699" t="s">
        <v>810</v>
      </c>
      <c r="L699">
        <v>4.0199999999999996</v>
      </c>
      <c r="M699">
        <f t="shared" si="20"/>
        <v>35.774999999999999</v>
      </c>
      <c r="N699">
        <f t="shared" si="21"/>
        <v>-31.754999999999999</v>
      </c>
    </row>
    <row r="700" spans="11:14" x14ac:dyDescent="0.3">
      <c r="K700" t="s">
        <v>811</v>
      </c>
      <c r="L700">
        <v>2.2574000000000001</v>
      </c>
      <c r="M700">
        <f t="shared" si="20"/>
        <v>7.1549999999999994</v>
      </c>
      <c r="N700">
        <f t="shared" si="21"/>
        <v>-4.8975999999999988</v>
      </c>
    </row>
    <row r="701" spans="11:14" x14ac:dyDescent="0.3">
      <c r="K701" t="s">
        <v>811</v>
      </c>
      <c r="L701">
        <v>2.2574000000000001</v>
      </c>
      <c r="M701">
        <f t="shared" si="20"/>
        <v>7.1549999999999994</v>
      </c>
      <c r="N701">
        <f t="shared" si="21"/>
        <v>-4.8975999999999988</v>
      </c>
    </row>
    <row r="702" spans="11:14" x14ac:dyDescent="0.3">
      <c r="K702" t="s">
        <v>812</v>
      </c>
      <c r="L702">
        <v>2.6111</v>
      </c>
      <c r="M702">
        <f t="shared" si="20"/>
        <v>3.5774999999999997</v>
      </c>
      <c r="N702">
        <f t="shared" si="21"/>
        <v>-0.9663999999999997</v>
      </c>
    </row>
    <row r="703" spans="11:14" x14ac:dyDescent="0.3">
      <c r="K703" t="s">
        <v>813</v>
      </c>
      <c r="L703">
        <v>4.0199999999999996</v>
      </c>
      <c r="M703">
        <f t="shared" si="20"/>
        <v>3.5774999999999997</v>
      </c>
      <c r="N703">
        <f t="shared" si="21"/>
        <v>0.44249999999999989</v>
      </c>
    </row>
    <row r="704" spans="11:14" x14ac:dyDescent="0.3">
      <c r="K704" t="s">
        <v>814</v>
      </c>
      <c r="L704">
        <v>4.0199999999999996</v>
      </c>
      <c r="M704">
        <f t="shared" si="20"/>
        <v>3.5774999999999997</v>
      </c>
      <c r="N704">
        <f t="shared" si="21"/>
        <v>0.44249999999999989</v>
      </c>
    </row>
    <row r="705" spans="11:14" x14ac:dyDescent="0.3">
      <c r="K705" t="s">
        <v>815</v>
      </c>
      <c r="L705">
        <v>4.0199999999999996</v>
      </c>
      <c r="M705">
        <f t="shared" si="20"/>
        <v>3.5774999999999997</v>
      </c>
      <c r="N705">
        <f t="shared" si="21"/>
        <v>0.44249999999999989</v>
      </c>
    </row>
    <row r="706" spans="11:14" x14ac:dyDescent="0.3">
      <c r="K706" t="s">
        <v>816</v>
      </c>
      <c r="L706">
        <v>6.11</v>
      </c>
      <c r="M706">
        <f t="shared" si="20"/>
        <v>79.344999999999985</v>
      </c>
      <c r="N706">
        <f t="shared" si="21"/>
        <v>-73.234999999999985</v>
      </c>
    </row>
    <row r="707" spans="11:14" x14ac:dyDescent="0.3">
      <c r="K707" t="s">
        <v>816</v>
      </c>
      <c r="L707">
        <v>6.11</v>
      </c>
      <c r="M707">
        <f t="shared" ref="M707:M770" si="22">_xlfn.XLOOKUP(K707,A:A,B:B)</f>
        <v>79.344999999999985</v>
      </c>
      <c r="N707">
        <f t="shared" ref="N707:N770" si="23">L707-M707</f>
        <v>-73.234999999999985</v>
      </c>
    </row>
    <row r="708" spans="11:14" x14ac:dyDescent="0.3">
      <c r="K708" t="s">
        <v>816</v>
      </c>
      <c r="L708">
        <v>6.11</v>
      </c>
      <c r="M708">
        <f t="shared" si="22"/>
        <v>79.344999999999985</v>
      </c>
      <c r="N708">
        <f t="shared" si="23"/>
        <v>-73.234999999999985</v>
      </c>
    </row>
    <row r="709" spans="11:14" x14ac:dyDescent="0.3">
      <c r="K709" t="s">
        <v>816</v>
      </c>
      <c r="L709">
        <v>6.11</v>
      </c>
      <c r="M709">
        <f t="shared" si="22"/>
        <v>79.344999999999985</v>
      </c>
      <c r="N709">
        <f t="shared" si="23"/>
        <v>-73.234999999999985</v>
      </c>
    </row>
    <row r="710" spans="11:14" x14ac:dyDescent="0.3">
      <c r="K710" t="s">
        <v>816</v>
      </c>
      <c r="L710">
        <v>6.11</v>
      </c>
      <c r="M710">
        <f t="shared" si="22"/>
        <v>79.344999999999985</v>
      </c>
      <c r="N710">
        <f t="shared" si="23"/>
        <v>-73.234999999999985</v>
      </c>
    </row>
    <row r="711" spans="11:14" x14ac:dyDescent="0.3">
      <c r="K711" t="s">
        <v>816</v>
      </c>
      <c r="L711">
        <v>6.11</v>
      </c>
      <c r="M711">
        <f t="shared" si="22"/>
        <v>79.344999999999985</v>
      </c>
      <c r="N711">
        <f t="shared" si="23"/>
        <v>-73.234999999999985</v>
      </c>
    </row>
    <row r="712" spans="11:14" x14ac:dyDescent="0.3">
      <c r="K712" t="s">
        <v>816</v>
      </c>
      <c r="L712">
        <v>6.11</v>
      </c>
      <c r="M712">
        <f t="shared" si="22"/>
        <v>79.344999999999985</v>
      </c>
      <c r="N712">
        <f t="shared" si="23"/>
        <v>-73.234999999999985</v>
      </c>
    </row>
    <row r="713" spans="11:14" x14ac:dyDescent="0.3">
      <c r="K713" t="s">
        <v>816</v>
      </c>
      <c r="L713">
        <v>6.11</v>
      </c>
      <c r="M713">
        <f t="shared" si="22"/>
        <v>79.344999999999985</v>
      </c>
      <c r="N713">
        <f t="shared" si="23"/>
        <v>-73.234999999999985</v>
      </c>
    </row>
    <row r="714" spans="11:14" x14ac:dyDescent="0.3">
      <c r="K714" t="s">
        <v>816</v>
      </c>
      <c r="L714">
        <v>6.11</v>
      </c>
      <c r="M714">
        <f t="shared" si="22"/>
        <v>79.344999999999985</v>
      </c>
      <c r="N714">
        <f t="shared" si="23"/>
        <v>-73.234999999999985</v>
      </c>
    </row>
    <row r="715" spans="11:14" x14ac:dyDescent="0.3">
      <c r="K715" t="s">
        <v>816</v>
      </c>
      <c r="L715">
        <v>6.11</v>
      </c>
      <c r="M715">
        <f t="shared" si="22"/>
        <v>79.344999999999985</v>
      </c>
      <c r="N715">
        <f t="shared" si="23"/>
        <v>-73.234999999999985</v>
      </c>
    </row>
    <row r="716" spans="11:14" x14ac:dyDescent="0.3">
      <c r="K716" t="s">
        <v>816</v>
      </c>
      <c r="L716">
        <v>6.11</v>
      </c>
      <c r="M716">
        <f t="shared" si="22"/>
        <v>79.344999999999985</v>
      </c>
      <c r="N716">
        <f t="shared" si="23"/>
        <v>-73.234999999999985</v>
      </c>
    </row>
    <row r="717" spans="11:14" x14ac:dyDescent="0.3">
      <c r="K717" t="s">
        <v>816</v>
      </c>
      <c r="L717">
        <v>6.11</v>
      </c>
      <c r="M717">
        <f t="shared" si="22"/>
        <v>79.344999999999985</v>
      </c>
      <c r="N717">
        <f t="shared" si="23"/>
        <v>-73.234999999999985</v>
      </c>
    </row>
    <row r="718" spans="11:14" x14ac:dyDescent="0.3">
      <c r="K718" t="s">
        <v>816</v>
      </c>
      <c r="L718">
        <v>6.11</v>
      </c>
      <c r="M718">
        <f t="shared" si="22"/>
        <v>79.344999999999985</v>
      </c>
      <c r="N718">
        <f t="shared" si="23"/>
        <v>-73.234999999999985</v>
      </c>
    </row>
    <row r="719" spans="11:14" x14ac:dyDescent="0.3">
      <c r="K719" t="s">
        <v>816</v>
      </c>
      <c r="L719">
        <v>6.11</v>
      </c>
      <c r="M719">
        <f t="shared" si="22"/>
        <v>79.344999999999985</v>
      </c>
      <c r="N719">
        <f t="shared" si="23"/>
        <v>-73.234999999999985</v>
      </c>
    </row>
    <row r="720" spans="11:14" x14ac:dyDescent="0.3">
      <c r="K720" t="s">
        <v>817</v>
      </c>
      <c r="L720">
        <v>4.0199999999999996</v>
      </c>
      <c r="M720">
        <f t="shared" si="22"/>
        <v>3.5774999999999997</v>
      </c>
      <c r="N720">
        <f t="shared" si="23"/>
        <v>0.44249999999999989</v>
      </c>
    </row>
    <row r="721" spans="11:14" x14ac:dyDescent="0.3">
      <c r="K721" t="s">
        <v>818</v>
      </c>
      <c r="L721">
        <v>4.2628000000000004</v>
      </c>
      <c r="M721">
        <f t="shared" si="22"/>
        <v>17.002499999999998</v>
      </c>
      <c r="N721">
        <f t="shared" si="23"/>
        <v>-12.739699999999997</v>
      </c>
    </row>
    <row r="722" spans="11:14" x14ac:dyDescent="0.3">
      <c r="K722" t="s">
        <v>818</v>
      </c>
      <c r="L722">
        <v>4.2628000000000004</v>
      </c>
      <c r="M722">
        <f t="shared" si="22"/>
        <v>17.002499999999998</v>
      </c>
      <c r="N722">
        <f t="shared" si="23"/>
        <v>-12.739699999999997</v>
      </c>
    </row>
    <row r="723" spans="11:14" x14ac:dyDescent="0.3">
      <c r="K723" t="s">
        <v>818</v>
      </c>
      <c r="L723">
        <v>4.2628000000000004</v>
      </c>
      <c r="M723">
        <f t="shared" si="22"/>
        <v>17.002499999999998</v>
      </c>
      <c r="N723">
        <f t="shared" si="23"/>
        <v>-12.739699999999997</v>
      </c>
    </row>
    <row r="724" spans="11:14" x14ac:dyDescent="0.3">
      <c r="K724" t="s">
        <v>819</v>
      </c>
      <c r="L724">
        <v>6.11</v>
      </c>
      <c r="M724">
        <f t="shared" si="22"/>
        <v>5.6674999999999995</v>
      </c>
      <c r="N724">
        <f t="shared" si="23"/>
        <v>0.44250000000000078</v>
      </c>
    </row>
    <row r="725" spans="11:14" x14ac:dyDescent="0.3">
      <c r="K725" t="s">
        <v>820</v>
      </c>
      <c r="L725">
        <v>6.11</v>
      </c>
      <c r="M725">
        <f t="shared" si="22"/>
        <v>5.6674999999999995</v>
      </c>
      <c r="N725">
        <f t="shared" si="23"/>
        <v>0.44250000000000078</v>
      </c>
    </row>
    <row r="726" spans="11:14" x14ac:dyDescent="0.3">
      <c r="K726" t="s">
        <v>821</v>
      </c>
      <c r="L726">
        <v>6.11</v>
      </c>
      <c r="M726">
        <f t="shared" si="22"/>
        <v>79.344999999999985</v>
      </c>
      <c r="N726">
        <f t="shared" si="23"/>
        <v>-73.234999999999985</v>
      </c>
    </row>
    <row r="727" spans="11:14" x14ac:dyDescent="0.3">
      <c r="K727" t="s">
        <v>821</v>
      </c>
      <c r="L727">
        <v>6.11</v>
      </c>
      <c r="M727">
        <f t="shared" si="22"/>
        <v>79.344999999999985</v>
      </c>
      <c r="N727">
        <f t="shared" si="23"/>
        <v>-73.234999999999985</v>
      </c>
    </row>
    <row r="728" spans="11:14" x14ac:dyDescent="0.3">
      <c r="K728" t="s">
        <v>821</v>
      </c>
      <c r="L728">
        <v>6.11</v>
      </c>
      <c r="M728">
        <f t="shared" si="22"/>
        <v>79.344999999999985</v>
      </c>
      <c r="N728">
        <f t="shared" si="23"/>
        <v>-73.234999999999985</v>
      </c>
    </row>
    <row r="729" spans="11:14" x14ac:dyDescent="0.3">
      <c r="K729" t="s">
        <v>821</v>
      </c>
      <c r="L729">
        <v>6.11</v>
      </c>
      <c r="M729">
        <f t="shared" si="22"/>
        <v>79.344999999999985</v>
      </c>
      <c r="N729">
        <f t="shared" si="23"/>
        <v>-73.234999999999985</v>
      </c>
    </row>
    <row r="730" spans="11:14" x14ac:dyDescent="0.3">
      <c r="K730" t="s">
        <v>821</v>
      </c>
      <c r="L730">
        <v>6.11</v>
      </c>
      <c r="M730">
        <f t="shared" si="22"/>
        <v>79.344999999999985</v>
      </c>
      <c r="N730">
        <f t="shared" si="23"/>
        <v>-73.234999999999985</v>
      </c>
    </row>
    <row r="731" spans="11:14" x14ac:dyDescent="0.3">
      <c r="K731" t="s">
        <v>821</v>
      </c>
      <c r="L731">
        <v>6.11</v>
      </c>
      <c r="M731">
        <f t="shared" si="22"/>
        <v>79.344999999999985</v>
      </c>
      <c r="N731">
        <f t="shared" si="23"/>
        <v>-73.234999999999985</v>
      </c>
    </row>
    <row r="732" spans="11:14" x14ac:dyDescent="0.3">
      <c r="K732" t="s">
        <v>821</v>
      </c>
      <c r="L732">
        <v>6.11</v>
      </c>
      <c r="M732">
        <f t="shared" si="22"/>
        <v>79.344999999999985</v>
      </c>
      <c r="N732">
        <f t="shared" si="23"/>
        <v>-73.234999999999985</v>
      </c>
    </row>
    <row r="733" spans="11:14" x14ac:dyDescent="0.3">
      <c r="K733" t="s">
        <v>821</v>
      </c>
      <c r="L733">
        <v>6.11</v>
      </c>
      <c r="M733">
        <f t="shared" si="22"/>
        <v>79.344999999999985</v>
      </c>
      <c r="N733">
        <f t="shared" si="23"/>
        <v>-73.234999999999985</v>
      </c>
    </row>
    <row r="734" spans="11:14" x14ac:dyDescent="0.3">
      <c r="K734" t="s">
        <v>821</v>
      </c>
      <c r="L734">
        <v>6.11</v>
      </c>
      <c r="M734">
        <f t="shared" si="22"/>
        <v>79.344999999999985</v>
      </c>
      <c r="N734">
        <f t="shared" si="23"/>
        <v>-73.234999999999985</v>
      </c>
    </row>
    <row r="735" spans="11:14" x14ac:dyDescent="0.3">
      <c r="K735" t="s">
        <v>821</v>
      </c>
      <c r="L735">
        <v>6.11</v>
      </c>
      <c r="M735">
        <f t="shared" si="22"/>
        <v>79.344999999999985</v>
      </c>
      <c r="N735">
        <f t="shared" si="23"/>
        <v>-73.234999999999985</v>
      </c>
    </row>
    <row r="736" spans="11:14" x14ac:dyDescent="0.3">
      <c r="K736" t="s">
        <v>821</v>
      </c>
      <c r="L736">
        <v>6.11</v>
      </c>
      <c r="M736">
        <f t="shared" si="22"/>
        <v>79.344999999999985</v>
      </c>
      <c r="N736">
        <f t="shared" si="23"/>
        <v>-73.234999999999985</v>
      </c>
    </row>
    <row r="737" spans="11:14" x14ac:dyDescent="0.3">
      <c r="K737" t="s">
        <v>821</v>
      </c>
      <c r="L737">
        <v>6.11</v>
      </c>
      <c r="M737">
        <f t="shared" si="22"/>
        <v>79.344999999999985</v>
      </c>
      <c r="N737">
        <f t="shared" si="23"/>
        <v>-73.234999999999985</v>
      </c>
    </row>
    <row r="738" spans="11:14" x14ac:dyDescent="0.3">
      <c r="K738" t="s">
        <v>821</v>
      </c>
      <c r="L738">
        <v>6.11</v>
      </c>
      <c r="M738">
        <f t="shared" si="22"/>
        <v>79.344999999999985</v>
      </c>
      <c r="N738">
        <f t="shared" si="23"/>
        <v>-73.234999999999985</v>
      </c>
    </row>
    <row r="739" spans="11:14" x14ac:dyDescent="0.3">
      <c r="K739" t="s">
        <v>821</v>
      </c>
      <c r="L739">
        <v>6.11</v>
      </c>
      <c r="M739">
        <f t="shared" si="22"/>
        <v>79.344999999999985</v>
      </c>
      <c r="N739">
        <f t="shared" si="23"/>
        <v>-73.234999999999985</v>
      </c>
    </row>
    <row r="740" spans="11:14" x14ac:dyDescent="0.3">
      <c r="K740" t="s">
        <v>822</v>
      </c>
      <c r="L740">
        <v>6.11</v>
      </c>
      <c r="M740">
        <f t="shared" si="22"/>
        <v>5.6674999999999995</v>
      </c>
      <c r="N740">
        <f t="shared" si="23"/>
        <v>0.44250000000000078</v>
      </c>
    </row>
    <row r="741" spans="11:14" x14ac:dyDescent="0.3">
      <c r="K741" t="s">
        <v>823</v>
      </c>
      <c r="L741">
        <v>4.2628000000000004</v>
      </c>
      <c r="M741">
        <f t="shared" si="22"/>
        <v>11.334999999999999</v>
      </c>
      <c r="N741">
        <f t="shared" si="23"/>
        <v>-7.0721999999999987</v>
      </c>
    </row>
    <row r="742" spans="11:14" x14ac:dyDescent="0.3">
      <c r="K742" t="s">
        <v>823</v>
      </c>
      <c r="L742">
        <v>4.2628000000000004</v>
      </c>
      <c r="M742">
        <f t="shared" si="22"/>
        <v>11.334999999999999</v>
      </c>
      <c r="N742">
        <f t="shared" si="23"/>
        <v>-7.0721999999999987</v>
      </c>
    </row>
    <row r="743" spans="11:14" x14ac:dyDescent="0.3">
      <c r="K743" t="s">
        <v>824</v>
      </c>
      <c r="L743">
        <v>5.1471</v>
      </c>
      <c r="M743">
        <f t="shared" si="22"/>
        <v>5.6674999999999995</v>
      </c>
      <c r="N743">
        <f t="shared" si="23"/>
        <v>-0.52039999999999953</v>
      </c>
    </row>
    <row r="744" spans="11:14" x14ac:dyDescent="0.3">
      <c r="K744" t="s">
        <v>825</v>
      </c>
      <c r="L744">
        <v>6.11</v>
      </c>
      <c r="M744">
        <f t="shared" si="22"/>
        <v>5.6674999999999995</v>
      </c>
      <c r="N744">
        <f t="shared" si="23"/>
        <v>0.44250000000000078</v>
      </c>
    </row>
    <row r="745" spans="11:14" x14ac:dyDescent="0.3">
      <c r="K745" t="s">
        <v>826</v>
      </c>
      <c r="L745">
        <v>6.11</v>
      </c>
      <c r="M745">
        <f t="shared" si="22"/>
        <v>5.6674999999999995</v>
      </c>
      <c r="N745">
        <f t="shared" si="23"/>
        <v>0.44250000000000078</v>
      </c>
    </row>
    <row r="746" spans="11:14" x14ac:dyDescent="0.3">
      <c r="K746" t="s">
        <v>827</v>
      </c>
      <c r="L746">
        <v>18.0549</v>
      </c>
      <c r="M746">
        <f t="shared" si="22"/>
        <v>68.010000000000005</v>
      </c>
      <c r="N746">
        <f t="shared" si="23"/>
        <v>-49.955100000000002</v>
      </c>
    </row>
    <row r="747" spans="11:14" x14ac:dyDescent="0.3">
      <c r="K747" t="s">
        <v>827</v>
      </c>
      <c r="L747">
        <v>18.0549</v>
      </c>
      <c r="M747">
        <f t="shared" si="22"/>
        <v>68.010000000000005</v>
      </c>
      <c r="N747">
        <f t="shared" si="23"/>
        <v>-49.955100000000002</v>
      </c>
    </row>
    <row r="748" spans="11:14" x14ac:dyDescent="0.3">
      <c r="K748" t="s">
        <v>827</v>
      </c>
      <c r="L748">
        <v>18.0549</v>
      </c>
      <c r="M748">
        <f t="shared" si="22"/>
        <v>68.010000000000005</v>
      </c>
      <c r="N748">
        <f t="shared" si="23"/>
        <v>-49.955100000000002</v>
      </c>
    </row>
    <row r="749" spans="11:14" x14ac:dyDescent="0.3">
      <c r="K749" t="s">
        <v>827</v>
      </c>
      <c r="L749">
        <v>18.0549</v>
      </c>
      <c r="M749">
        <f t="shared" si="22"/>
        <v>68.010000000000005</v>
      </c>
      <c r="N749">
        <f t="shared" si="23"/>
        <v>-49.955100000000002</v>
      </c>
    </row>
    <row r="750" spans="11:14" x14ac:dyDescent="0.3">
      <c r="K750" t="s">
        <v>827</v>
      </c>
      <c r="L750">
        <v>18.0549</v>
      </c>
      <c r="M750">
        <f t="shared" si="22"/>
        <v>68.010000000000005</v>
      </c>
      <c r="N750">
        <f t="shared" si="23"/>
        <v>-49.955100000000002</v>
      </c>
    </row>
    <row r="751" spans="11:14" x14ac:dyDescent="0.3">
      <c r="K751" t="s">
        <v>827</v>
      </c>
      <c r="L751">
        <v>18.0549</v>
      </c>
      <c r="M751">
        <f t="shared" si="22"/>
        <v>68.010000000000005</v>
      </c>
      <c r="N751">
        <f t="shared" si="23"/>
        <v>-49.955100000000002</v>
      </c>
    </row>
    <row r="752" spans="11:14" x14ac:dyDescent="0.3">
      <c r="K752" t="s">
        <v>827</v>
      </c>
      <c r="L752">
        <v>18.0549</v>
      </c>
      <c r="M752">
        <f t="shared" si="22"/>
        <v>68.010000000000005</v>
      </c>
      <c r="N752">
        <f t="shared" si="23"/>
        <v>-49.955100000000002</v>
      </c>
    </row>
    <row r="753" spans="11:14" x14ac:dyDescent="0.3">
      <c r="K753" t="s">
        <v>827</v>
      </c>
      <c r="L753">
        <v>18.0549</v>
      </c>
      <c r="M753">
        <f t="shared" si="22"/>
        <v>68.010000000000005</v>
      </c>
      <c r="N753">
        <f t="shared" si="23"/>
        <v>-49.955100000000002</v>
      </c>
    </row>
    <row r="754" spans="11:14" x14ac:dyDescent="0.3">
      <c r="K754" t="s">
        <v>827</v>
      </c>
      <c r="L754">
        <v>18.0549</v>
      </c>
      <c r="M754">
        <f t="shared" si="22"/>
        <v>68.010000000000005</v>
      </c>
      <c r="N754">
        <f t="shared" si="23"/>
        <v>-49.955100000000002</v>
      </c>
    </row>
    <row r="755" spans="11:14" x14ac:dyDescent="0.3">
      <c r="K755" t="s">
        <v>827</v>
      </c>
      <c r="L755">
        <v>18.0549</v>
      </c>
      <c r="M755">
        <f t="shared" si="22"/>
        <v>68.010000000000005</v>
      </c>
      <c r="N755">
        <f t="shared" si="23"/>
        <v>-49.955100000000002</v>
      </c>
    </row>
    <row r="756" spans="11:14" x14ac:dyDescent="0.3">
      <c r="K756" t="s">
        <v>827</v>
      </c>
      <c r="L756">
        <v>18.0549</v>
      </c>
      <c r="M756">
        <f t="shared" si="22"/>
        <v>68.010000000000005</v>
      </c>
      <c r="N756">
        <f t="shared" si="23"/>
        <v>-49.955100000000002</v>
      </c>
    </row>
    <row r="757" spans="11:14" x14ac:dyDescent="0.3">
      <c r="K757" t="s">
        <v>827</v>
      </c>
      <c r="L757">
        <v>18.0549</v>
      </c>
      <c r="M757">
        <f t="shared" si="22"/>
        <v>68.010000000000005</v>
      </c>
      <c r="N757">
        <f t="shared" si="23"/>
        <v>-49.955100000000002</v>
      </c>
    </row>
    <row r="758" spans="11:14" x14ac:dyDescent="0.3">
      <c r="K758" t="s">
        <v>828</v>
      </c>
      <c r="L758">
        <v>18.917899999999999</v>
      </c>
      <c r="M758">
        <f t="shared" si="22"/>
        <v>17.002499999999998</v>
      </c>
      <c r="N758">
        <f t="shared" si="23"/>
        <v>1.9154000000000018</v>
      </c>
    </row>
    <row r="759" spans="11:14" x14ac:dyDescent="0.3">
      <c r="K759" t="s">
        <v>828</v>
      </c>
      <c r="L759">
        <v>18.917899999999999</v>
      </c>
      <c r="M759">
        <f t="shared" si="22"/>
        <v>17.002499999999998</v>
      </c>
      <c r="N759">
        <f t="shared" si="23"/>
        <v>1.9154000000000018</v>
      </c>
    </row>
    <row r="760" spans="11:14" x14ac:dyDescent="0.3">
      <c r="K760" t="s">
        <v>828</v>
      </c>
      <c r="L760">
        <v>18.917899999999999</v>
      </c>
      <c r="M760">
        <f t="shared" si="22"/>
        <v>17.002499999999998</v>
      </c>
      <c r="N760">
        <f t="shared" si="23"/>
        <v>1.9154000000000018</v>
      </c>
    </row>
    <row r="761" spans="11:14" x14ac:dyDescent="0.3">
      <c r="K761" t="s">
        <v>829</v>
      </c>
      <c r="L761">
        <v>11.2121</v>
      </c>
      <c r="M761">
        <f t="shared" si="22"/>
        <v>5.6674999999999995</v>
      </c>
      <c r="N761">
        <f t="shared" si="23"/>
        <v>5.5446</v>
      </c>
    </row>
    <row r="762" spans="11:14" x14ac:dyDescent="0.3">
      <c r="K762" t="s">
        <v>830</v>
      </c>
      <c r="L762">
        <v>11.2121</v>
      </c>
      <c r="M762">
        <f t="shared" si="22"/>
        <v>5.6674999999999995</v>
      </c>
      <c r="N762">
        <f t="shared" si="23"/>
        <v>5.5446</v>
      </c>
    </row>
    <row r="763" spans="11:14" x14ac:dyDescent="0.3">
      <c r="K763" t="s">
        <v>831</v>
      </c>
      <c r="L763">
        <v>17.893899999999999</v>
      </c>
      <c r="M763">
        <f t="shared" si="22"/>
        <v>39.672499999999992</v>
      </c>
      <c r="N763">
        <f t="shared" si="23"/>
        <v>-21.778599999999994</v>
      </c>
    </row>
    <row r="764" spans="11:14" x14ac:dyDescent="0.3">
      <c r="K764" t="s">
        <v>831</v>
      </c>
      <c r="L764">
        <v>17.893899999999999</v>
      </c>
      <c r="M764">
        <f t="shared" si="22"/>
        <v>39.672499999999992</v>
      </c>
      <c r="N764">
        <f t="shared" si="23"/>
        <v>-21.778599999999994</v>
      </c>
    </row>
    <row r="765" spans="11:14" x14ac:dyDescent="0.3">
      <c r="K765" t="s">
        <v>831</v>
      </c>
      <c r="L765">
        <v>17.893899999999999</v>
      </c>
      <c r="M765">
        <f t="shared" si="22"/>
        <v>39.672499999999992</v>
      </c>
      <c r="N765">
        <f t="shared" si="23"/>
        <v>-21.778599999999994</v>
      </c>
    </row>
    <row r="766" spans="11:14" x14ac:dyDescent="0.3">
      <c r="K766" t="s">
        <v>831</v>
      </c>
      <c r="L766">
        <v>17.893899999999999</v>
      </c>
      <c r="M766">
        <f t="shared" si="22"/>
        <v>39.672499999999992</v>
      </c>
      <c r="N766">
        <f t="shared" si="23"/>
        <v>-21.778599999999994</v>
      </c>
    </row>
    <row r="767" spans="11:14" x14ac:dyDescent="0.3">
      <c r="K767" t="s">
        <v>831</v>
      </c>
      <c r="L767">
        <v>17.893899999999999</v>
      </c>
      <c r="M767">
        <f t="shared" si="22"/>
        <v>39.672499999999992</v>
      </c>
      <c r="N767">
        <f t="shared" si="23"/>
        <v>-21.778599999999994</v>
      </c>
    </row>
    <row r="768" spans="11:14" x14ac:dyDescent="0.3">
      <c r="K768" t="s">
        <v>831</v>
      </c>
      <c r="L768">
        <v>17.893899999999999</v>
      </c>
      <c r="M768">
        <f t="shared" si="22"/>
        <v>39.672499999999992</v>
      </c>
      <c r="N768">
        <f t="shared" si="23"/>
        <v>-21.778599999999994</v>
      </c>
    </row>
    <row r="769" spans="11:14" x14ac:dyDescent="0.3">
      <c r="K769" t="s">
        <v>831</v>
      </c>
      <c r="L769">
        <v>17.893899999999999</v>
      </c>
      <c r="M769">
        <f t="shared" si="22"/>
        <v>39.672499999999992</v>
      </c>
      <c r="N769">
        <f t="shared" si="23"/>
        <v>-21.778599999999994</v>
      </c>
    </row>
    <row r="770" spans="11:14" x14ac:dyDescent="0.3">
      <c r="K770" t="s">
        <v>832</v>
      </c>
      <c r="L770">
        <v>9.1353000000000009</v>
      </c>
      <c r="M770">
        <f t="shared" si="22"/>
        <v>5.6674999999999995</v>
      </c>
      <c r="N770">
        <f t="shared" si="23"/>
        <v>3.4678000000000013</v>
      </c>
    </row>
    <row r="771" spans="11:14" x14ac:dyDescent="0.3">
      <c r="K771" t="s">
        <v>833</v>
      </c>
      <c r="L771">
        <v>11.0524</v>
      </c>
      <c r="M771">
        <f t="shared" ref="M771:M834" si="24">_xlfn.XLOOKUP(K771,A:A,B:B)</f>
        <v>5.6674999999999995</v>
      </c>
      <c r="N771">
        <f t="shared" ref="N771:N834" si="25">L771-M771</f>
        <v>5.3849000000000009</v>
      </c>
    </row>
    <row r="772" spans="11:14" x14ac:dyDescent="0.3">
      <c r="K772" t="s">
        <v>834</v>
      </c>
      <c r="L772">
        <v>13.0807</v>
      </c>
      <c r="M772">
        <f t="shared" si="24"/>
        <v>8.8652000000000015</v>
      </c>
      <c r="N772">
        <f t="shared" si="25"/>
        <v>4.2154999999999987</v>
      </c>
    </row>
    <row r="773" spans="11:14" x14ac:dyDescent="0.3">
      <c r="K773" t="s">
        <v>835</v>
      </c>
      <c r="L773">
        <v>4.0199999999999996</v>
      </c>
      <c r="M773">
        <f t="shared" si="24"/>
        <v>7.1549999999999994</v>
      </c>
      <c r="N773">
        <f t="shared" si="25"/>
        <v>-3.1349999999999998</v>
      </c>
    </row>
    <row r="774" spans="11:14" x14ac:dyDescent="0.3">
      <c r="K774" t="s">
        <v>835</v>
      </c>
      <c r="L774">
        <v>4.0199999999999996</v>
      </c>
      <c r="M774">
        <f t="shared" si="24"/>
        <v>7.1549999999999994</v>
      </c>
      <c r="N774">
        <f t="shared" si="25"/>
        <v>-3.1349999999999998</v>
      </c>
    </row>
    <row r="775" spans="11:14" x14ac:dyDescent="0.3">
      <c r="K775" t="s">
        <v>836</v>
      </c>
      <c r="L775">
        <v>17.773700000000002</v>
      </c>
      <c r="M775">
        <f t="shared" si="24"/>
        <v>16.48355875</v>
      </c>
      <c r="N775">
        <f t="shared" si="25"/>
        <v>1.2901412500000013</v>
      </c>
    </row>
    <row r="776" spans="11:14" x14ac:dyDescent="0.3">
      <c r="K776" t="s">
        <v>837</v>
      </c>
      <c r="L776">
        <v>10.933</v>
      </c>
      <c r="M776">
        <f t="shared" si="24"/>
        <v>16.48355875</v>
      </c>
      <c r="N776">
        <f t="shared" si="25"/>
        <v>-5.5505587500000004</v>
      </c>
    </row>
    <row r="777" spans="11:14" x14ac:dyDescent="0.3">
      <c r="K777" t="s">
        <v>838</v>
      </c>
      <c r="L777">
        <v>18.587499999999999</v>
      </c>
      <c r="M777">
        <f t="shared" si="24"/>
        <v>16.652059000000001</v>
      </c>
      <c r="N777">
        <f t="shared" si="25"/>
        <v>1.9354409999999973</v>
      </c>
    </row>
    <row r="778" spans="11:14" x14ac:dyDescent="0.3">
      <c r="K778" t="s">
        <v>839</v>
      </c>
      <c r="L778">
        <v>10.8841</v>
      </c>
      <c r="M778">
        <f t="shared" si="24"/>
        <v>16.652059000000001</v>
      </c>
      <c r="N778">
        <f t="shared" si="25"/>
        <v>-5.7679590000000012</v>
      </c>
    </row>
    <row r="779" spans="11:14" x14ac:dyDescent="0.3">
      <c r="K779" t="s">
        <v>840</v>
      </c>
      <c r="L779">
        <v>18.564699999999998</v>
      </c>
      <c r="M779">
        <f t="shared" si="24"/>
        <v>16.921235500000002</v>
      </c>
      <c r="N779">
        <f t="shared" si="25"/>
        <v>1.6434644999999968</v>
      </c>
    </row>
    <row r="780" spans="11:14" x14ac:dyDescent="0.3">
      <c r="K780" t="s">
        <v>841</v>
      </c>
      <c r="L780">
        <v>18.426600000000001</v>
      </c>
      <c r="M780">
        <f t="shared" si="24"/>
        <v>18.008915999999999</v>
      </c>
      <c r="N780">
        <f t="shared" si="25"/>
        <v>0.41768400000000128</v>
      </c>
    </row>
    <row r="781" spans="11:14" x14ac:dyDescent="0.3">
      <c r="K781" t="s">
        <v>842</v>
      </c>
      <c r="L781">
        <v>22.086200000000002</v>
      </c>
      <c r="M781">
        <f t="shared" si="24"/>
        <v>18.008915999999999</v>
      </c>
      <c r="N781">
        <f t="shared" si="25"/>
        <v>4.0772840000000024</v>
      </c>
    </row>
    <row r="782" spans="11:14" x14ac:dyDescent="0.3">
      <c r="K782" t="s">
        <v>843</v>
      </c>
      <c r="L782">
        <v>4.0199999999999996</v>
      </c>
      <c r="M782">
        <f t="shared" si="24"/>
        <v>21.464999999999996</v>
      </c>
      <c r="N782">
        <f t="shared" si="25"/>
        <v>-17.444999999999997</v>
      </c>
    </row>
    <row r="783" spans="11:14" x14ac:dyDescent="0.3">
      <c r="K783" t="s">
        <v>843</v>
      </c>
      <c r="L783">
        <v>4.0199999999999996</v>
      </c>
      <c r="M783">
        <f t="shared" si="24"/>
        <v>21.464999999999996</v>
      </c>
      <c r="N783">
        <f t="shared" si="25"/>
        <v>-17.444999999999997</v>
      </c>
    </row>
    <row r="784" spans="11:14" x14ac:dyDescent="0.3">
      <c r="K784" t="s">
        <v>843</v>
      </c>
      <c r="L784">
        <v>4.0199999999999996</v>
      </c>
      <c r="M784">
        <f t="shared" si="24"/>
        <v>21.464999999999996</v>
      </c>
      <c r="N784">
        <f t="shared" si="25"/>
        <v>-17.444999999999997</v>
      </c>
    </row>
    <row r="785" spans="11:14" x14ac:dyDescent="0.3">
      <c r="K785" t="s">
        <v>843</v>
      </c>
      <c r="L785">
        <v>4.0199999999999996</v>
      </c>
      <c r="M785">
        <f t="shared" si="24"/>
        <v>21.464999999999996</v>
      </c>
      <c r="N785">
        <f t="shared" si="25"/>
        <v>-17.444999999999997</v>
      </c>
    </row>
    <row r="786" spans="11:14" x14ac:dyDescent="0.3">
      <c r="K786" t="s">
        <v>843</v>
      </c>
      <c r="L786">
        <v>4.0199999999999996</v>
      </c>
      <c r="M786">
        <f t="shared" si="24"/>
        <v>21.464999999999996</v>
      </c>
      <c r="N786">
        <f t="shared" si="25"/>
        <v>-17.444999999999997</v>
      </c>
    </row>
    <row r="787" spans="11:14" x14ac:dyDescent="0.3">
      <c r="K787" t="s">
        <v>843</v>
      </c>
      <c r="L787">
        <v>4.0199999999999996</v>
      </c>
      <c r="M787">
        <f t="shared" si="24"/>
        <v>21.464999999999996</v>
      </c>
      <c r="N787">
        <f t="shared" si="25"/>
        <v>-17.444999999999997</v>
      </c>
    </row>
    <row r="788" spans="11:14" x14ac:dyDescent="0.3">
      <c r="K788" t="s">
        <v>844</v>
      </c>
      <c r="L788">
        <v>2.2574000000000001</v>
      </c>
      <c r="M788">
        <f t="shared" si="24"/>
        <v>3.5774999999999997</v>
      </c>
      <c r="N788">
        <f t="shared" si="25"/>
        <v>-1.3200999999999996</v>
      </c>
    </row>
    <row r="789" spans="11:14" x14ac:dyDescent="0.3">
      <c r="K789" t="s">
        <v>845</v>
      </c>
      <c r="L789">
        <v>21.632300000000001</v>
      </c>
      <c r="M789">
        <f t="shared" si="24"/>
        <v>18.72672</v>
      </c>
      <c r="N789">
        <f t="shared" si="25"/>
        <v>2.9055800000000005</v>
      </c>
    </row>
    <row r="790" spans="11:14" x14ac:dyDescent="0.3">
      <c r="K790" t="s">
        <v>846</v>
      </c>
      <c r="L790">
        <v>177.24090000000001</v>
      </c>
      <c r="M790">
        <f t="shared" si="24"/>
        <v>20.857524000000002</v>
      </c>
      <c r="N790">
        <f t="shared" si="25"/>
        <v>156.383376</v>
      </c>
    </row>
    <row r="791" spans="11:14" x14ac:dyDescent="0.3">
      <c r="K791" t="s">
        <v>847</v>
      </c>
      <c r="L791">
        <v>4.0199999999999996</v>
      </c>
      <c r="M791">
        <f t="shared" si="24"/>
        <v>10.732499999999998</v>
      </c>
      <c r="N791">
        <f t="shared" si="25"/>
        <v>-6.7124999999999986</v>
      </c>
    </row>
    <row r="792" spans="11:14" x14ac:dyDescent="0.3">
      <c r="K792" t="s">
        <v>847</v>
      </c>
      <c r="L792">
        <v>4.0199999999999996</v>
      </c>
      <c r="M792">
        <f t="shared" si="24"/>
        <v>10.732499999999998</v>
      </c>
      <c r="N792">
        <f t="shared" si="25"/>
        <v>-6.7124999999999986</v>
      </c>
    </row>
    <row r="793" spans="11:14" x14ac:dyDescent="0.3">
      <c r="K793" t="s">
        <v>847</v>
      </c>
      <c r="L793">
        <v>4.0199999999999996</v>
      </c>
      <c r="M793">
        <f t="shared" si="24"/>
        <v>10.732499999999998</v>
      </c>
      <c r="N793">
        <f t="shared" si="25"/>
        <v>-6.7124999999999986</v>
      </c>
    </row>
    <row r="794" spans="11:14" x14ac:dyDescent="0.3">
      <c r="K794" t="s">
        <v>848</v>
      </c>
      <c r="L794">
        <v>4.0199999999999996</v>
      </c>
      <c r="M794">
        <f t="shared" si="24"/>
        <v>3.5774999999999997</v>
      </c>
      <c r="N794">
        <f t="shared" si="25"/>
        <v>0.44249999999999989</v>
      </c>
    </row>
    <row r="795" spans="11:14" x14ac:dyDescent="0.3">
      <c r="K795" t="s">
        <v>849</v>
      </c>
      <c r="L795">
        <v>6.11</v>
      </c>
      <c r="M795">
        <f t="shared" si="24"/>
        <v>34.004999999999988</v>
      </c>
      <c r="N795">
        <f t="shared" si="25"/>
        <v>-27.894999999999989</v>
      </c>
    </row>
    <row r="796" spans="11:14" x14ac:dyDescent="0.3">
      <c r="K796" t="s">
        <v>849</v>
      </c>
      <c r="L796">
        <v>6.11</v>
      </c>
      <c r="M796">
        <f t="shared" si="24"/>
        <v>34.004999999999988</v>
      </c>
      <c r="N796">
        <f t="shared" si="25"/>
        <v>-27.894999999999989</v>
      </c>
    </row>
    <row r="797" spans="11:14" x14ac:dyDescent="0.3">
      <c r="K797" t="s">
        <v>849</v>
      </c>
      <c r="L797">
        <v>6.11</v>
      </c>
      <c r="M797">
        <f t="shared" si="24"/>
        <v>34.004999999999988</v>
      </c>
      <c r="N797">
        <f t="shared" si="25"/>
        <v>-27.894999999999989</v>
      </c>
    </row>
    <row r="798" spans="11:14" x14ac:dyDescent="0.3">
      <c r="K798" t="s">
        <v>849</v>
      </c>
      <c r="L798">
        <v>6.11</v>
      </c>
      <c r="M798">
        <f t="shared" si="24"/>
        <v>34.004999999999988</v>
      </c>
      <c r="N798">
        <f t="shared" si="25"/>
        <v>-27.894999999999989</v>
      </c>
    </row>
    <row r="799" spans="11:14" x14ac:dyDescent="0.3">
      <c r="K799" t="s">
        <v>849</v>
      </c>
      <c r="L799">
        <v>6.11</v>
      </c>
      <c r="M799">
        <f t="shared" si="24"/>
        <v>34.004999999999988</v>
      </c>
      <c r="N799">
        <f t="shared" si="25"/>
        <v>-27.894999999999989</v>
      </c>
    </row>
    <row r="800" spans="11:14" x14ac:dyDescent="0.3">
      <c r="K800" t="s">
        <v>849</v>
      </c>
      <c r="L800">
        <v>6.11</v>
      </c>
      <c r="M800">
        <f t="shared" si="24"/>
        <v>34.004999999999988</v>
      </c>
      <c r="N800">
        <f t="shared" si="25"/>
        <v>-27.894999999999989</v>
      </c>
    </row>
    <row r="801" spans="11:14" x14ac:dyDescent="0.3">
      <c r="K801" t="s">
        <v>850</v>
      </c>
      <c r="L801">
        <v>6.11</v>
      </c>
      <c r="M801">
        <f t="shared" si="24"/>
        <v>34.004999999999988</v>
      </c>
      <c r="N801">
        <f t="shared" si="25"/>
        <v>-27.894999999999989</v>
      </c>
    </row>
    <row r="802" spans="11:14" x14ac:dyDescent="0.3">
      <c r="K802" t="s">
        <v>850</v>
      </c>
      <c r="L802">
        <v>6.11</v>
      </c>
      <c r="M802">
        <f t="shared" si="24"/>
        <v>34.004999999999988</v>
      </c>
      <c r="N802">
        <f t="shared" si="25"/>
        <v>-27.894999999999989</v>
      </c>
    </row>
    <row r="803" spans="11:14" x14ac:dyDescent="0.3">
      <c r="K803" t="s">
        <v>850</v>
      </c>
      <c r="L803">
        <v>6.11</v>
      </c>
      <c r="M803">
        <f t="shared" si="24"/>
        <v>34.004999999999988</v>
      </c>
      <c r="N803">
        <f t="shared" si="25"/>
        <v>-27.894999999999989</v>
      </c>
    </row>
    <row r="804" spans="11:14" x14ac:dyDescent="0.3">
      <c r="K804" t="s">
        <v>850</v>
      </c>
      <c r="L804">
        <v>6.11</v>
      </c>
      <c r="M804">
        <f t="shared" si="24"/>
        <v>34.004999999999988</v>
      </c>
      <c r="N804">
        <f t="shared" si="25"/>
        <v>-27.894999999999989</v>
      </c>
    </row>
    <row r="805" spans="11:14" x14ac:dyDescent="0.3">
      <c r="K805" t="s">
        <v>850</v>
      </c>
      <c r="L805">
        <v>6.11</v>
      </c>
      <c r="M805">
        <f t="shared" si="24"/>
        <v>34.004999999999988</v>
      </c>
      <c r="N805">
        <f t="shared" si="25"/>
        <v>-27.894999999999989</v>
      </c>
    </row>
    <row r="806" spans="11:14" x14ac:dyDescent="0.3">
      <c r="K806" t="s">
        <v>850</v>
      </c>
      <c r="L806">
        <v>6.11</v>
      </c>
      <c r="M806">
        <f t="shared" si="24"/>
        <v>34.004999999999988</v>
      </c>
      <c r="N806">
        <f t="shared" si="25"/>
        <v>-27.894999999999989</v>
      </c>
    </row>
    <row r="807" spans="11:14" x14ac:dyDescent="0.3">
      <c r="K807" t="s">
        <v>851</v>
      </c>
      <c r="L807">
        <v>18.019500000000001</v>
      </c>
      <c r="M807">
        <f t="shared" si="24"/>
        <v>34.004999999999988</v>
      </c>
      <c r="N807">
        <f t="shared" si="25"/>
        <v>-15.985499999999988</v>
      </c>
    </row>
    <row r="808" spans="11:14" x14ac:dyDescent="0.3">
      <c r="K808" t="s">
        <v>851</v>
      </c>
      <c r="L808">
        <v>18.019500000000001</v>
      </c>
      <c r="M808">
        <f t="shared" si="24"/>
        <v>34.004999999999988</v>
      </c>
      <c r="N808">
        <f t="shared" si="25"/>
        <v>-15.985499999999988</v>
      </c>
    </row>
    <row r="809" spans="11:14" x14ac:dyDescent="0.3">
      <c r="K809" t="s">
        <v>851</v>
      </c>
      <c r="L809">
        <v>18.019500000000001</v>
      </c>
      <c r="M809">
        <f t="shared" si="24"/>
        <v>34.004999999999988</v>
      </c>
      <c r="N809">
        <f t="shared" si="25"/>
        <v>-15.985499999999988</v>
      </c>
    </row>
    <row r="810" spans="11:14" x14ac:dyDescent="0.3">
      <c r="K810" t="s">
        <v>851</v>
      </c>
      <c r="L810">
        <v>18.019500000000001</v>
      </c>
      <c r="M810">
        <f t="shared" si="24"/>
        <v>34.004999999999988</v>
      </c>
      <c r="N810">
        <f t="shared" si="25"/>
        <v>-15.985499999999988</v>
      </c>
    </row>
    <row r="811" spans="11:14" x14ac:dyDescent="0.3">
      <c r="K811" t="s">
        <v>851</v>
      </c>
      <c r="L811">
        <v>18.019500000000001</v>
      </c>
      <c r="M811">
        <f t="shared" si="24"/>
        <v>34.004999999999988</v>
      </c>
      <c r="N811">
        <f t="shared" si="25"/>
        <v>-15.985499999999988</v>
      </c>
    </row>
    <row r="812" spans="11:14" x14ac:dyDescent="0.3">
      <c r="K812" t="s">
        <v>851</v>
      </c>
      <c r="L812">
        <v>18.019500000000001</v>
      </c>
      <c r="M812">
        <f t="shared" si="24"/>
        <v>34.004999999999988</v>
      </c>
      <c r="N812">
        <f t="shared" si="25"/>
        <v>-15.985499999999988</v>
      </c>
    </row>
    <row r="813" spans="11:14" x14ac:dyDescent="0.3">
      <c r="K813" t="s">
        <v>852</v>
      </c>
      <c r="L813">
        <v>9.2596000000000007</v>
      </c>
      <c r="M813">
        <f t="shared" si="24"/>
        <v>5.6674999999999995</v>
      </c>
      <c r="N813">
        <f t="shared" si="25"/>
        <v>3.5921000000000012</v>
      </c>
    </row>
    <row r="814" spans="11:14" x14ac:dyDescent="0.3">
      <c r="K814" t="s">
        <v>853</v>
      </c>
      <c r="L814">
        <v>11.1767</v>
      </c>
      <c r="M814">
        <f t="shared" si="24"/>
        <v>5.6674999999999995</v>
      </c>
      <c r="N814">
        <f t="shared" si="25"/>
        <v>5.5092000000000008</v>
      </c>
    </row>
    <row r="815" spans="11:14" x14ac:dyDescent="0.3">
      <c r="K815" t="s">
        <v>854</v>
      </c>
      <c r="L815">
        <v>11.1767</v>
      </c>
      <c r="M815">
        <f t="shared" si="24"/>
        <v>6.7124999999999995</v>
      </c>
      <c r="N815">
        <f t="shared" si="25"/>
        <v>4.4642000000000008</v>
      </c>
    </row>
    <row r="816" spans="11:14" x14ac:dyDescent="0.3">
      <c r="K816" t="s">
        <v>855</v>
      </c>
      <c r="L816">
        <v>17.858499999999999</v>
      </c>
      <c r="M816">
        <f t="shared" si="24"/>
        <v>28.337499999999991</v>
      </c>
      <c r="N816">
        <f t="shared" si="25"/>
        <v>-10.478999999999992</v>
      </c>
    </row>
    <row r="817" spans="11:14" x14ac:dyDescent="0.3">
      <c r="K817" t="s">
        <v>855</v>
      </c>
      <c r="L817">
        <v>17.858499999999999</v>
      </c>
      <c r="M817">
        <f t="shared" si="24"/>
        <v>28.337499999999991</v>
      </c>
      <c r="N817">
        <f t="shared" si="25"/>
        <v>-10.478999999999992</v>
      </c>
    </row>
    <row r="818" spans="11:14" x14ac:dyDescent="0.3">
      <c r="K818" t="s">
        <v>855</v>
      </c>
      <c r="L818">
        <v>17.858499999999999</v>
      </c>
      <c r="M818">
        <f t="shared" si="24"/>
        <v>28.337499999999991</v>
      </c>
      <c r="N818">
        <f t="shared" si="25"/>
        <v>-10.478999999999992</v>
      </c>
    </row>
    <row r="819" spans="11:14" x14ac:dyDescent="0.3">
      <c r="K819" t="s">
        <v>855</v>
      </c>
      <c r="L819">
        <v>17.858499999999999</v>
      </c>
      <c r="M819">
        <f t="shared" si="24"/>
        <v>28.337499999999991</v>
      </c>
      <c r="N819">
        <f t="shared" si="25"/>
        <v>-10.478999999999992</v>
      </c>
    </row>
    <row r="820" spans="11:14" x14ac:dyDescent="0.3">
      <c r="K820" t="s">
        <v>855</v>
      </c>
      <c r="L820">
        <v>17.858499999999999</v>
      </c>
      <c r="M820">
        <f t="shared" si="24"/>
        <v>28.337499999999991</v>
      </c>
      <c r="N820">
        <f t="shared" si="25"/>
        <v>-10.478999999999992</v>
      </c>
    </row>
    <row r="821" spans="11:14" x14ac:dyDescent="0.3">
      <c r="K821" t="s">
        <v>856</v>
      </c>
      <c r="L821">
        <v>11.016999999999999</v>
      </c>
      <c r="M821">
        <f t="shared" si="24"/>
        <v>5.6674999999999995</v>
      </c>
      <c r="N821">
        <f t="shared" si="25"/>
        <v>5.3494999999999999</v>
      </c>
    </row>
    <row r="822" spans="11:14" x14ac:dyDescent="0.3">
      <c r="K822" t="s">
        <v>857</v>
      </c>
      <c r="L822">
        <v>11.016999999999999</v>
      </c>
      <c r="M822">
        <f t="shared" si="24"/>
        <v>6.7124999999999995</v>
      </c>
      <c r="N822">
        <f t="shared" si="25"/>
        <v>4.3045</v>
      </c>
    </row>
    <row r="823" spans="11:14" x14ac:dyDescent="0.3">
      <c r="K823" t="s">
        <v>858</v>
      </c>
      <c r="L823">
        <v>4.4486999999999997</v>
      </c>
      <c r="M823">
        <f t="shared" si="24"/>
        <v>3.5774999999999997</v>
      </c>
      <c r="N823">
        <f t="shared" si="25"/>
        <v>0.87119999999999997</v>
      </c>
    </row>
    <row r="824" spans="11:14" x14ac:dyDescent="0.3">
      <c r="K824" t="s">
        <v>859</v>
      </c>
      <c r="L824">
        <v>4.3013000000000003</v>
      </c>
      <c r="M824">
        <f t="shared" si="24"/>
        <v>3.5774999999999997</v>
      </c>
      <c r="N824">
        <f t="shared" si="25"/>
        <v>0.72380000000000067</v>
      </c>
    </row>
    <row r="825" spans="11:14" x14ac:dyDescent="0.3">
      <c r="K825" t="s">
        <v>860</v>
      </c>
      <c r="L825">
        <v>5.0656999999999996</v>
      </c>
      <c r="M825">
        <f t="shared" si="24"/>
        <v>3.5774999999999997</v>
      </c>
      <c r="N825">
        <f t="shared" si="25"/>
        <v>1.4882</v>
      </c>
    </row>
    <row r="826" spans="11:14" x14ac:dyDescent="0.3">
      <c r="K826" t="s">
        <v>861</v>
      </c>
      <c r="L826">
        <v>7.4493999999999998</v>
      </c>
      <c r="M826">
        <f t="shared" si="24"/>
        <v>11.334999999999999</v>
      </c>
      <c r="N826">
        <f t="shared" si="25"/>
        <v>-3.8855999999999993</v>
      </c>
    </row>
    <row r="827" spans="11:14" x14ac:dyDescent="0.3">
      <c r="K827" t="s">
        <v>861</v>
      </c>
      <c r="L827">
        <v>7.4493999999999998</v>
      </c>
      <c r="M827">
        <f t="shared" si="24"/>
        <v>11.334999999999999</v>
      </c>
      <c r="N827">
        <f t="shared" si="25"/>
        <v>-3.8855999999999993</v>
      </c>
    </row>
    <row r="828" spans="11:14" x14ac:dyDescent="0.3">
      <c r="K828" t="s">
        <v>862</v>
      </c>
      <c r="L828">
        <v>4.4486999999999997</v>
      </c>
      <c r="M828">
        <f t="shared" si="24"/>
        <v>3.5774999999999997</v>
      </c>
      <c r="N828">
        <f t="shared" si="25"/>
        <v>0.87119999999999997</v>
      </c>
    </row>
    <row r="829" spans="11:14" x14ac:dyDescent="0.3">
      <c r="K829" t="s">
        <v>863</v>
      </c>
      <c r="L829">
        <v>0.13600000000000001</v>
      </c>
      <c r="M829">
        <f t="shared" si="24"/>
        <v>3</v>
      </c>
      <c r="N829">
        <f t="shared" si="25"/>
        <v>-2.8639999999999999</v>
      </c>
    </row>
    <row r="830" spans="11:14" x14ac:dyDescent="0.3">
      <c r="K830" t="s">
        <v>863</v>
      </c>
      <c r="L830">
        <v>0.13600000000000001</v>
      </c>
      <c r="M830">
        <f t="shared" si="24"/>
        <v>3</v>
      </c>
      <c r="N830">
        <f t="shared" si="25"/>
        <v>-2.8639999999999999</v>
      </c>
    </row>
    <row r="831" spans="11:14" x14ac:dyDescent="0.3">
      <c r="K831" t="s">
        <v>863</v>
      </c>
      <c r="L831">
        <v>0.13600000000000001</v>
      </c>
      <c r="M831">
        <f t="shared" si="24"/>
        <v>3</v>
      </c>
      <c r="N831">
        <f t="shared" si="25"/>
        <v>-2.8639999999999999</v>
      </c>
    </row>
    <row r="832" spans="11:14" x14ac:dyDescent="0.3">
      <c r="K832" t="s">
        <v>864</v>
      </c>
      <c r="L832">
        <v>0.05</v>
      </c>
      <c r="M832">
        <f t="shared" si="24"/>
        <v>1</v>
      </c>
      <c r="N832">
        <f t="shared" si="25"/>
        <v>-0.95</v>
      </c>
    </row>
    <row r="833" spans="11:14" x14ac:dyDescent="0.3">
      <c r="K833" t="s">
        <v>865</v>
      </c>
      <c r="L833">
        <v>5.3999999999999999E-2</v>
      </c>
      <c r="M833">
        <f t="shared" si="24"/>
        <v>1</v>
      </c>
      <c r="N833">
        <f t="shared" si="25"/>
        <v>-0.94599999999999995</v>
      </c>
    </row>
    <row r="834" spans="11:14" x14ac:dyDescent="0.3">
      <c r="K834" t="s">
        <v>866</v>
      </c>
      <c r="L834">
        <v>5.3999999999999999E-2</v>
      </c>
      <c r="M834">
        <f t="shared" si="24"/>
        <v>1</v>
      </c>
      <c r="N834">
        <f t="shared" si="25"/>
        <v>-0.94599999999999995</v>
      </c>
    </row>
    <row r="835" spans="11:14" x14ac:dyDescent="0.3">
      <c r="K835" t="s">
        <v>867</v>
      </c>
      <c r="L835">
        <v>0.15</v>
      </c>
      <c r="M835">
        <f t="shared" ref="M835:M898" si="26">_xlfn.XLOOKUP(K835,A:A,B:B)</f>
        <v>1</v>
      </c>
      <c r="N835">
        <f t="shared" ref="N835:N898" si="27">L835-M835</f>
        <v>-0.85</v>
      </c>
    </row>
    <row r="836" spans="11:14" x14ac:dyDescent="0.3">
      <c r="K836" t="s">
        <v>868</v>
      </c>
      <c r="L836">
        <v>5.3999999999999999E-2</v>
      </c>
      <c r="M836">
        <f t="shared" si="26"/>
        <v>4</v>
      </c>
      <c r="N836">
        <f t="shared" si="27"/>
        <v>-3.9460000000000002</v>
      </c>
    </row>
    <row r="837" spans="11:14" x14ac:dyDescent="0.3">
      <c r="K837" t="s">
        <v>868</v>
      </c>
      <c r="L837">
        <v>5.3999999999999999E-2</v>
      </c>
      <c r="M837">
        <f t="shared" si="26"/>
        <v>4</v>
      </c>
      <c r="N837">
        <f t="shared" si="27"/>
        <v>-3.9460000000000002</v>
      </c>
    </row>
    <row r="838" spans="11:14" x14ac:dyDescent="0.3">
      <c r="K838" t="s">
        <v>868</v>
      </c>
      <c r="L838">
        <v>5.3999999999999999E-2</v>
      </c>
      <c r="M838">
        <f t="shared" si="26"/>
        <v>4</v>
      </c>
      <c r="N838">
        <f t="shared" si="27"/>
        <v>-3.9460000000000002</v>
      </c>
    </row>
    <row r="839" spans="11:14" x14ac:dyDescent="0.3">
      <c r="K839" t="s">
        <v>868</v>
      </c>
      <c r="L839">
        <v>5.3999999999999999E-2</v>
      </c>
      <c r="M839">
        <f t="shared" si="26"/>
        <v>4</v>
      </c>
      <c r="N839">
        <f t="shared" si="27"/>
        <v>-3.9460000000000002</v>
      </c>
    </row>
    <row r="840" spans="11:14" x14ac:dyDescent="0.3">
      <c r="K840" t="s">
        <v>869</v>
      </c>
      <c r="L840">
        <v>0.31130000000000002</v>
      </c>
      <c r="M840">
        <f t="shared" si="26"/>
        <v>1.2434399999999999</v>
      </c>
      <c r="N840">
        <f t="shared" si="27"/>
        <v>-0.93213999999999986</v>
      </c>
    </row>
    <row r="841" spans="11:14" x14ac:dyDescent="0.3">
      <c r="K841" t="s">
        <v>869</v>
      </c>
      <c r="L841">
        <v>0.31130000000000002</v>
      </c>
      <c r="M841">
        <f t="shared" si="26"/>
        <v>1.2434399999999999</v>
      </c>
      <c r="N841">
        <f t="shared" si="27"/>
        <v>-0.93213999999999986</v>
      </c>
    </row>
    <row r="842" spans="11:14" x14ac:dyDescent="0.3">
      <c r="K842" t="s">
        <v>869</v>
      </c>
      <c r="L842">
        <v>0.31130000000000002</v>
      </c>
      <c r="M842">
        <f t="shared" si="26"/>
        <v>1.2434399999999999</v>
      </c>
      <c r="N842">
        <f t="shared" si="27"/>
        <v>-0.93213999999999986</v>
      </c>
    </row>
    <row r="843" spans="11:14" x14ac:dyDescent="0.3">
      <c r="K843" t="s">
        <v>869</v>
      </c>
      <c r="L843">
        <v>0.31130000000000002</v>
      </c>
      <c r="M843">
        <f t="shared" si="26"/>
        <v>1.2434399999999999</v>
      </c>
      <c r="N843">
        <f t="shared" si="27"/>
        <v>-0.93213999999999986</v>
      </c>
    </row>
    <row r="844" spans="11:14" x14ac:dyDescent="0.3">
      <c r="K844" t="s">
        <v>870</v>
      </c>
      <c r="L844">
        <v>0.31130000000000002</v>
      </c>
      <c r="M844">
        <f t="shared" si="26"/>
        <v>0.20935199999999998</v>
      </c>
      <c r="N844">
        <f t="shared" si="27"/>
        <v>0.10194800000000004</v>
      </c>
    </row>
    <row r="845" spans="11:14" x14ac:dyDescent="0.3">
      <c r="K845" t="s">
        <v>871</v>
      </c>
      <c r="L845">
        <v>0.31130000000000002</v>
      </c>
      <c r="M845">
        <f t="shared" si="26"/>
        <v>0.62171999999999994</v>
      </c>
      <c r="N845">
        <f t="shared" si="27"/>
        <v>-0.31041999999999992</v>
      </c>
    </row>
    <row r="846" spans="11:14" x14ac:dyDescent="0.3">
      <c r="K846" t="s">
        <v>871</v>
      </c>
      <c r="L846">
        <v>0.31130000000000002</v>
      </c>
      <c r="M846">
        <f t="shared" si="26"/>
        <v>0.62171999999999994</v>
      </c>
      <c r="N846">
        <f t="shared" si="27"/>
        <v>-0.31041999999999992</v>
      </c>
    </row>
    <row r="847" spans="11:14" x14ac:dyDescent="0.3">
      <c r="K847" t="s">
        <v>872</v>
      </c>
      <c r="L847">
        <v>0.31130000000000002</v>
      </c>
      <c r="M847">
        <f t="shared" si="26"/>
        <v>2.7977399999999997</v>
      </c>
      <c r="N847">
        <f t="shared" si="27"/>
        <v>-2.4864399999999995</v>
      </c>
    </row>
    <row r="848" spans="11:14" x14ac:dyDescent="0.3">
      <c r="K848" t="s">
        <v>872</v>
      </c>
      <c r="L848">
        <v>0.31130000000000002</v>
      </c>
      <c r="M848">
        <f t="shared" si="26"/>
        <v>2.7977399999999997</v>
      </c>
      <c r="N848">
        <f t="shared" si="27"/>
        <v>-2.4864399999999995</v>
      </c>
    </row>
    <row r="849" spans="11:14" x14ac:dyDescent="0.3">
      <c r="K849" t="s">
        <v>872</v>
      </c>
      <c r="L849">
        <v>0.31130000000000002</v>
      </c>
      <c r="M849">
        <f t="shared" si="26"/>
        <v>2.7977399999999997</v>
      </c>
      <c r="N849">
        <f t="shared" si="27"/>
        <v>-2.4864399999999995</v>
      </c>
    </row>
    <row r="850" spans="11:14" x14ac:dyDescent="0.3">
      <c r="K850" t="s">
        <v>872</v>
      </c>
      <c r="L850">
        <v>0.31130000000000002</v>
      </c>
      <c r="M850">
        <f t="shared" si="26"/>
        <v>2.7977399999999997</v>
      </c>
      <c r="N850">
        <f t="shared" si="27"/>
        <v>-2.4864399999999995</v>
      </c>
    </row>
    <row r="851" spans="11:14" x14ac:dyDescent="0.3">
      <c r="K851" t="s">
        <v>872</v>
      </c>
      <c r="L851">
        <v>0.31130000000000002</v>
      </c>
      <c r="M851">
        <f t="shared" si="26"/>
        <v>2.7977399999999997</v>
      </c>
      <c r="N851">
        <f t="shared" si="27"/>
        <v>-2.4864399999999995</v>
      </c>
    </row>
    <row r="852" spans="11:14" x14ac:dyDescent="0.3">
      <c r="K852" t="s">
        <v>872</v>
      </c>
      <c r="L852">
        <v>0.31130000000000002</v>
      </c>
      <c r="M852">
        <f t="shared" si="26"/>
        <v>2.7977399999999997</v>
      </c>
      <c r="N852">
        <f t="shared" si="27"/>
        <v>-2.4864399999999995</v>
      </c>
    </row>
    <row r="853" spans="11:14" x14ac:dyDescent="0.3">
      <c r="K853" t="s">
        <v>872</v>
      </c>
      <c r="L853">
        <v>0.31130000000000002</v>
      </c>
      <c r="M853">
        <f t="shared" si="26"/>
        <v>2.7977399999999997</v>
      </c>
      <c r="N853">
        <f t="shared" si="27"/>
        <v>-2.4864399999999995</v>
      </c>
    </row>
    <row r="854" spans="11:14" x14ac:dyDescent="0.3">
      <c r="K854" t="s">
        <v>872</v>
      </c>
      <c r="L854">
        <v>0.31130000000000002</v>
      </c>
      <c r="M854">
        <f t="shared" si="26"/>
        <v>2.7977399999999997</v>
      </c>
      <c r="N854">
        <f t="shared" si="27"/>
        <v>-2.4864399999999995</v>
      </c>
    </row>
    <row r="855" spans="11:14" x14ac:dyDescent="0.3">
      <c r="K855" t="s">
        <v>872</v>
      </c>
      <c r="L855">
        <v>0.31130000000000002</v>
      </c>
      <c r="M855">
        <f t="shared" si="26"/>
        <v>2.7977399999999997</v>
      </c>
      <c r="N855">
        <f t="shared" si="27"/>
        <v>-2.4864399999999995</v>
      </c>
    </row>
    <row r="856" spans="11:14" x14ac:dyDescent="0.3">
      <c r="K856" t="s">
        <v>873</v>
      </c>
      <c r="L856">
        <v>0.31130000000000002</v>
      </c>
      <c r="M856">
        <f t="shared" si="26"/>
        <v>0.31085999999999997</v>
      </c>
      <c r="N856">
        <f t="shared" si="27"/>
        <v>4.4000000000005146E-4</v>
      </c>
    </row>
    <row r="857" spans="11:14" x14ac:dyDescent="0.3">
      <c r="K857" t="s">
        <v>874</v>
      </c>
      <c r="L857">
        <v>0.31130000000000002</v>
      </c>
      <c r="M857">
        <f t="shared" si="26"/>
        <v>0.41870399999999997</v>
      </c>
      <c r="N857">
        <f t="shared" si="27"/>
        <v>-0.10740399999999994</v>
      </c>
    </row>
    <row r="858" spans="11:14" x14ac:dyDescent="0.3">
      <c r="K858" t="s">
        <v>874</v>
      </c>
      <c r="L858">
        <v>0.31130000000000002</v>
      </c>
      <c r="M858">
        <f t="shared" si="26"/>
        <v>0.41870399999999997</v>
      </c>
      <c r="N858">
        <f t="shared" si="27"/>
        <v>-0.10740399999999994</v>
      </c>
    </row>
    <row r="859" spans="11:14" x14ac:dyDescent="0.3">
      <c r="K859" t="s">
        <v>875</v>
      </c>
      <c r="L859">
        <v>0.31130000000000002</v>
      </c>
      <c r="M859">
        <f t="shared" si="26"/>
        <v>0.31085999999999997</v>
      </c>
      <c r="N859">
        <f t="shared" si="27"/>
        <v>4.4000000000005146E-4</v>
      </c>
    </row>
    <row r="860" spans="11:14" x14ac:dyDescent="0.3">
      <c r="K860" t="s">
        <v>876</v>
      </c>
      <c r="L860">
        <v>0.31130000000000002</v>
      </c>
      <c r="M860">
        <f t="shared" si="26"/>
        <v>2.4868799999999998</v>
      </c>
      <c r="N860">
        <f t="shared" si="27"/>
        <v>-2.1755799999999996</v>
      </c>
    </row>
    <row r="861" spans="11:14" x14ac:dyDescent="0.3">
      <c r="K861" t="s">
        <v>876</v>
      </c>
      <c r="L861">
        <v>0.31130000000000002</v>
      </c>
      <c r="M861">
        <f t="shared" si="26"/>
        <v>2.4868799999999998</v>
      </c>
      <c r="N861">
        <f t="shared" si="27"/>
        <v>-2.1755799999999996</v>
      </c>
    </row>
    <row r="862" spans="11:14" x14ac:dyDescent="0.3">
      <c r="K862" t="s">
        <v>876</v>
      </c>
      <c r="L862">
        <v>0.31130000000000002</v>
      </c>
      <c r="M862">
        <f t="shared" si="26"/>
        <v>2.4868799999999998</v>
      </c>
      <c r="N862">
        <f t="shared" si="27"/>
        <v>-2.1755799999999996</v>
      </c>
    </row>
    <row r="863" spans="11:14" x14ac:dyDescent="0.3">
      <c r="K863" t="s">
        <v>876</v>
      </c>
      <c r="L863">
        <v>0.31130000000000002</v>
      </c>
      <c r="M863">
        <f t="shared" si="26"/>
        <v>2.4868799999999998</v>
      </c>
      <c r="N863">
        <f t="shared" si="27"/>
        <v>-2.1755799999999996</v>
      </c>
    </row>
    <row r="864" spans="11:14" x14ac:dyDescent="0.3">
      <c r="K864" t="s">
        <v>876</v>
      </c>
      <c r="L864">
        <v>0.31130000000000002</v>
      </c>
      <c r="M864">
        <f t="shared" si="26"/>
        <v>2.4868799999999998</v>
      </c>
      <c r="N864">
        <f t="shared" si="27"/>
        <v>-2.1755799999999996</v>
      </c>
    </row>
    <row r="865" spans="11:14" x14ac:dyDescent="0.3">
      <c r="K865" t="s">
        <v>876</v>
      </c>
      <c r="L865">
        <v>0.31130000000000002</v>
      </c>
      <c r="M865">
        <f t="shared" si="26"/>
        <v>2.4868799999999998</v>
      </c>
      <c r="N865">
        <f t="shared" si="27"/>
        <v>-2.1755799999999996</v>
      </c>
    </row>
    <row r="866" spans="11:14" x14ac:dyDescent="0.3">
      <c r="K866" t="s">
        <v>876</v>
      </c>
      <c r="L866">
        <v>0.31130000000000002</v>
      </c>
      <c r="M866">
        <f t="shared" si="26"/>
        <v>2.4868799999999998</v>
      </c>
      <c r="N866">
        <f t="shared" si="27"/>
        <v>-2.1755799999999996</v>
      </c>
    </row>
    <row r="867" spans="11:14" x14ac:dyDescent="0.3">
      <c r="K867" t="s">
        <v>876</v>
      </c>
      <c r="L867">
        <v>0.31130000000000002</v>
      </c>
      <c r="M867">
        <f t="shared" si="26"/>
        <v>2.4868799999999998</v>
      </c>
      <c r="N867">
        <f t="shared" si="27"/>
        <v>-2.1755799999999996</v>
      </c>
    </row>
    <row r="868" spans="11:14" x14ac:dyDescent="0.3">
      <c r="K868" t="s">
        <v>877</v>
      </c>
      <c r="L868">
        <v>0.31130000000000002</v>
      </c>
      <c r="M868">
        <f t="shared" si="26"/>
        <v>0.31085999999999997</v>
      </c>
      <c r="N868">
        <f t="shared" si="27"/>
        <v>4.4000000000005146E-4</v>
      </c>
    </row>
    <row r="869" spans="11:14" x14ac:dyDescent="0.3">
      <c r="K869" t="s">
        <v>878</v>
      </c>
      <c r="L869">
        <v>0.31130000000000002</v>
      </c>
      <c r="M869">
        <f t="shared" si="26"/>
        <v>2.7977399999999997</v>
      </c>
      <c r="N869">
        <f t="shared" si="27"/>
        <v>-2.4864399999999995</v>
      </c>
    </row>
    <row r="870" spans="11:14" x14ac:dyDescent="0.3">
      <c r="K870" t="s">
        <v>878</v>
      </c>
      <c r="L870">
        <v>0.31130000000000002</v>
      </c>
      <c r="M870">
        <f t="shared" si="26"/>
        <v>2.7977399999999997</v>
      </c>
      <c r="N870">
        <f t="shared" si="27"/>
        <v>-2.4864399999999995</v>
      </c>
    </row>
    <row r="871" spans="11:14" x14ac:dyDescent="0.3">
      <c r="K871" t="s">
        <v>878</v>
      </c>
      <c r="L871">
        <v>0.31130000000000002</v>
      </c>
      <c r="M871">
        <f t="shared" si="26"/>
        <v>2.7977399999999997</v>
      </c>
      <c r="N871">
        <f t="shared" si="27"/>
        <v>-2.4864399999999995</v>
      </c>
    </row>
    <row r="872" spans="11:14" x14ac:dyDescent="0.3">
      <c r="K872" t="s">
        <v>878</v>
      </c>
      <c r="L872">
        <v>0.31130000000000002</v>
      </c>
      <c r="M872">
        <f t="shared" si="26"/>
        <v>2.7977399999999997</v>
      </c>
      <c r="N872">
        <f t="shared" si="27"/>
        <v>-2.4864399999999995</v>
      </c>
    </row>
    <row r="873" spans="11:14" x14ac:dyDescent="0.3">
      <c r="K873" t="s">
        <v>878</v>
      </c>
      <c r="L873">
        <v>0.31130000000000002</v>
      </c>
      <c r="M873">
        <f t="shared" si="26"/>
        <v>2.7977399999999997</v>
      </c>
      <c r="N873">
        <f t="shared" si="27"/>
        <v>-2.4864399999999995</v>
      </c>
    </row>
    <row r="874" spans="11:14" x14ac:dyDescent="0.3">
      <c r="K874" t="s">
        <v>878</v>
      </c>
      <c r="L874">
        <v>0.31130000000000002</v>
      </c>
      <c r="M874">
        <f t="shared" si="26"/>
        <v>2.7977399999999997</v>
      </c>
      <c r="N874">
        <f t="shared" si="27"/>
        <v>-2.4864399999999995</v>
      </c>
    </row>
    <row r="875" spans="11:14" x14ac:dyDescent="0.3">
      <c r="K875" t="s">
        <v>878</v>
      </c>
      <c r="L875">
        <v>0.31130000000000002</v>
      </c>
      <c r="M875">
        <f t="shared" si="26"/>
        <v>2.7977399999999997</v>
      </c>
      <c r="N875">
        <f t="shared" si="27"/>
        <v>-2.4864399999999995</v>
      </c>
    </row>
    <row r="876" spans="11:14" x14ac:dyDescent="0.3">
      <c r="K876" t="s">
        <v>878</v>
      </c>
      <c r="L876">
        <v>0.31130000000000002</v>
      </c>
      <c r="M876">
        <f t="shared" si="26"/>
        <v>2.7977399999999997</v>
      </c>
      <c r="N876">
        <f t="shared" si="27"/>
        <v>-2.4864399999999995</v>
      </c>
    </row>
    <row r="877" spans="11:14" x14ac:dyDescent="0.3">
      <c r="K877" t="s">
        <v>878</v>
      </c>
      <c r="L877">
        <v>0.31130000000000002</v>
      </c>
      <c r="M877">
        <f t="shared" si="26"/>
        <v>2.7977399999999997</v>
      </c>
      <c r="N877">
        <f t="shared" si="27"/>
        <v>-2.4864399999999995</v>
      </c>
    </row>
    <row r="878" spans="11:14" x14ac:dyDescent="0.3">
      <c r="K878" t="s">
        <v>879</v>
      </c>
      <c r="L878">
        <v>0.31130000000000002</v>
      </c>
      <c r="M878">
        <f t="shared" si="26"/>
        <v>0.41870399999999997</v>
      </c>
      <c r="N878">
        <f t="shared" si="27"/>
        <v>-0.10740399999999994</v>
      </c>
    </row>
    <row r="879" spans="11:14" x14ac:dyDescent="0.3">
      <c r="K879" t="s">
        <v>879</v>
      </c>
      <c r="L879">
        <v>0.31130000000000002</v>
      </c>
      <c r="M879">
        <f t="shared" si="26"/>
        <v>0.41870399999999997</v>
      </c>
      <c r="N879">
        <f t="shared" si="27"/>
        <v>-0.10740399999999994</v>
      </c>
    </row>
    <row r="880" spans="11:14" x14ac:dyDescent="0.3">
      <c r="K880" t="s">
        <v>880</v>
      </c>
      <c r="L880">
        <v>0.31130000000000002</v>
      </c>
      <c r="M880">
        <f t="shared" si="26"/>
        <v>0.31085999999999997</v>
      </c>
      <c r="N880">
        <f t="shared" si="27"/>
        <v>4.4000000000005146E-4</v>
      </c>
    </row>
    <row r="881" spans="11:14" x14ac:dyDescent="0.3">
      <c r="K881" t="s">
        <v>881</v>
      </c>
      <c r="L881">
        <v>1.4148000000000001</v>
      </c>
      <c r="M881">
        <f t="shared" si="26"/>
        <v>7.0650000000000004</v>
      </c>
      <c r="N881">
        <f t="shared" si="27"/>
        <v>-5.6501999999999999</v>
      </c>
    </row>
    <row r="882" spans="11:14" x14ac:dyDescent="0.3">
      <c r="K882" t="s">
        <v>881</v>
      </c>
      <c r="L882">
        <v>1.4148000000000001</v>
      </c>
      <c r="M882">
        <f t="shared" si="26"/>
        <v>7.0650000000000004</v>
      </c>
      <c r="N882">
        <f t="shared" si="27"/>
        <v>-5.6501999999999999</v>
      </c>
    </row>
    <row r="883" spans="11:14" x14ac:dyDescent="0.3">
      <c r="K883" t="s">
        <v>881</v>
      </c>
      <c r="L883">
        <v>1.4148000000000001</v>
      </c>
      <c r="M883">
        <f t="shared" si="26"/>
        <v>7.0650000000000004</v>
      </c>
      <c r="N883">
        <f t="shared" si="27"/>
        <v>-5.6501999999999999</v>
      </c>
    </row>
    <row r="884" spans="11:14" x14ac:dyDescent="0.3">
      <c r="K884" t="s">
        <v>881</v>
      </c>
      <c r="L884">
        <v>1.4148000000000001</v>
      </c>
      <c r="M884">
        <f t="shared" si="26"/>
        <v>7.0650000000000004</v>
      </c>
      <c r="N884">
        <f t="shared" si="27"/>
        <v>-5.6501999999999999</v>
      </c>
    </row>
    <row r="885" spans="11:14" x14ac:dyDescent="0.3">
      <c r="K885" t="s">
        <v>881</v>
      </c>
      <c r="L885">
        <v>1.4148000000000001</v>
      </c>
      <c r="M885">
        <f t="shared" si="26"/>
        <v>7.0650000000000004</v>
      </c>
      <c r="N885">
        <f t="shared" si="27"/>
        <v>-5.6501999999999999</v>
      </c>
    </row>
    <row r="886" spans="11:14" x14ac:dyDescent="0.3">
      <c r="K886" t="s">
        <v>882</v>
      </c>
      <c r="L886">
        <v>1.4148000000000001</v>
      </c>
      <c r="M886">
        <f t="shared" si="26"/>
        <v>1.0705499999999999</v>
      </c>
      <c r="N886">
        <f t="shared" si="27"/>
        <v>0.34425000000000017</v>
      </c>
    </row>
    <row r="887" spans="11:14" x14ac:dyDescent="0.3">
      <c r="K887" t="s">
        <v>883</v>
      </c>
      <c r="L887">
        <v>1.4148000000000001</v>
      </c>
      <c r="M887">
        <f t="shared" si="26"/>
        <v>9.891</v>
      </c>
      <c r="N887">
        <f t="shared" si="27"/>
        <v>-8.4762000000000004</v>
      </c>
    </row>
    <row r="888" spans="11:14" x14ac:dyDescent="0.3">
      <c r="K888" t="s">
        <v>883</v>
      </c>
      <c r="L888">
        <v>1.4148000000000001</v>
      </c>
      <c r="M888">
        <f t="shared" si="26"/>
        <v>9.891</v>
      </c>
      <c r="N888">
        <f t="shared" si="27"/>
        <v>-8.4762000000000004</v>
      </c>
    </row>
    <row r="889" spans="11:14" x14ac:dyDescent="0.3">
      <c r="K889" t="s">
        <v>883</v>
      </c>
      <c r="L889">
        <v>1.4148000000000001</v>
      </c>
      <c r="M889">
        <f t="shared" si="26"/>
        <v>9.891</v>
      </c>
      <c r="N889">
        <f t="shared" si="27"/>
        <v>-8.4762000000000004</v>
      </c>
    </row>
    <row r="890" spans="11:14" x14ac:dyDescent="0.3">
      <c r="K890" t="s">
        <v>883</v>
      </c>
      <c r="L890">
        <v>1.4148000000000001</v>
      </c>
      <c r="M890">
        <f t="shared" si="26"/>
        <v>9.891</v>
      </c>
      <c r="N890">
        <f t="shared" si="27"/>
        <v>-8.4762000000000004</v>
      </c>
    </row>
    <row r="891" spans="11:14" x14ac:dyDescent="0.3">
      <c r="K891" t="s">
        <v>883</v>
      </c>
      <c r="L891">
        <v>1.4148000000000001</v>
      </c>
      <c r="M891">
        <f t="shared" si="26"/>
        <v>9.891</v>
      </c>
      <c r="N891">
        <f t="shared" si="27"/>
        <v>-8.4762000000000004</v>
      </c>
    </row>
    <row r="892" spans="11:14" x14ac:dyDescent="0.3">
      <c r="K892" t="s">
        <v>883</v>
      </c>
      <c r="L892">
        <v>1.4148000000000001</v>
      </c>
      <c r="M892">
        <f t="shared" si="26"/>
        <v>9.891</v>
      </c>
      <c r="N892">
        <f t="shared" si="27"/>
        <v>-8.4762000000000004</v>
      </c>
    </row>
    <row r="893" spans="11:14" x14ac:dyDescent="0.3">
      <c r="K893" t="s">
        <v>883</v>
      </c>
      <c r="L893">
        <v>1.4148000000000001</v>
      </c>
      <c r="M893">
        <f t="shared" si="26"/>
        <v>9.891</v>
      </c>
      <c r="N893">
        <f t="shared" si="27"/>
        <v>-8.4762000000000004</v>
      </c>
    </row>
    <row r="894" spans="11:14" x14ac:dyDescent="0.3">
      <c r="K894" t="s">
        <v>884</v>
      </c>
      <c r="L894">
        <v>1.4148000000000001</v>
      </c>
      <c r="M894">
        <f t="shared" si="26"/>
        <v>8.4779999999999998</v>
      </c>
      <c r="N894">
        <f t="shared" si="27"/>
        <v>-7.0632000000000001</v>
      </c>
    </row>
    <row r="895" spans="11:14" x14ac:dyDescent="0.3">
      <c r="K895" t="s">
        <v>884</v>
      </c>
      <c r="L895">
        <v>1.4148000000000001</v>
      </c>
      <c r="M895">
        <f t="shared" si="26"/>
        <v>8.4779999999999998</v>
      </c>
      <c r="N895">
        <f t="shared" si="27"/>
        <v>-7.0632000000000001</v>
      </c>
    </row>
    <row r="896" spans="11:14" x14ac:dyDescent="0.3">
      <c r="K896" t="s">
        <v>884</v>
      </c>
      <c r="L896">
        <v>1.4148000000000001</v>
      </c>
      <c r="M896">
        <f t="shared" si="26"/>
        <v>8.4779999999999998</v>
      </c>
      <c r="N896">
        <f t="shared" si="27"/>
        <v>-7.0632000000000001</v>
      </c>
    </row>
    <row r="897" spans="11:14" x14ac:dyDescent="0.3">
      <c r="K897" t="s">
        <v>884</v>
      </c>
      <c r="L897">
        <v>1.4148000000000001</v>
      </c>
      <c r="M897">
        <f t="shared" si="26"/>
        <v>8.4779999999999998</v>
      </c>
      <c r="N897">
        <f t="shared" si="27"/>
        <v>-7.0632000000000001</v>
      </c>
    </row>
    <row r="898" spans="11:14" x14ac:dyDescent="0.3">
      <c r="K898" t="s">
        <v>884</v>
      </c>
      <c r="L898">
        <v>1.4148000000000001</v>
      </c>
      <c r="M898">
        <f t="shared" si="26"/>
        <v>8.4779999999999998</v>
      </c>
      <c r="N898">
        <f t="shared" si="27"/>
        <v>-7.0632000000000001</v>
      </c>
    </row>
    <row r="899" spans="11:14" x14ac:dyDescent="0.3">
      <c r="K899" t="s">
        <v>884</v>
      </c>
      <c r="L899">
        <v>1.4148000000000001</v>
      </c>
      <c r="M899">
        <f t="shared" ref="M899:M962" si="28">_xlfn.XLOOKUP(K899,A:A,B:B)</f>
        <v>8.4779999999999998</v>
      </c>
      <c r="N899">
        <f t="shared" ref="N899:N962" si="29">L899-M899</f>
        <v>-7.0632000000000001</v>
      </c>
    </row>
    <row r="900" spans="11:14" x14ac:dyDescent="0.3">
      <c r="K900" t="s">
        <v>885</v>
      </c>
      <c r="L900">
        <v>1.4148000000000001</v>
      </c>
      <c r="M900">
        <f t="shared" si="28"/>
        <v>1.0705499999999999</v>
      </c>
      <c r="N900">
        <f t="shared" si="29"/>
        <v>0.34425000000000017</v>
      </c>
    </row>
    <row r="901" spans="11:14" x14ac:dyDescent="0.3">
      <c r="K901" t="s">
        <v>886</v>
      </c>
      <c r="L901">
        <v>1.9371</v>
      </c>
      <c r="M901">
        <f t="shared" si="28"/>
        <v>0</v>
      </c>
      <c r="N901">
        <f t="shared" si="29"/>
        <v>1.9371</v>
      </c>
    </row>
    <row r="902" spans="11:14" x14ac:dyDescent="0.3">
      <c r="K902" t="s">
        <v>886</v>
      </c>
      <c r="L902">
        <v>1.9371</v>
      </c>
      <c r="M902">
        <f t="shared" si="28"/>
        <v>0</v>
      </c>
      <c r="N902">
        <f t="shared" si="29"/>
        <v>1.9371</v>
      </c>
    </row>
    <row r="903" spans="11:14" x14ac:dyDescent="0.3">
      <c r="K903" t="s">
        <v>887</v>
      </c>
      <c r="L903">
        <v>2.4822000000000002</v>
      </c>
      <c r="M903">
        <f t="shared" si="28"/>
        <v>0</v>
      </c>
      <c r="N903">
        <f t="shared" si="29"/>
        <v>2.4822000000000002</v>
      </c>
    </row>
    <row r="904" spans="11:14" x14ac:dyDescent="0.3">
      <c r="K904" t="s">
        <v>887</v>
      </c>
      <c r="L904">
        <v>2.4822000000000002</v>
      </c>
      <c r="M904">
        <f t="shared" si="28"/>
        <v>0</v>
      </c>
      <c r="N904">
        <f t="shared" si="29"/>
        <v>2.4822000000000002</v>
      </c>
    </row>
    <row r="905" spans="11:14" x14ac:dyDescent="0.3">
      <c r="K905" t="s">
        <v>888</v>
      </c>
      <c r="L905">
        <v>7.3536000000000001</v>
      </c>
      <c r="M905">
        <f t="shared" si="28"/>
        <v>0</v>
      </c>
      <c r="N905">
        <f t="shared" si="29"/>
        <v>7.3536000000000001</v>
      </c>
    </row>
    <row r="906" spans="11:14" x14ac:dyDescent="0.3">
      <c r="K906" t="s">
        <v>889</v>
      </c>
      <c r="L906">
        <v>9.4984999999999999</v>
      </c>
      <c r="M906">
        <f t="shared" si="28"/>
        <v>0</v>
      </c>
      <c r="N906">
        <f t="shared" si="29"/>
        <v>9.4984999999999999</v>
      </c>
    </row>
    <row r="907" spans="11:14" x14ac:dyDescent="0.3">
      <c r="K907" t="s">
        <v>890</v>
      </c>
      <c r="L907">
        <v>7.3647</v>
      </c>
      <c r="M907">
        <f t="shared" si="28"/>
        <v>0</v>
      </c>
      <c r="N907">
        <f t="shared" si="29"/>
        <v>7.3647</v>
      </c>
    </row>
    <row r="908" spans="11:14" x14ac:dyDescent="0.3">
      <c r="K908" t="s">
        <v>891</v>
      </c>
      <c r="L908">
        <v>8.9748000000000001</v>
      </c>
      <c r="M908">
        <f t="shared" si="28"/>
        <v>0</v>
      </c>
      <c r="N908">
        <f t="shared" si="29"/>
        <v>8.9748000000000001</v>
      </c>
    </row>
    <row r="909" spans="11:14" x14ac:dyDescent="0.3">
      <c r="K909" t="s">
        <v>892</v>
      </c>
      <c r="L909">
        <v>14.5007</v>
      </c>
      <c r="M909">
        <f t="shared" si="28"/>
        <v>0</v>
      </c>
      <c r="N909">
        <f t="shared" si="29"/>
        <v>14.5007</v>
      </c>
    </row>
    <row r="910" spans="11:14" x14ac:dyDescent="0.3">
      <c r="K910" t="s">
        <v>893</v>
      </c>
      <c r="L910">
        <v>13.805099999999999</v>
      </c>
      <c r="M910">
        <f t="shared" si="28"/>
        <v>0</v>
      </c>
      <c r="N910">
        <f t="shared" si="29"/>
        <v>13.805099999999999</v>
      </c>
    </row>
    <row r="911" spans="11:14" x14ac:dyDescent="0.3">
      <c r="K911" t="s">
        <v>894</v>
      </c>
      <c r="L911">
        <v>19.759599999999999</v>
      </c>
      <c r="M911">
        <f t="shared" si="28"/>
        <v>0</v>
      </c>
      <c r="N911">
        <f t="shared" si="29"/>
        <v>19.759599999999999</v>
      </c>
    </row>
    <row r="912" spans="11:14" x14ac:dyDescent="0.3">
      <c r="K912" t="s">
        <v>895</v>
      </c>
      <c r="L912">
        <v>28.281199999999998</v>
      </c>
      <c r="M912">
        <f t="shared" si="28"/>
        <v>0</v>
      </c>
      <c r="N912">
        <f t="shared" si="29"/>
        <v>28.281199999999998</v>
      </c>
    </row>
    <row r="913" spans="11:14" x14ac:dyDescent="0.3">
      <c r="K913" t="s">
        <v>896</v>
      </c>
      <c r="L913">
        <v>56.562399999999997</v>
      </c>
      <c r="M913">
        <f t="shared" si="28"/>
        <v>0</v>
      </c>
      <c r="N913">
        <f t="shared" si="29"/>
        <v>56.562399999999997</v>
      </c>
    </row>
    <row r="914" spans="11:14" x14ac:dyDescent="0.3">
      <c r="K914" t="s">
        <v>897</v>
      </c>
      <c r="L914">
        <v>3.1349999999999998</v>
      </c>
      <c r="M914">
        <f t="shared" si="28"/>
        <v>15.674999999999999</v>
      </c>
      <c r="N914">
        <f t="shared" si="29"/>
        <v>-12.54</v>
      </c>
    </row>
    <row r="915" spans="11:14" x14ac:dyDescent="0.3">
      <c r="K915" t="s">
        <v>897</v>
      </c>
      <c r="L915">
        <v>3.1349999999999998</v>
      </c>
      <c r="M915">
        <f t="shared" si="28"/>
        <v>15.674999999999999</v>
      </c>
      <c r="N915">
        <f t="shared" si="29"/>
        <v>-12.54</v>
      </c>
    </row>
    <row r="916" spans="11:14" x14ac:dyDescent="0.3">
      <c r="K916" t="s">
        <v>897</v>
      </c>
      <c r="L916">
        <v>3.1349999999999998</v>
      </c>
      <c r="M916">
        <f t="shared" si="28"/>
        <v>15.674999999999999</v>
      </c>
      <c r="N916">
        <f t="shared" si="29"/>
        <v>-12.54</v>
      </c>
    </row>
    <row r="917" spans="11:14" x14ac:dyDescent="0.3">
      <c r="K917" t="s">
        <v>897</v>
      </c>
      <c r="L917">
        <v>3.1349999999999998</v>
      </c>
      <c r="M917">
        <f t="shared" si="28"/>
        <v>15.674999999999999</v>
      </c>
      <c r="N917">
        <f t="shared" si="29"/>
        <v>-12.54</v>
      </c>
    </row>
    <row r="918" spans="11:14" x14ac:dyDescent="0.3">
      <c r="K918" t="s">
        <v>897</v>
      </c>
      <c r="L918">
        <v>3.1349999999999998</v>
      </c>
      <c r="M918">
        <f t="shared" si="28"/>
        <v>15.674999999999999</v>
      </c>
      <c r="N918">
        <f t="shared" si="29"/>
        <v>-12.54</v>
      </c>
    </row>
    <row r="919" spans="11:14" x14ac:dyDescent="0.3">
      <c r="K919" t="s">
        <v>898</v>
      </c>
      <c r="L919">
        <v>1.3724000000000001</v>
      </c>
      <c r="M919">
        <f t="shared" si="28"/>
        <v>6.27</v>
      </c>
      <c r="N919">
        <f t="shared" si="29"/>
        <v>-4.8975999999999997</v>
      </c>
    </row>
    <row r="920" spans="11:14" x14ac:dyDescent="0.3">
      <c r="K920" t="s">
        <v>898</v>
      </c>
      <c r="L920">
        <v>1.3724000000000001</v>
      </c>
      <c r="M920">
        <f t="shared" si="28"/>
        <v>6.27</v>
      </c>
      <c r="N920">
        <f t="shared" si="29"/>
        <v>-4.8975999999999997</v>
      </c>
    </row>
    <row r="921" spans="11:14" x14ac:dyDescent="0.3">
      <c r="K921" t="s">
        <v>899</v>
      </c>
      <c r="L921">
        <v>3.1349999999999998</v>
      </c>
      <c r="M921">
        <f t="shared" si="28"/>
        <v>6.27</v>
      </c>
      <c r="N921">
        <f t="shared" si="29"/>
        <v>-3.1349999999999998</v>
      </c>
    </row>
    <row r="922" spans="11:14" x14ac:dyDescent="0.3">
      <c r="K922" t="s">
        <v>899</v>
      </c>
      <c r="L922">
        <v>3.1349999999999998</v>
      </c>
      <c r="M922">
        <f t="shared" si="28"/>
        <v>6.27</v>
      </c>
      <c r="N922">
        <f t="shared" si="29"/>
        <v>-3.1349999999999998</v>
      </c>
    </row>
    <row r="923" spans="11:14" x14ac:dyDescent="0.3">
      <c r="K923" t="s">
        <v>900</v>
      </c>
      <c r="L923">
        <v>16.773199999999999</v>
      </c>
      <c r="M923">
        <f t="shared" si="28"/>
        <v>32.082117499999995</v>
      </c>
      <c r="N923">
        <f t="shared" si="29"/>
        <v>-15.308917499999996</v>
      </c>
    </row>
    <row r="924" spans="11:14" x14ac:dyDescent="0.3">
      <c r="K924" t="s">
        <v>900</v>
      </c>
      <c r="L924">
        <v>16.773199999999999</v>
      </c>
      <c r="M924">
        <f t="shared" si="28"/>
        <v>32.082117499999995</v>
      </c>
      <c r="N924">
        <f t="shared" si="29"/>
        <v>-15.308917499999996</v>
      </c>
    </row>
    <row r="925" spans="11:14" x14ac:dyDescent="0.3">
      <c r="K925" t="s">
        <v>901</v>
      </c>
      <c r="L925">
        <v>6.8268000000000004</v>
      </c>
      <c r="M925">
        <f t="shared" si="28"/>
        <v>19.130401874999997</v>
      </c>
      <c r="N925">
        <f t="shared" si="29"/>
        <v>-12.303601874999996</v>
      </c>
    </row>
    <row r="926" spans="11:14" x14ac:dyDescent="0.3">
      <c r="K926" t="s">
        <v>902</v>
      </c>
      <c r="L926">
        <v>9.9323999999999995</v>
      </c>
      <c r="M926">
        <f t="shared" si="28"/>
        <v>32.082117499999995</v>
      </c>
      <c r="N926">
        <f t="shared" si="29"/>
        <v>-22.149717499999994</v>
      </c>
    </row>
    <row r="927" spans="11:14" x14ac:dyDescent="0.3">
      <c r="K927" t="s">
        <v>902</v>
      </c>
      <c r="L927">
        <v>9.9323999999999995</v>
      </c>
      <c r="M927">
        <f t="shared" si="28"/>
        <v>32.082117499999995</v>
      </c>
      <c r="N927">
        <f t="shared" si="29"/>
        <v>-22.149717499999994</v>
      </c>
    </row>
    <row r="928" spans="11:14" x14ac:dyDescent="0.3">
      <c r="K928" t="s">
        <v>903</v>
      </c>
      <c r="L928">
        <v>8.4755000000000003</v>
      </c>
      <c r="M928">
        <f t="shared" si="28"/>
        <v>19.130401874999997</v>
      </c>
      <c r="N928">
        <f t="shared" si="29"/>
        <v>-10.654901874999997</v>
      </c>
    </row>
    <row r="929" spans="11:14" x14ac:dyDescent="0.3">
      <c r="K929" t="s">
        <v>904</v>
      </c>
      <c r="L929">
        <v>11.1386</v>
      </c>
      <c r="M929">
        <f t="shared" si="28"/>
        <v>22.219745</v>
      </c>
      <c r="N929">
        <f t="shared" si="29"/>
        <v>-11.081144999999999</v>
      </c>
    </row>
    <row r="930" spans="11:14" x14ac:dyDescent="0.3">
      <c r="K930" t="s">
        <v>905</v>
      </c>
      <c r="L930">
        <v>16.7239</v>
      </c>
      <c r="M930">
        <f t="shared" si="28"/>
        <v>32.419117999999997</v>
      </c>
      <c r="N930">
        <f t="shared" si="29"/>
        <v>-15.695217999999997</v>
      </c>
    </row>
    <row r="931" spans="11:14" x14ac:dyDescent="0.3">
      <c r="K931" t="s">
        <v>905</v>
      </c>
      <c r="L931">
        <v>16.7239</v>
      </c>
      <c r="M931">
        <f t="shared" si="28"/>
        <v>32.419117999999997</v>
      </c>
      <c r="N931">
        <f t="shared" si="29"/>
        <v>-15.695217999999997</v>
      </c>
    </row>
    <row r="932" spans="11:14" x14ac:dyDescent="0.3">
      <c r="K932" t="s">
        <v>906</v>
      </c>
      <c r="L932">
        <v>7.9664999999999999</v>
      </c>
      <c r="M932">
        <f t="shared" si="28"/>
        <v>16.209558999999999</v>
      </c>
      <c r="N932">
        <f t="shared" si="29"/>
        <v>-8.2430589999999988</v>
      </c>
    </row>
    <row r="933" spans="11:14" x14ac:dyDescent="0.3">
      <c r="K933" t="s">
        <v>907</v>
      </c>
      <c r="L933">
        <v>7.9664999999999999</v>
      </c>
      <c r="M933">
        <f t="shared" si="28"/>
        <v>19.326985499999999</v>
      </c>
      <c r="N933">
        <f t="shared" si="29"/>
        <v>-11.360485499999999</v>
      </c>
    </row>
    <row r="934" spans="11:14" x14ac:dyDescent="0.3">
      <c r="K934" t="s">
        <v>908</v>
      </c>
      <c r="L934">
        <v>17.5869</v>
      </c>
      <c r="M934">
        <f t="shared" si="28"/>
        <v>16.209558999999999</v>
      </c>
      <c r="N934">
        <f t="shared" si="29"/>
        <v>1.3773410000000013</v>
      </c>
    </row>
    <row r="935" spans="11:14" x14ac:dyDescent="0.3">
      <c r="K935" t="s">
        <v>909</v>
      </c>
      <c r="L935">
        <v>9.8834999999999997</v>
      </c>
      <c r="M935">
        <f t="shared" si="28"/>
        <v>16.209558999999999</v>
      </c>
      <c r="N935">
        <f t="shared" si="29"/>
        <v>-6.326058999999999</v>
      </c>
    </row>
    <row r="936" spans="11:14" x14ac:dyDescent="0.3">
      <c r="K936" t="s">
        <v>910</v>
      </c>
      <c r="L936">
        <v>12.183999999999999</v>
      </c>
      <c r="M936">
        <f t="shared" si="28"/>
        <v>19.326985499999999</v>
      </c>
      <c r="N936">
        <f t="shared" si="29"/>
        <v>-7.1429855</v>
      </c>
    </row>
    <row r="937" spans="11:14" x14ac:dyDescent="0.3">
      <c r="K937" t="s">
        <v>911</v>
      </c>
      <c r="L937">
        <v>7.9439000000000002</v>
      </c>
      <c r="M937">
        <f t="shared" si="28"/>
        <v>16.478735499999999</v>
      </c>
      <c r="N937">
        <f t="shared" si="29"/>
        <v>-8.5348354999999998</v>
      </c>
    </row>
    <row r="938" spans="11:14" x14ac:dyDescent="0.3">
      <c r="K938" t="s">
        <v>912</v>
      </c>
      <c r="L938">
        <v>17.5641</v>
      </c>
      <c r="M938">
        <f t="shared" si="28"/>
        <v>16.478735499999999</v>
      </c>
      <c r="N938">
        <f t="shared" si="29"/>
        <v>1.0853645000000007</v>
      </c>
    </row>
    <row r="939" spans="11:14" x14ac:dyDescent="0.3">
      <c r="K939" t="s">
        <v>913</v>
      </c>
      <c r="L939">
        <v>17.425999999999998</v>
      </c>
      <c r="M939">
        <f t="shared" si="28"/>
        <v>35.132831999999993</v>
      </c>
      <c r="N939">
        <f t="shared" si="29"/>
        <v>-17.706831999999995</v>
      </c>
    </row>
    <row r="940" spans="11:14" x14ac:dyDescent="0.3">
      <c r="K940" t="s">
        <v>913</v>
      </c>
      <c r="L940">
        <v>17.425999999999998</v>
      </c>
      <c r="M940">
        <f t="shared" si="28"/>
        <v>35.132831999999993</v>
      </c>
      <c r="N940">
        <f t="shared" si="29"/>
        <v>-17.706831999999995</v>
      </c>
    </row>
    <row r="941" spans="11:14" x14ac:dyDescent="0.3">
      <c r="K941" t="s">
        <v>914</v>
      </c>
      <c r="L941">
        <v>17.425999999999998</v>
      </c>
      <c r="M941">
        <f t="shared" si="28"/>
        <v>17.566415999999997</v>
      </c>
      <c r="N941">
        <f t="shared" si="29"/>
        <v>-0.14041599999999832</v>
      </c>
    </row>
    <row r="942" spans="11:14" x14ac:dyDescent="0.3">
      <c r="K942" t="s">
        <v>915</v>
      </c>
      <c r="L942">
        <v>3.1349999999999998</v>
      </c>
      <c r="M942">
        <f t="shared" si="28"/>
        <v>34.484999999999992</v>
      </c>
      <c r="N942">
        <f t="shared" si="29"/>
        <v>-31.349999999999994</v>
      </c>
    </row>
    <row r="943" spans="11:14" x14ac:dyDescent="0.3">
      <c r="K943" t="s">
        <v>915</v>
      </c>
      <c r="L943">
        <v>3.1349999999999998</v>
      </c>
      <c r="M943">
        <f t="shared" si="28"/>
        <v>34.484999999999992</v>
      </c>
      <c r="N943">
        <f t="shared" si="29"/>
        <v>-31.349999999999994</v>
      </c>
    </row>
    <row r="944" spans="11:14" x14ac:dyDescent="0.3">
      <c r="K944" t="s">
        <v>915</v>
      </c>
      <c r="L944">
        <v>3.1349999999999998</v>
      </c>
      <c r="M944">
        <f t="shared" si="28"/>
        <v>34.484999999999992</v>
      </c>
      <c r="N944">
        <f t="shared" si="29"/>
        <v>-31.349999999999994</v>
      </c>
    </row>
    <row r="945" spans="11:14" x14ac:dyDescent="0.3">
      <c r="K945" t="s">
        <v>915</v>
      </c>
      <c r="L945">
        <v>3.1349999999999998</v>
      </c>
      <c r="M945">
        <f t="shared" si="28"/>
        <v>34.484999999999992</v>
      </c>
      <c r="N945">
        <f t="shared" si="29"/>
        <v>-31.349999999999994</v>
      </c>
    </row>
    <row r="946" spans="11:14" x14ac:dyDescent="0.3">
      <c r="K946" t="s">
        <v>915</v>
      </c>
      <c r="L946">
        <v>3.1349999999999998</v>
      </c>
      <c r="M946">
        <f t="shared" si="28"/>
        <v>34.484999999999992</v>
      </c>
      <c r="N946">
        <f t="shared" si="29"/>
        <v>-31.349999999999994</v>
      </c>
    </row>
    <row r="947" spans="11:14" x14ac:dyDescent="0.3">
      <c r="K947" t="s">
        <v>915</v>
      </c>
      <c r="L947">
        <v>3.1349999999999998</v>
      </c>
      <c r="M947">
        <f t="shared" si="28"/>
        <v>34.484999999999992</v>
      </c>
      <c r="N947">
        <f t="shared" si="29"/>
        <v>-31.349999999999994</v>
      </c>
    </row>
    <row r="948" spans="11:14" x14ac:dyDescent="0.3">
      <c r="K948" t="s">
        <v>915</v>
      </c>
      <c r="L948">
        <v>3.1349999999999998</v>
      </c>
      <c r="M948">
        <f t="shared" si="28"/>
        <v>34.484999999999992</v>
      </c>
      <c r="N948">
        <f t="shared" si="29"/>
        <v>-31.349999999999994</v>
      </c>
    </row>
    <row r="949" spans="11:14" x14ac:dyDescent="0.3">
      <c r="K949" t="s">
        <v>915</v>
      </c>
      <c r="L949">
        <v>3.1349999999999998</v>
      </c>
      <c r="M949">
        <f t="shared" si="28"/>
        <v>34.484999999999992</v>
      </c>
      <c r="N949">
        <f t="shared" si="29"/>
        <v>-31.349999999999994</v>
      </c>
    </row>
    <row r="950" spans="11:14" x14ac:dyDescent="0.3">
      <c r="K950" t="s">
        <v>915</v>
      </c>
      <c r="L950">
        <v>3.1349999999999998</v>
      </c>
      <c r="M950">
        <f t="shared" si="28"/>
        <v>34.484999999999992</v>
      </c>
      <c r="N950">
        <f t="shared" si="29"/>
        <v>-31.349999999999994</v>
      </c>
    </row>
    <row r="951" spans="11:14" x14ac:dyDescent="0.3">
      <c r="K951" t="s">
        <v>915</v>
      </c>
      <c r="L951">
        <v>3.1349999999999998</v>
      </c>
      <c r="M951">
        <f t="shared" si="28"/>
        <v>34.484999999999992</v>
      </c>
      <c r="N951">
        <f t="shared" si="29"/>
        <v>-31.349999999999994</v>
      </c>
    </row>
    <row r="952" spans="11:14" x14ac:dyDescent="0.3">
      <c r="K952" t="s">
        <v>915</v>
      </c>
      <c r="L952">
        <v>3.1349999999999998</v>
      </c>
      <c r="M952">
        <f t="shared" si="28"/>
        <v>34.484999999999992</v>
      </c>
      <c r="N952">
        <f t="shared" si="29"/>
        <v>-31.349999999999994</v>
      </c>
    </row>
    <row r="953" spans="11:14" x14ac:dyDescent="0.3">
      <c r="K953" t="s">
        <v>916</v>
      </c>
      <c r="L953">
        <v>1.3724000000000001</v>
      </c>
      <c r="M953">
        <f t="shared" si="28"/>
        <v>9.4049999999999994</v>
      </c>
      <c r="N953">
        <f t="shared" si="29"/>
        <v>-8.0325999999999986</v>
      </c>
    </row>
    <row r="954" spans="11:14" x14ac:dyDescent="0.3">
      <c r="K954" t="s">
        <v>916</v>
      </c>
      <c r="L954">
        <v>1.3724000000000001</v>
      </c>
      <c r="M954">
        <f t="shared" si="28"/>
        <v>9.4049999999999994</v>
      </c>
      <c r="N954">
        <f t="shared" si="29"/>
        <v>-8.0325999999999986</v>
      </c>
    </row>
    <row r="955" spans="11:14" x14ac:dyDescent="0.3">
      <c r="K955" t="s">
        <v>916</v>
      </c>
      <c r="L955">
        <v>1.3724000000000001</v>
      </c>
      <c r="M955">
        <f t="shared" si="28"/>
        <v>9.4049999999999994</v>
      </c>
      <c r="N955">
        <f t="shared" si="29"/>
        <v>-8.0325999999999986</v>
      </c>
    </row>
    <row r="956" spans="11:14" x14ac:dyDescent="0.3">
      <c r="K956" t="s">
        <v>917</v>
      </c>
      <c r="L956">
        <v>20.631799999999998</v>
      </c>
      <c r="M956">
        <f t="shared" si="28"/>
        <v>18.284219999999998</v>
      </c>
      <c r="N956">
        <f t="shared" si="29"/>
        <v>2.3475800000000007</v>
      </c>
    </row>
    <row r="957" spans="11:14" x14ac:dyDescent="0.3">
      <c r="K957" t="s">
        <v>918</v>
      </c>
      <c r="L957">
        <v>169.44720000000001</v>
      </c>
      <c r="M957">
        <f t="shared" si="28"/>
        <v>20.415023999999999</v>
      </c>
      <c r="N957">
        <f t="shared" si="29"/>
        <v>149.03217600000002</v>
      </c>
    </row>
    <row r="958" spans="11:14" x14ac:dyDescent="0.3">
      <c r="K958" t="s">
        <v>919</v>
      </c>
      <c r="L958">
        <v>3.1349999999999998</v>
      </c>
      <c r="M958">
        <f t="shared" si="28"/>
        <v>28.214999999999996</v>
      </c>
      <c r="N958">
        <f t="shared" si="29"/>
        <v>-25.08</v>
      </c>
    </row>
    <row r="959" spans="11:14" x14ac:dyDescent="0.3">
      <c r="K959" t="s">
        <v>919</v>
      </c>
      <c r="L959">
        <v>3.1349999999999998</v>
      </c>
      <c r="M959">
        <f t="shared" si="28"/>
        <v>28.214999999999996</v>
      </c>
      <c r="N959">
        <f t="shared" si="29"/>
        <v>-25.08</v>
      </c>
    </row>
    <row r="960" spans="11:14" x14ac:dyDescent="0.3">
      <c r="K960" t="s">
        <v>919</v>
      </c>
      <c r="L960">
        <v>3.1349999999999998</v>
      </c>
      <c r="M960">
        <f t="shared" si="28"/>
        <v>28.214999999999996</v>
      </c>
      <c r="N960">
        <f t="shared" si="29"/>
        <v>-25.08</v>
      </c>
    </row>
    <row r="961" spans="11:14" x14ac:dyDescent="0.3">
      <c r="K961" t="s">
        <v>919</v>
      </c>
      <c r="L961">
        <v>3.1349999999999998</v>
      </c>
      <c r="M961">
        <f t="shared" si="28"/>
        <v>28.214999999999996</v>
      </c>
      <c r="N961">
        <f t="shared" si="29"/>
        <v>-25.08</v>
      </c>
    </row>
    <row r="962" spans="11:14" x14ac:dyDescent="0.3">
      <c r="K962" t="s">
        <v>919</v>
      </c>
      <c r="L962">
        <v>3.1349999999999998</v>
      </c>
      <c r="M962">
        <f t="shared" si="28"/>
        <v>28.214999999999996</v>
      </c>
      <c r="N962">
        <f t="shared" si="29"/>
        <v>-25.08</v>
      </c>
    </row>
    <row r="963" spans="11:14" x14ac:dyDescent="0.3">
      <c r="K963" t="s">
        <v>919</v>
      </c>
      <c r="L963">
        <v>3.1349999999999998</v>
      </c>
      <c r="M963">
        <f t="shared" ref="M963:M1026" si="30">_xlfn.XLOOKUP(K963,A:A,B:B)</f>
        <v>28.214999999999996</v>
      </c>
      <c r="N963">
        <f t="shared" ref="N963:N1026" si="31">L963-M963</f>
        <v>-25.08</v>
      </c>
    </row>
    <row r="964" spans="11:14" x14ac:dyDescent="0.3">
      <c r="K964" t="s">
        <v>919</v>
      </c>
      <c r="L964">
        <v>3.1349999999999998</v>
      </c>
      <c r="M964">
        <f t="shared" si="30"/>
        <v>28.214999999999996</v>
      </c>
      <c r="N964">
        <f t="shared" si="31"/>
        <v>-25.08</v>
      </c>
    </row>
    <row r="965" spans="11:14" x14ac:dyDescent="0.3">
      <c r="K965" t="s">
        <v>919</v>
      </c>
      <c r="L965">
        <v>3.1349999999999998</v>
      </c>
      <c r="M965">
        <f t="shared" si="30"/>
        <v>28.214999999999996</v>
      </c>
      <c r="N965">
        <f t="shared" si="31"/>
        <v>-25.08</v>
      </c>
    </row>
    <row r="966" spans="11:14" x14ac:dyDescent="0.3">
      <c r="K966" t="s">
        <v>919</v>
      </c>
      <c r="L966">
        <v>3.1349999999999998</v>
      </c>
      <c r="M966">
        <f t="shared" si="30"/>
        <v>28.214999999999996</v>
      </c>
      <c r="N966">
        <f t="shared" si="31"/>
        <v>-25.08</v>
      </c>
    </row>
    <row r="967" spans="11:14" x14ac:dyDescent="0.3">
      <c r="K967" t="s">
        <v>920</v>
      </c>
      <c r="L967">
        <v>2.0266999999999999</v>
      </c>
      <c r="M967">
        <f t="shared" si="30"/>
        <v>3.1349999999999998</v>
      </c>
      <c r="N967">
        <f t="shared" si="31"/>
        <v>-1.1082999999999998</v>
      </c>
    </row>
    <row r="968" spans="11:14" x14ac:dyDescent="0.3">
      <c r="K968" t="s">
        <v>921</v>
      </c>
      <c r="L968">
        <v>2.0266999999999999</v>
      </c>
      <c r="M968">
        <f t="shared" si="30"/>
        <v>6.27</v>
      </c>
      <c r="N968">
        <f t="shared" si="31"/>
        <v>-4.2432999999999996</v>
      </c>
    </row>
    <row r="969" spans="11:14" x14ac:dyDescent="0.3">
      <c r="K969" t="s">
        <v>921</v>
      </c>
      <c r="L969">
        <v>2.0266999999999999</v>
      </c>
      <c r="M969">
        <f t="shared" si="30"/>
        <v>6.27</v>
      </c>
      <c r="N969">
        <f t="shared" si="31"/>
        <v>-4.2432999999999996</v>
      </c>
    </row>
    <row r="970" spans="11:14" x14ac:dyDescent="0.3">
      <c r="K970" t="s">
        <v>922</v>
      </c>
      <c r="L970">
        <v>3.1349999999999998</v>
      </c>
      <c r="M970">
        <f t="shared" si="30"/>
        <v>3.1349999999999998</v>
      </c>
      <c r="N970">
        <f t="shared" si="31"/>
        <v>0</v>
      </c>
    </row>
    <row r="971" spans="11:14" x14ac:dyDescent="0.3">
      <c r="K971" t="s">
        <v>923</v>
      </c>
      <c r="L971">
        <v>3.1349999999999998</v>
      </c>
      <c r="M971">
        <f t="shared" si="30"/>
        <v>28.214999999999996</v>
      </c>
      <c r="N971">
        <f t="shared" si="31"/>
        <v>-25.08</v>
      </c>
    </row>
    <row r="972" spans="11:14" x14ac:dyDescent="0.3">
      <c r="K972" t="s">
        <v>923</v>
      </c>
      <c r="L972">
        <v>3.1349999999999998</v>
      </c>
      <c r="M972">
        <f t="shared" si="30"/>
        <v>28.214999999999996</v>
      </c>
      <c r="N972">
        <f t="shared" si="31"/>
        <v>-25.08</v>
      </c>
    </row>
    <row r="973" spans="11:14" x14ac:dyDescent="0.3">
      <c r="K973" t="s">
        <v>923</v>
      </c>
      <c r="L973">
        <v>3.1349999999999998</v>
      </c>
      <c r="M973">
        <f t="shared" si="30"/>
        <v>28.214999999999996</v>
      </c>
      <c r="N973">
        <f t="shared" si="31"/>
        <v>-25.08</v>
      </c>
    </row>
    <row r="974" spans="11:14" x14ac:dyDescent="0.3">
      <c r="K974" t="s">
        <v>923</v>
      </c>
      <c r="L974">
        <v>3.1349999999999998</v>
      </c>
      <c r="M974">
        <f t="shared" si="30"/>
        <v>28.214999999999996</v>
      </c>
      <c r="N974">
        <f t="shared" si="31"/>
        <v>-25.08</v>
      </c>
    </row>
    <row r="975" spans="11:14" x14ac:dyDescent="0.3">
      <c r="K975" t="s">
        <v>923</v>
      </c>
      <c r="L975">
        <v>3.1349999999999998</v>
      </c>
      <c r="M975">
        <f t="shared" si="30"/>
        <v>28.214999999999996</v>
      </c>
      <c r="N975">
        <f t="shared" si="31"/>
        <v>-25.08</v>
      </c>
    </row>
    <row r="976" spans="11:14" x14ac:dyDescent="0.3">
      <c r="K976" t="s">
        <v>923</v>
      </c>
      <c r="L976">
        <v>3.1349999999999998</v>
      </c>
      <c r="M976">
        <f t="shared" si="30"/>
        <v>28.214999999999996</v>
      </c>
      <c r="N976">
        <f t="shared" si="31"/>
        <v>-25.08</v>
      </c>
    </row>
    <row r="977" spans="11:14" x14ac:dyDescent="0.3">
      <c r="K977" t="s">
        <v>923</v>
      </c>
      <c r="L977">
        <v>3.1349999999999998</v>
      </c>
      <c r="M977">
        <f t="shared" si="30"/>
        <v>28.214999999999996</v>
      </c>
      <c r="N977">
        <f t="shared" si="31"/>
        <v>-25.08</v>
      </c>
    </row>
    <row r="978" spans="11:14" x14ac:dyDescent="0.3">
      <c r="K978" t="s">
        <v>923</v>
      </c>
      <c r="L978">
        <v>3.1349999999999998</v>
      </c>
      <c r="M978">
        <f t="shared" si="30"/>
        <v>28.214999999999996</v>
      </c>
      <c r="N978">
        <f t="shared" si="31"/>
        <v>-25.08</v>
      </c>
    </row>
    <row r="979" spans="11:14" x14ac:dyDescent="0.3">
      <c r="K979" t="s">
        <v>923</v>
      </c>
      <c r="L979">
        <v>3.1349999999999998</v>
      </c>
      <c r="M979">
        <f t="shared" si="30"/>
        <v>28.214999999999996</v>
      </c>
      <c r="N979">
        <f t="shared" si="31"/>
        <v>-25.08</v>
      </c>
    </row>
    <row r="980" spans="11:14" x14ac:dyDescent="0.3">
      <c r="K980" t="s">
        <v>924</v>
      </c>
      <c r="L980">
        <v>1.3724000000000001</v>
      </c>
      <c r="M980">
        <f t="shared" si="30"/>
        <v>6.27</v>
      </c>
      <c r="N980">
        <f t="shared" si="31"/>
        <v>-4.8975999999999997</v>
      </c>
    </row>
    <row r="981" spans="11:14" x14ac:dyDescent="0.3">
      <c r="K981" t="s">
        <v>924</v>
      </c>
      <c r="L981">
        <v>1.3724000000000001</v>
      </c>
      <c r="M981">
        <f t="shared" si="30"/>
        <v>6.27</v>
      </c>
      <c r="N981">
        <f t="shared" si="31"/>
        <v>-4.8975999999999997</v>
      </c>
    </row>
    <row r="982" spans="11:14" x14ac:dyDescent="0.3">
      <c r="K982" t="s">
        <v>925</v>
      </c>
      <c r="L982">
        <v>0.91490000000000005</v>
      </c>
      <c r="M982">
        <f t="shared" si="30"/>
        <v>2.09</v>
      </c>
      <c r="N982">
        <f t="shared" si="31"/>
        <v>-1.1750999999999998</v>
      </c>
    </row>
    <row r="983" spans="11:14" x14ac:dyDescent="0.3">
      <c r="K983" t="s">
        <v>926</v>
      </c>
      <c r="L983">
        <v>1.7261</v>
      </c>
      <c r="M983">
        <f t="shared" si="30"/>
        <v>3.1349999999999998</v>
      </c>
      <c r="N983">
        <f t="shared" si="31"/>
        <v>-1.4088999999999998</v>
      </c>
    </row>
    <row r="984" spans="11:14" x14ac:dyDescent="0.3">
      <c r="K984" t="s">
        <v>927</v>
      </c>
      <c r="L984">
        <v>5.2249999999999996</v>
      </c>
      <c r="M984">
        <f t="shared" si="30"/>
        <v>57.475000000000009</v>
      </c>
      <c r="N984">
        <f t="shared" si="31"/>
        <v>-52.250000000000007</v>
      </c>
    </row>
    <row r="985" spans="11:14" x14ac:dyDescent="0.3">
      <c r="K985" t="s">
        <v>927</v>
      </c>
      <c r="L985">
        <v>5.2249999999999996</v>
      </c>
      <c r="M985">
        <f t="shared" si="30"/>
        <v>57.475000000000009</v>
      </c>
      <c r="N985">
        <f t="shared" si="31"/>
        <v>-52.250000000000007</v>
      </c>
    </row>
    <row r="986" spans="11:14" x14ac:dyDescent="0.3">
      <c r="K986" t="s">
        <v>927</v>
      </c>
      <c r="L986">
        <v>5.2249999999999996</v>
      </c>
      <c r="M986">
        <f t="shared" si="30"/>
        <v>57.475000000000009</v>
      </c>
      <c r="N986">
        <f t="shared" si="31"/>
        <v>-52.250000000000007</v>
      </c>
    </row>
    <row r="987" spans="11:14" x14ac:dyDescent="0.3">
      <c r="K987" t="s">
        <v>927</v>
      </c>
      <c r="L987">
        <v>5.2249999999999996</v>
      </c>
      <c r="M987">
        <f t="shared" si="30"/>
        <v>57.475000000000009</v>
      </c>
      <c r="N987">
        <f t="shared" si="31"/>
        <v>-52.250000000000007</v>
      </c>
    </row>
    <row r="988" spans="11:14" x14ac:dyDescent="0.3">
      <c r="K988" t="s">
        <v>927</v>
      </c>
      <c r="L988">
        <v>5.2249999999999996</v>
      </c>
      <c r="M988">
        <f t="shared" si="30"/>
        <v>57.475000000000009</v>
      </c>
      <c r="N988">
        <f t="shared" si="31"/>
        <v>-52.250000000000007</v>
      </c>
    </row>
    <row r="989" spans="11:14" x14ac:dyDescent="0.3">
      <c r="K989" t="s">
        <v>927</v>
      </c>
      <c r="L989">
        <v>5.2249999999999996</v>
      </c>
      <c r="M989">
        <f t="shared" si="30"/>
        <v>57.475000000000009</v>
      </c>
      <c r="N989">
        <f t="shared" si="31"/>
        <v>-52.250000000000007</v>
      </c>
    </row>
    <row r="990" spans="11:14" x14ac:dyDescent="0.3">
      <c r="K990" t="s">
        <v>927</v>
      </c>
      <c r="L990">
        <v>5.2249999999999996</v>
      </c>
      <c r="M990">
        <f t="shared" si="30"/>
        <v>57.475000000000009</v>
      </c>
      <c r="N990">
        <f t="shared" si="31"/>
        <v>-52.250000000000007</v>
      </c>
    </row>
    <row r="991" spans="11:14" x14ac:dyDescent="0.3">
      <c r="K991" t="s">
        <v>927</v>
      </c>
      <c r="L991">
        <v>5.2249999999999996</v>
      </c>
      <c r="M991">
        <f t="shared" si="30"/>
        <v>57.475000000000009</v>
      </c>
      <c r="N991">
        <f t="shared" si="31"/>
        <v>-52.250000000000007</v>
      </c>
    </row>
    <row r="992" spans="11:14" x14ac:dyDescent="0.3">
      <c r="K992" t="s">
        <v>927</v>
      </c>
      <c r="L992">
        <v>5.2249999999999996</v>
      </c>
      <c r="M992">
        <f t="shared" si="30"/>
        <v>57.475000000000009</v>
      </c>
      <c r="N992">
        <f t="shared" si="31"/>
        <v>-52.250000000000007</v>
      </c>
    </row>
    <row r="993" spans="11:14" x14ac:dyDescent="0.3">
      <c r="K993" t="s">
        <v>927</v>
      </c>
      <c r="L993">
        <v>5.2249999999999996</v>
      </c>
      <c r="M993">
        <f t="shared" si="30"/>
        <v>57.475000000000009</v>
      </c>
      <c r="N993">
        <f t="shared" si="31"/>
        <v>-52.250000000000007</v>
      </c>
    </row>
    <row r="994" spans="11:14" x14ac:dyDescent="0.3">
      <c r="K994" t="s">
        <v>927</v>
      </c>
      <c r="L994">
        <v>5.2249999999999996</v>
      </c>
      <c r="M994">
        <f t="shared" si="30"/>
        <v>57.475000000000009</v>
      </c>
      <c r="N994">
        <f t="shared" si="31"/>
        <v>-52.250000000000007</v>
      </c>
    </row>
    <row r="995" spans="11:14" x14ac:dyDescent="0.3">
      <c r="K995" t="s">
        <v>928</v>
      </c>
      <c r="L995">
        <v>3.3778000000000001</v>
      </c>
      <c r="M995">
        <f t="shared" si="30"/>
        <v>15.674999999999999</v>
      </c>
      <c r="N995">
        <f t="shared" si="31"/>
        <v>-12.297199999999998</v>
      </c>
    </row>
    <row r="996" spans="11:14" x14ac:dyDescent="0.3">
      <c r="K996" t="s">
        <v>928</v>
      </c>
      <c r="L996">
        <v>3.3778000000000001</v>
      </c>
      <c r="M996">
        <f t="shared" si="30"/>
        <v>15.674999999999999</v>
      </c>
      <c r="N996">
        <f t="shared" si="31"/>
        <v>-12.297199999999998</v>
      </c>
    </row>
    <row r="997" spans="11:14" x14ac:dyDescent="0.3">
      <c r="K997" t="s">
        <v>928</v>
      </c>
      <c r="L997">
        <v>3.3778000000000001</v>
      </c>
      <c r="M997">
        <f t="shared" si="30"/>
        <v>15.674999999999999</v>
      </c>
      <c r="N997">
        <f t="shared" si="31"/>
        <v>-12.297199999999998</v>
      </c>
    </row>
    <row r="998" spans="11:14" x14ac:dyDescent="0.3">
      <c r="K998" t="s">
        <v>929</v>
      </c>
      <c r="L998">
        <v>5.2249999999999996</v>
      </c>
      <c r="M998">
        <f t="shared" si="30"/>
        <v>5.2249999999999996</v>
      </c>
      <c r="N998">
        <f t="shared" si="31"/>
        <v>0</v>
      </c>
    </row>
    <row r="999" spans="11:14" x14ac:dyDescent="0.3">
      <c r="K999" t="s">
        <v>930</v>
      </c>
      <c r="L999">
        <v>5.2249999999999996</v>
      </c>
      <c r="M999">
        <f t="shared" si="30"/>
        <v>67.925000000000011</v>
      </c>
      <c r="N999">
        <f t="shared" si="31"/>
        <v>-62.70000000000001</v>
      </c>
    </row>
    <row r="1000" spans="11:14" x14ac:dyDescent="0.3">
      <c r="K1000" t="s">
        <v>930</v>
      </c>
      <c r="L1000">
        <v>5.2249999999999996</v>
      </c>
      <c r="M1000">
        <f t="shared" si="30"/>
        <v>67.925000000000011</v>
      </c>
      <c r="N1000">
        <f t="shared" si="31"/>
        <v>-62.70000000000001</v>
      </c>
    </row>
    <row r="1001" spans="11:14" x14ac:dyDescent="0.3">
      <c r="K1001" t="s">
        <v>930</v>
      </c>
      <c r="L1001">
        <v>5.2249999999999996</v>
      </c>
      <c r="M1001">
        <f t="shared" si="30"/>
        <v>67.925000000000011</v>
      </c>
      <c r="N1001">
        <f t="shared" si="31"/>
        <v>-62.70000000000001</v>
      </c>
    </row>
    <row r="1002" spans="11:14" x14ac:dyDescent="0.3">
      <c r="K1002" t="s">
        <v>930</v>
      </c>
      <c r="L1002">
        <v>5.2249999999999996</v>
      </c>
      <c r="M1002">
        <f t="shared" si="30"/>
        <v>67.925000000000011</v>
      </c>
      <c r="N1002">
        <f t="shared" si="31"/>
        <v>-62.70000000000001</v>
      </c>
    </row>
    <row r="1003" spans="11:14" x14ac:dyDescent="0.3">
      <c r="K1003" t="s">
        <v>930</v>
      </c>
      <c r="L1003">
        <v>5.2249999999999996</v>
      </c>
      <c r="M1003">
        <f t="shared" si="30"/>
        <v>67.925000000000011</v>
      </c>
      <c r="N1003">
        <f t="shared" si="31"/>
        <v>-62.70000000000001</v>
      </c>
    </row>
    <row r="1004" spans="11:14" x14ac:dyDescent="0.3">
      <c r="K1004" t="s">
        <v>930</v>
      </c>
      <c r="L1004">
        <v>5.2249999999999996</v>
      </c>
      <c r="M1004">
        <f t="shared" si="30"/>
        <v>67.925000000000011</v>
      </c>
      <c r="N1004">
        <f t="shared" si="31"/>
        <v>-62.70000000000001</v>
      </c>
    </row>
    <row r="1005" spans="11:14" x14ac:dyDescent="0.3">
      <c r="K1005" t="s">
        <v>930</v>
      </c>
      <c r="L1005">
        <v>5.2249999999999996</v>
      </c>
      <c r="M1005">
        <f t="shared" si="30"/>
        <v>67.925000000000011</v>
      </c>
      <c r="N1005">
        <f t="shared" si="31"/>
        <v>-62.70000000000001</v>
      </c>
    </row>
    <row r="1006" spans="11:14" x14ac:dyDescent="0.3">
      <c r="K1006" t="s">
        <v>930</v>
      </c>
      <c r="L1006">
        <v>5.2249999999999996</v>
      </c>
      <c r="M1006">
        <f t="shared" si="30"/>
        <v>67.925000000000011</v>
      </c>
      <c r="N1006">
        <f t="shared" si="31"/>
        <v>-62.70000000000001</v>
      </c>
    </row>
    <row r="1007" spans="11:14" x14ac:dyDescent="0.3">
      <c r="K1007" t="s">
        <v>930</v>
      </c>
      <c r="L1007">
        <v>5.2249999999999996</v>
      </c>
      <c r="M1007">
        <f t="shared" si="30"/>
        <v>67.925000000000011</v>
      </c>
      <c r="N1007">
        <f t="shared" si="31"/>
        <v>-62.70000000000001</v>
      </c>
    </row>
    <row r="1008" spans="11:14" x14ac:dyDescent="0.3">
      <c r="K1008" t="s">
        <v>930</v>
      </c>
      <c r="L1008">
        <v>5.2249999999999996</v>
      </c>
      <c r="M1008">
        <f t="shared" si="30"/>
        <v>67.925000000000011</v>
      </c>
      <c r="N1008">
        <f t="shared" si="31"/>
        <v>-62.70000000000001</v>
      </c>
    </row>
    <row r="1009" spans="11:14" x14ac:dyDescent="0.3">
      <c r="K1009" t="s">
        <v>930</v>
      </c>
      <c r="L1009">
        <v>5.2249999999999996</v>
      </c>
      <c r="M1009">
        <f t="shared" si="30"/>
        <v>67.925000000000011</v>
      </c>
      <c r="N1009">
        <f t="shared" si="31"/>
        <v>-62.70000000000001</v>
      </c>
    </row>
    <row r="1010" spans="11:14" x14ac:dyDescent="0.3">
      <c r="K1010" t="s">
        <v>930</v>
      </c>
      <c r="L1010">
        <v>5.2249999999999996</v>
      </c>
      <c r="M1010">
        <f t="shared" si="30"/>
        <v>67.925000000000011</v>
      </c>
      <c r="N1010">
        <f t="shared" si="31"/>
        <v>-62.70000000000001</v>
      </c>
    </row>
    <row r="1011" spans="11:14" x14ac:dyDescent="0.3">
      <c r="K1011" t="s">
        <v>930</v>
      </c>
      <c r="L1011">
        <v>5.2249999999999996</v>
      </c>
      <c r="M1011">
        <f t="shared" si="30"/>
        <v>67.925000000000011</v>
      </c>
      <c r="N1011">
        <f t="shared" si="31"/>
        <v>-62.70000000000001</v>
      </c>
    </row>
    <row r="1012" spans="11:14" x14ac:dyDescent="0.3">
      <c r="K1012" t="s">
        <v>931</v>
      </c>
      <c r="L1012">
        <v>7.1035000000000004</v>
      </c>
      <c r="M1012">
        <f t="shared" si="30"/>
        <v>11.062932485474366</v>
      </c>
      <c r="N1012">
        <f t="shared" si="31"/>
        <v>-3.9594324854743661</v>
      </c>
    </row>
    <row r="1013" spans="11:14" x14ac:dyDescent="0.3">
      <c r="K1013" t="s">
        <v>932</v>
      </c>
      <c r="L1013">
        <v>3.3778000000000001</v>
      </c>
      <c r="M1013">
        <f t="shared" si="30"/>
        <v>10.45</v>
      </c>
      <c r="N1013">
        <f t="shared" si="31"/>
        <v>-7.0721999999999987</v>
      </c>
    </row>
    <row r="1014" spans="11:14" x14ac:dyDescent="0.3">
      <c r="K1014" t="s">
        <v>932</v>
      </c>
      <c r="L1014">
        <v>3.3778000000000001</v>
      </c>
      <c r="M1014">
        <f t="shared" si="30"/>
        <v>10.45</v>
      </c>
      <c r="N1014">
        <f t="shared" si="31"/>
        <v>-7.0721999999999987</v>
      </c>
    </row>
    <row r="1015" spans="11:14" x14ac:dyDescent="0.3">
      <c r="K1015" t="s">
        <v>933</v>
      </c>
      <c r="L1015">
        <v>5.2249999999999996</v>
      </c>
      <c r="M1015">
        <f t="shared" si="30"/>
        <v>5.2249999999999996</v>
      </c>
      <c r="N1015">
        <f t="shared" si="31"/>
        <v>0</v>
      </c>
    </row>
    <row r="1016" spans="11:14" x14ac:dyDescent="0.3">
      <c r="K1016" t="s">
        <v>934</v>
      </c>
      <c r="L1016">
        <v>4.2621000000000002</v>
      </c>
      <c r="M1016">
        <f t="shared" si="30"/>
        <v>5.2249999999999996</v>
      </c>
      <c r="N1016">
        <f t="shared" si="31"/>
        <v>-0.96289999999999942</v>
      </c>
    </row>
    <row r="1017" spans="11:14" x14ac:dyDescent="0.3">
      <c r="K1017" t="s">
        <v>935</v>
      </c>
      <c r="L1017">
        <v>8.36</v>
      </c>
      <c r="M1017">
        <f t="shared" si="30"/>
        <v>8.36</v>
      </c>
      <c r="N1017">
        <f t="shared" si="31"/>
        <v>0</v>
      </c>
    </row>
    <row r="1018" spans="11:14" x14ac:dyDescent="0.3">
      <c r="K1018" t="s">
        <v>936</v>
      </c>
      <c r="L1018">
        <v>17.018899999999999</v>
      </c>
      <c r="M1018">
        <f t="shared" si="30"/>
        <v>57.475000000000009</v>
      </c>
      <c r="N1018">
        <f t="shared" si="31"/>
        <v>-40.456100000000006</v>
      </c>
    </row>
    <row r="1019" spans="11:14" x14ac:dyDescent="0.3">
      <c r="K1019" t="s">
        <v>936</v>
      </c>
      <c r="L1019">
        <v>17.018899999999999</v>
      </c>
      <c r="M1019">
        <f t="shared" si="30"/>
        <v>57.475000000000009</v>
      </c>
      <c r="N1019">
        <f t="shared" si="31"/>
        <v>-40.456100000000006</v>
      </c>
    </row>
    <row r="1020" spans="11:14" x14ac:dyDescent="0.3">
      <c r="K1020" t="s">
        <v>936</v>
      </c>
      <c r="L1020">
        <v>17.018899999999999</v>
      </c>
      <c r="M1020">
        <f t="shared" si="30"/>
        <v>57.475000000000009</v>
      </c>
      <c r="N1020">
        <f t="shared" si="31"/>
        <v>-40.456100000000006</v>
      </c>
    </row>
    <row r="1021" spans="11:14" x14ac:dyDescent="0.3">
      <c r="K1021" t="s">
        <v>936</v>
      </c>
      <c r="L1021">
        <v>17.018899999999999</v>
      </c>
      <c r="M1021">
        <f t="shared" si="30"/>
        <v>57.475000000000009</v>
      </c>
      <c r="N1021">
        <f t="shared" si="31"/>
        <v>-40.456100000000006</v>
      </c>
    </row>
    <row r="1022" spans="11:14" x14ac:dyDescent="0.3">
      <c r="K1022" t="s">
        <v>936</v>
      </c>
      <c r="L1022">
        <v>17.018899999999999</v>
      </c>
      <c r="M1022">
        <f t="shared" si="30"/>
        <v>57.475000000000009</v>
      </c>
      <c r="N1022">
        <f t="shared" si="31"/>
        <v>-40.456100000000006</v>
      </c>
    </row>
    <row r="1023" spans="11:14" x14ac:dyDescent="0.3">
      <c r="K1023" t="s">
        <v>936</v>
      </c>
      <c r="L1023">
        <v>17.018899999999999</v>
      </c>
      <c r="M1023">
        <f t="shared" si="30"/>
        <v>57.475000000000009</v>
      </c>
      <c r="N1023">
        <f t="shared" si="31"/>
        <v>-40.456100000000006</v>
      </c>
    </row>
    <row r="1024" spans="11:14" x14ac:dyDescent="0.3">
      <c r="K1024" t="s">
        <v>936</v>
      </c>
      <c r="L1024">
        <v>17.018899999999999</v>
      </c>
      <c r="M1024">
        <f t="shared" si="30"/>
        <v>57.475000000000009</v>
      </c>
      <c r="N1024">
        <f t="shared" si="31"/>
        <v>-40.456100000000006</v>
      </c>
    </row>
    <row r="1025" spans="11:14" x14ac:dyDescent="0.3">
      <c r="K1025" t="s">
        <v>936</v>
      </c>
      <c r="L1025">
        <v>17.018899999999999</v>
      </c>
      <c r="M1025">
        <f t="shared" si="30"/>
        <v>57.475000000000009</v>
      </c>
      <c r="N1025">
        <f t="shared" si="31"/>
        <v>-40.456100000000006</v>
      </c>
    </row>
    <row r="1026" spans="11:14" x14ac:dyDescent="0.3">
      <c r="K1026" t="s">
        <v>936</v>
      </c>
      <c r="L1026">
        <v>17.018899999999999</v>
      </c>
      <c r="M1026">
        <f t="shared" si="30"/>
        <v>57.475000000000009</v>
      </c>
      <c r="N1026">
        <f t="shared" si="31"/>
        <v>-40.456100000000006</v>
      </c>
    </row>
    <row r="1027" spans="11:14" x14ac:dyDescent="0.3">
      <c r="K1027" t="s">
        <v>936</v>
      </c>
      <c r="L1027">
        <v>17.018899999999999</v>
      </c>
      <c r="M1027">
        <f t="shared" ref="M1027:M1090" si="32">_xlfn.XLOOKUP(K1027,A:A,B:B)</f>
        <v>57.475000000000009</v>
      </c>
      <c r="N1027">
        <f t="shared" ref="N1027:N1090" si="33">L1027-M1027</f>
        <v>-40.456100000000006</v>
      </c>
    </row>
    <row r="1028" spans="11:14" x14ac:dyDescent="0.3">
      <c r="K1028" t="s">
        <v>936</v>
      </c>
      <c r="L1028">
        <v>17.018899999999999</v>
      </c>
      <c r="M1028">
        <f t="shared" si="32"/>
        <v>57.475000000000009</v>
      </c>
      <c r="N1028">
        <f t="shared" si="33"/>
        <v>-40.456100000000006</v>
      </c>
    </row>
    <row r="1029" spans="11:14" x14ac:dyDescent="0.3">
      <c r="K1029" t="s">
        <v>937</v>
      </c>
      <c r="L1029">
        <v>20.794</v>
      </c>
      <c r="M1029">
        <f t="shared" si="32"/>
        <v>13.16039325869869</v>
      </c>
      <c r="N1029">
        <f t="shared" si="33"/>
        <v>7.6336067413013104</v>
      </c>
    </row>
    <row r="1030" spans="11:14" x14ac:dyDescent="0.3">
      <c r="K1030" t="s">
        <v>938</v>
      </c>
      <c r="L1030">
        <v>17.882000000000001</v>
      </c>
      <c r="M1030">
        <f t="shared" si="32"/>
        <v>5.2249999999999996</v>
      </c>
      <c r="N1030">
        <f t="shared" si="33"/>
        <v>12.657000000000002</v>
      </c>
    </row>
    <row r="1031" spans="11:14" x14ac:dyDescent="0.3">
      <c r="K1031" t="s">
        <v>939</v>
      </c>
      <c r="L1031">
        <v>10.1762</v>
      </c>
      <c r="M1031">
        <f t="shared" si="32"/>
        <v>5.2249999999999996</v>
      </c>
      <c r="N1031">
        <f t="shared" si="33"/>
        <v>4.9512</v>
      </c>
    </row>
    <row r="1032" spans="11:14" x14ac:dyDescent="0.3">
      <c r="K1032" t="s">
        <v>940</v>
      </c>
      <c r="L1032">
        <v>11.382300000000001</v>
      </c>
      <c r="M1032">
        <f t="shared" si="32"/>
        <v>7.3149999999999986</v>
      </c>
      <c r="N1032">
        <f t="shared" si="33"/>
        <v>4.0673000000000021</v>
      </c>
    </row>
    <row r="1033" spans="11:14" x14ac:dyDescent="0.3">
      <c r="K1033" t="s">
        <v>941</v>
      </c>
      <c r="L1033">
        <v>10.1762</v>
      </c>
      <c r="M1033">
        <f t="shared" si="32"/>
        <v>5.2249999999999996</v>
      </c>
      <c r="N1033">
        <f t="shared" si="33"/>
        <v>4.9512</v>
      </c>
    </row>
    <row r="1034" spans="11:14" x14ac:dyDescent="0.3">
      <c r="K1034" t="s">
        <v>942</v>
      </c>
      <c r="L1034">
        <v>15.8185</v>
      </c>
      <c r="M1034">
        <f t="shared" si="32"/>
        <v>5.2249999999999996</v>
      </c>
      <c r="N1034">
        <f t="shared" si="33"/>
        <v>10.593500000000001</v>
      </c>
    </row>
    <row r="1035" spans="11:14" x14ac:dyDescent="0.3">
      <c r="K1035" t="s">
        <v>943</v>
      </c>
      <c r="L1035">
        <v>13.5885</v>
      </c>
      <c r="M1035">
        <f t="shared" si="32"/>
        <v>6.27</v>
      </c>
      <c r="N1035">
        <f t="shared" si="33"/>
        <v>7.3185000000000002</v>
      </c>
    </row>
    <row r="1036" spans="11:14" x14ac:dyDescent="0.3">
      <c r="K1036" t="s">
        <v>944</v>
      </c>
      <c r="L1036">
        <v>16.857900000000001</v>
      </c>
      <c r="M1036">
        <f t="shared" si="32"/>
        <v>57.475000000000009</v>
      </c>
      <c r="N1036">
        <f t="shared" si="33"/>
        <v>-40.617100000000008</v>
      </c>
    </row>
    <row r="1037" spans="11:14" x14ac:dyDescent="0.3">
      <c r="K1037" t="s">
        <v>944</v>
      </c>
      <c r="L1037">
        <v>16.857900000000001</v>
      </c>
      <c r="M1037">
        <f t="shared" si="32"/>
        <v>57.475000000000009</v>
      </c>
      <c r="N1037">
        <f t="shared" si="33"/>
        <v>-40.617100000000008</v>
      </c>
    </row>
    <row r="1038" spans="11:14" x14ac:dyDescent="0.3">
      <c r="K1038" t="s">
        <v>944</v>
      </c>
      <c r="L1038">
        <v>16.857900000000001</v>
      </c>
      <c r="M1038">
        <f t="shared" si="32"/>
        <v>57.475000000000009</v>
      </c>
      <c r="N1038">
        <f t="shared" si="33"/>
        <v>-40.617100000000008</v>
      </c>
    </row>
    <row r="1039" spans="11:14" x14ac:dyDescent="0.3">
      <c r="K1039" t="s">
        <v>944</v>
      </c>
      <c r="L1039">
        <v>16.857900000000001</v>
      </c>
      <c r="M1039">
        <f t="shared" si="32"/>
        <v>57.475000000000009</v>
      </c>
      <c r="N1039">
        <f t="shared" si="33"/>
        <v>-40.617100000000008</v>
      </c>
    </row>
    <row r="1040" spans="11:14" x14ac:dyDescent="0.3">
      <c r="K1040" t="s">
        <v>944</v>
      </c>
      <c r="L1040">
        <v>16.857900000000001</v>
      </c>
      <c r="M1040">
        <f t="shared" si="32"/>
        <v>57.475000000000009</v>
      </c>
      <c r="N1040">
        <f t="shared" si="33"/>
        <v>-40.617100000000008</v>
      </c>
    </row>
    <row r="1041" spans="11:14" x14ac:dyDescent="0.3">
      <c r="K1041" t="s">
        <v>944</v>
      </c>
      <c r="L1041">
        <v>16.857900000000001</v>
      </c>
      <c r="M1041">
        <f t="shared" si="32"/>
        <v>57.475000000000009</v>
      </c>
      <c r="N1041">
        <f t="shared" si="33"/>
        <v>-40.617100000000008</v>
      </c>
    </row>
    <row r="1042" spans="11:14" x14ac:dyDescent="0.3">
      <c r="K1042" t="s">
        <v>944</v>
      </c>
      <c r="L1042">
        <v>16.857900000000001</v>
      </c>
      <c r="M1042">
        <f t="shared" si="32"/>
        <v>57.475000000000009</v>
      </c>
      <c r="N1042">
        <f t="shared" si="33"/>
        <v>-40.617100000000008</v>
      </c>
    </row>
    <row r="1043" spans="11:14" x14ac:dyDescent="0.3">
      <c r="K1043" t="s">
        <v>944</v>
      </c>
      <c r="L1043">
        <v>16.857900000000001</v>
      </c>
      <c r="M1043">
        <f t="shared" si="32"/>
        <v>57.475000000000009</v>
      </c>
      <c r="N1043">
        <f t="shared" si="33"/>
        <v>-40.617100000000008</v>
      </c>
    </row>
    <row r="1044" spans="11:14" x14ac:dyDescent="0.3">
      <c r="K1044" t="s">
        <v>944</v>
      </c>
      <c r="L1044">
        <v>16.857900000000001</v>
      </c>
      <c r="M1044">
        <f t="shared" si="32"/>
        <v>57.475000000000009</v>
      </c>
      <c r="N1044">
        <f t="shared" si="33"/>
        <v>-40.617100000000008</v>
      </c>
    </row>
    <row r="1045" spans="11:14" x14ac:dyDescent="0.3">
      <c r="K1045" t="s">
        <v>944</v>
      </c>
      <c r="L1045">
        <v>16.857900000000001</v>
      </c>
      <c r="M1045">
        <f t="shared" si="32"/>
        <v>57.475000000000009</v>
      </c>
      <c r="N1045">
        <f t="shared" si="33"/>
        <v>-40.617100000000008</v>
      </c>
    </row>
    <row r="1046" spans="11:14" x14ac:dyDescent="0.3">
      <c r="K1046" t="s">
        <v>944</v>
      </c>
      <c r="L1046">
        <v>16.857900000000001</v>
      </c>
      <c r="M1046">
        <f t="shared" si="32"/>
        <v>57.475000000000009</v>
      </c>
      <c r="N1046">
        <f t="shared" si="33"/>
        <v>-40.617100000000008</v>
      </c>
    </row>
    <row r="1047" spans="11:14" x14ac:dyDescent="0.3">
      <c r="K1047" t="s">
        <v>945</v>
      </c>
      <c r="L1047">
        <v>8.0993999999999993</v>
      </c>
      <c r="M1047">
        <f t="shared" si="32"/>
        <v>5.2249999999999996</v>
      </c>
      <c r="N1047">
        <f t="shared" si="33"/>
        <v>2.8743999999999996</v>
      </c>
    </row>
    <row r="1048" spans="11:14" x14ac:dyDescent="0.3">
      <c r="K1048" t="s">
        <v>946</v>
      </c>
      <c r="L1048">
        <v>22.539000000000001</v>
      </c>
      <c r="M1048">
        <f t="shared" si="32"/>
        <v>15.133560060176386</v>
      </c>
      <c r="N1048">
        <f t="shared" si="33"/>
        <v>7.4054399398236157</v>
      </c>
    </row>
    <row r="1049" spans="11:14" x14ac:dyDescent="0.3">
      <c r="K1049" t="s">
        <v>947</v>
      </c>
      <c r="L1049">
        <v>10.016500000000001</v>
      </c>
      <c r="M1049">
        <f t="shared" si="32"/>
        <v>5.2249999999999996</v>
      </c>
      <c r="N1049">
        <f t="shared" si="33"/>
        <v>4.791500000000001</v>
      </c>
    </row>
    <row r="1050" spans="11:14" x14ac:dyDescent="0.3">
      <c r="K1050" t="s">
        <v>948</v>
      </c>
      <c r="L1050">
        <v>10.016500000000001</v>
      </c>
      <c r="M1050">
        <f t="shared" si="32"/>
        <v>5.2249999999999996</v>
      </c>
      <c r="N1050">
        <f t="shared" si="33"/>
        <v>4.791500000000001</v>
      </c>
    </row>
    <row r="1051" spans="11:14" x14ac:dyDescent="0.3">
      <c r="K1051" t="s">
        <v>949</v>
      </c>
      <c r="L1051">
        <v>12.0448</v>
      </c>
      <c r="M1051">
        <f t="shared" si="32"/>
        <v>8.4227000000000007</v>
      </c>
      <c r="N1051">
        <f t="shared" si="33"/>
        <v>3.6220999999999997</v>
      </c>
    </row>
    <row r="1052" spans="11:14" x14ac:dyDescent="0.3">
      <c r="K1052" t="s">
        <v>950</v>
      </c>
      <c r="L1052">
        <v>3.4163000000000001</v>
      </c>
      <c r="M1052">
        <f t="shared" si="32"/>
        <v>3.5774999999999997</v>
      </c>
      <c r="N1052">
        <f t="shared" si="33"/>
        <v>-0.16119999999999957</v>
      </c>
    </row>
    <row r="1053" spans="11:14" x14ac:dyDescent="0.3">
      <c r="K1053" t="s">
        <v>951</v>
      </c>
      <c r="L1053">
        <v>3.4799000000000002</v>
      </c>
      <c r="M1053">
        <f t="shared" si="32"/>
        <v>3.5774999999999997</v>
      </c>
      <c r="N1053">
        <f t="shared" si="33"/>
        <v>-9.7599999999999465E-2</v>
      </c>
    </row>
    <row r="1054" spans="11:14" x14ac:dyDescent="0.3">
      <c r="K1054" t="s">
        <v>952</v>
      </c>
      <c r="L1054">
        <v>3.4799000000000002</v>
      </c>
      <c r="M1054">
        <f t="shared" si="32"/>
        <v>3.5774999999999997</v>
      </c>
      <c r="N1054">
        <f t="shared" si="33"/>
        <v>-9.7599999999999465E-2</v>
      </c>
    </row>
    <row r="1055" spans="11:14" x14ac:dyDescent="0.3">
      <c r="K1055" t="s">
        <v>953</v>
      </c>
      <c r="L1055">
        <v>4.1806999999999999</v>
      </c>
      <c r="M1055">
        <f t="shared" si="32"/>
        <v>3.5774999999999997</v>
      </c>
      <c r="N1055">
        <f t="shared" si="33"/>
        <v>0.60320000000000018</v>
      </c>
    </row>
    <row r="1056" spans="11:14" x14ac:dyDescent="0.3">
      <c r="K1056" t="s">
        <v>954</v>
      </c>
      <c r="L1056">
        <v>27.903400000000001</v>
      </c>
      <c r="M1056" t="e">
        <f t="shared" si="32"/>
        <v>#N/A</v>
      </c>
      <c r="N1056" t="e">
        <f t="shared" si="33"/>
        <v>#N/A</v>
      </c>
    </row>
    <row r="1057" spans="11:14" x14ac:dyDescent="0.3">
      <c r="K1057" t="s">
        <v>955</v>
      </c>
      <c r="L1057">
        <v>29.1571</v>
      </c>
      <c r="M1057" t="e">
        <f t="shared" si="32"/>
        <v>#N/A</v>
      </c>
      <c r="N1057" t="e">
        <f t="shared" si="33"/>
        <v>#N/A</v>
      </c>
    </row>
    <row r="1058" spans="11:14" x14ac:dyDescent="0.3">
      <c r="K1058" t="s">
        <v>956</v>
      </c>
      <c r="L1058">
        <v>4.9261999999999997</v>
      </c>
      <c r="M1058" t="e">
        <f t="shared" si="32"/>
        <v>#N/A</v>
      </c>
      <c r="N1058" t="e">
        <f t="shared" si="33"/>
        <v>#N/A</v>
      </c>
    </row>
    <row r="1059" spans="11:14" x14ac:dyDescent="0.3">
      <c r="K1059" t="s">
        <v>957</v>
      </c>
      <c r="L1059">
        <v>10.032</v>
      </c>
      <c r="M1059" t="e">
        <f t="shared" si="32"/>
        <v>#N/A</v>
      </c>
      <c r="N1059" t="e">
        <f t="shared" si="33"/>
        <v>#N/A</v>
      </c>
    </row>
    <row r="1060" spans="11:14" x14ac:dyDescent="0.3">
      <c r="K1060" t="s">
        <v>958</v>
      </c>
      <c r="L1060">
        <v>10.659000000000001</v>
      </c>
      <c r="M1060" t="e">
        <f t="shared" si="32"/>
        <v>#N/A</v>
      </c>
      <c r="N1060" t="e">
        <f t="shared" si="33"/>
        <v>#N/A</v>
      </c>
    </row>
    <row r="1061" spans="11:14" x14ac:dyDescent="0.3">
      <c r="K1061" t="s">
        <v>959</v>
      </c>
      <c r="L1061">
        <v>6.2244999999999999</v>
      </c>
      <c r="M1061" t="e">
        <f t="shared" si="32"/>
        <v>#N/A</v>
      </c>
      <c r="N1061" t="e">
        <f t="shared" si="33"/>
        <v>#N/A</v>
      </c>
    </row>
    <row r="1062" spans="11:14" x14ac:dyDescent="0.3">
      <c r="K1062" t="s">
        <v>960</v>
      </c>
      <c r="L1062">
        <v>8.5690000000000008</v>
      </c>
      <c r="M1062" t="e">
        <f t="shared" si="32"/>
        <v>#N/A</v>
      </c>
      <c r="N1062" t="e">
        <f t="shared" si="33"/>
        <v>#N/A</v>
      </c>
    </row>
    <row r="1063" spans="11:14" x14ac:dyDescent="0.3">
      <c r="K1063" t="s">
        <v>960</v>
      </c>
      <c r="L1063">
        <v>8.5690000000000008</v>
      </c>
      <c r="M1063" t="e">
        <f t="shared" si="32"/>
        <v>#N/A</v>
      </c>
      <c r="N1063" t="e">
        <f t="shared" si="33"/>
        <v>#N/A</v>
      </c>
    </row>
    <row r="1064" spans="11:14" x14ac:dyDescent="0.3">
      <c r="K1064" t="s">
        <v>961</v>
      </c>
      <c r="L1064">
        <v>16.125699999999998</v>
      </c>
      <c r="M1064" t="e">
        <f t="shared" si="32"/>
        <v>#N/A</v>
      </c>
      <c r="N1064" t="e">
        <f t="shared" si="33"/>
        <v>#N/A</v>
      </c>
    </row>
    <row r="1065" spans="11:14" x14ac:dyDescent="0.3">
      <c r="K1065" t="s">
        <v>962</v>
      </c>
      <c r="L1065">
        <v>16.825299999999999</v>
      </c>
      <c r="M1065" t="e">
        <f t="shared" si="32"/>
        <v>#N/A</v>
      </c>
      <c r="N1065" t="e">
        <f t="shared" si="33"/>
        <v>#N/A</v>
      </c>
    </row>
    <row r="1066" spans="11:14" x14ac:dyDescent="0.3">
      <c r="K1066" t="s">
        <v>963</v>
      </c>
      <c r="L1066">
        <v>45.427399999999999</v>
      </c>
      <c r="M1066" t="e">
        <f t="shared" si="32"/>
        <v>#N/A</v>
      </c>
      <c r="N1066" t="e">
        <f t="shared" si="33"/>
        <v>#N/A</v>
      </c>
    </row>
    <row r="1067" spans="11:14" x14ac:dyDescent="0.3">
      <c r="K1067" t="s">
        <v>964</v>
      </c>
      <c r="L1067">
        <v>28.120200000000001</v>
      </c>
      <c r="M1067" t="e">
        <f t="shared" si="32"/>
        <v>#N/A</v>
      </c>
      <c r="N1067" t="e">
        <f t="shared" si="33"/>
        <v>#N/A</v>
      </c>
    </row>
    <row r="1068" spans="11:14" x14ac:dyDescent="0.3">
      <c r="K1068" t="s">
        <v>965</v>
      </c>
      <c r="L1068">
        <v>44.728200000000001</v>
      </c>
      <c r="M1068" t="e">
        <f t="shared" si="32"/>
        <v>#N/A</v>
      </c>
      <c r="N1068" t="e">
        <f t="shared" si="33"/>
        <v>#N/A</v>
      </c>
    </row>
    <row r="1069" spans="11:14" x14ac:dyDescent="0.3">
      <c r="K1069" t="s">
        <v>966</v>
      </c>
      <c r="L1069">
        <v>12.513999999999999</v>
      </c>
      <c r="M1069" t="e">
        <f t="shared" si="32"/>
        <v>#N/A</v>
      </c>
      <c r="N1069" t="e">
        <f t="shared" si="33"/>
        <v>#N/A</v>
      </c>
    </row>
    <row r="1070" spans="11:14" x14ac:dyDescent="0.3">
      <c r="K1070" t="s">
        <v>967</v>
      </c>
      <c r="L1070">
        <v>12.6517</v>
      </c>
      <c r="M1070" t="e">
        <f t="shared" si="32"/>
        <v>#N/A</v>
      </c>
      <c r="N1070" t="e">
        <f t="shared" si="33"/>
        <v>#N/A</v>
      </c>
    </row>
    <row r="1071" spans="11:14" x14ac:dyDescent="0.3">
      <c r="K1071" t="s">
        <v>967</v>
      </c>
      <c r="L1071">
        <v>12.6517</v>
      </c>
      <c r="M1071" t="e">
        <f t="shared" si="32"/>
        <v>#N/A</v>
      </c>
      <c r="N1071" t="e">
        <f t="shared" si="33"/>
        <v>#N/A</v>
      </c>
    </row>
    <row r="1072" spans="11:14" x14ac:dyDescent="0.3">
      <c r="K1072" t="s">
        <v>968</v>
      </c>
      <c r="L1072">
        <v>17.730399999999999</v>
      </c>
      <c r="M1072" t="e">
        <f t="shared" si="32"/>
        <v>#N/A</v>
      </c>
      <c r="N1072" t="e">
        <f t="shared" si="33"/>
        <v>#N/A</v>
      </c>
    </row>
    <row r="1073" spans="11:14" x14ac:dyDescent="0.3">
      <c r="K1073" t="s">
        <v>969</v>
      </c>
      <c r="L1073">
        <v>5.8112000000000004</v>
      </c>
      <c r="M1073" t="e">
        <f t="shared" si="32"/>
        <v>#N/A</v>
      </c>
      <c r="N1073" t="e">
        <f t="shared" si="33"/>
        <v>#N/A</v>
      </c>
    </row>
    <row r="1074" spans="11:14" x14ac:dyDescent="0.3">
      <c r="K1074" t="s">
        <v>970</v>
      </c>
      <c r="L1074">
        <v>9.2308000000000003</v>
      </c>
      <c r="M1074" t="e">
        <f t="shared" si="32"/>
        <v>#N/A</v>
      </c>
      <c r="N1074" t="e">
        <f t="shared" si="33"/>
        <v>#N/A</v>
      </c>
    </row>
    <row r="1075" spans="11:14" x14ac:dyDescent="0.3">
      <c r="K1075" t="s">
        <v>971</v>
      </c>
      <c r="L1075">
        <v>9.4540000000000006</v>
      </c>
      <c r="M1075" t="e">
        <f t="shared" si="32"/>
        <v>#N/A</v>
      </c>
      <c r="N1075" t="e">
        <f t="shared" si="33"/>
        <v>#N/A</v>
      </c>
    </row>
    <row r="1076" spans="11:14" x14ac:dyDescent="0.3">
      <c r="K1076" t="s">
        <v>972</v>
      </c>
      <c r="L1076">
        <v>12.6517</v>
      </c>
      <c r="M1076" t="e">
        <f t="shared" si="32"/>
        <v>#N/A</v>
      </c>
      <c r="N1076" t="e">
        <f t="shared" si="33"/>
        <v>#N/A</v>
      </c>
    </row>
    <row r="1077" spans="11:14" x14ac:dyDescent="0.3">
      <c r="K1077" t="s">
        <v>972</v>
      </c>
      <c r="L1077">
        <v>12.6517</v>
      </c>
      <c r="M1077" t="e">
        <f t="shared" si="32"/>
        <v>#N/A</v>
      </c>
      <c r="N1077" t="e">
        <f t="shared" si="33"/>
        <v>#N/A</v>
      </c>
    </row>
    <row r="1078" spans="11:14" x14ac:dyDescent="0.3">
      <c r="K1078" t="s">
        <v>973</v>
      </c>
      <c r="L1078">
        <v>9.4540000000000006</v>
      </c>
      <c r="M1078" t="e">
        <f t="shared" si="32"/>
        <v>#N/A</v>
      </c>
      <c r="N1078" t="e">
        <f t="shared" si="33"/>
        <v>#N/A</v>
      </c>
    </row>
    <row r="1079" spans="11:14" x14ac:dyDescent="0.3">
      <c r="K1079" t="s">
        <v>974</v>
      </c>
      <c r="L1079">
        <v>12.6517</v>
      </c>
      <c r="M1079" t="e">
        <f t="shared" si="32"/>
        <v>#N/A</v>
      </c>
      <c r="N1079" t="e">
        <f t="shared" si="33"/>
        <v>#N/A</v>
      </c>
    </row>
    <row r="1080" spans="11:14" x14ac:dyDescent="0.3">
      <c r="K1080" t="s">
        <v>975</v>
      </c>
      <c r="L1080">
        <v>17.730399999999999</v>
      </c>
      <c r="M1080" t="e">
        <f t="shared" si="32"/>
        <v>#N/A</v>
      </c>
      <c r="N1080" t="e">
        <f t="shared" si="33"/>
        <v>#N/A</v>
      </c>
    </row>
    <row r="1081" spans="11:14" x14ac:dyDescent="0.3">
      <c r="K1081" t="s">
        <v>976</v>
      </c>
      <c r="L1081">
        <v>17.997900000000001</v>
      </c>
      <c r="M1081" t="e">
        <f t="shared" si="32"/>
        <v>#N/A</v>
      </c>
      <c r="N1081" t="e">
        <f t="shared" si="33"/>
        <v>#N/A</v>
      </c>
    </row>
    <row r="1082" spans="11:14" x14ac:dyDescent="0.3">
      <c r="K1082" t="s">
        <v>977</v>
      </c>
      <c r="L1082">
        <v>20.492899999999999</v>
      </c>
      <c r="M1082" t="e">
        <f t="shared" si="32"/>
        <v>#N/A</v>
      </c>
      <c r="N1082" t="e">
        <f t="shared" si="33"/>
        <v>#N/A</v>
      </c>
    </row>
    <row r="1083" spans="11:14" x14ac:dyDescent="0.3">
      <c r="K1083" t="s">
        <v>978</v>
      </c>
      <c r="L1083">
        <v>13.2959</v>
      </c>
      <c r="M1083" t="e">
        <f t="shared" si="32"/>
        <v>#N/A</v>
      </c>
      <c r="N1083" t="e">
        <f t="shared" si="33"/>
        <v>#N/A</v>
      </c>
    </row>
    <row r="1084" spans="11:14" x14ac:dyDescent="0.3">
      <c r="K1084" t="s">
        <v>979</v>
      </c>
      <c r="L1084">
        <v>57.910699999999999</v>
      </c>
      <c r="M1084" t="e">
        <f t="shared" si="32"/>
        <v>#N/A</v>
      </c>
      <c r="N1084" t="e">
        <f t="shared" si="33"/>
        <v>#N/A</v>
      </c>
    </row>
    <row r="1085" spans="11:14" x14ac:dyDescent="0.3">
      <c r="K1085" t="s">
        <v>980</v>
      </c>
      <c r="L1085">
        <v>46.463299999999997</v>
      </c>
      <c r="M1085" t="e">
        <f t="shared" si="32"/>
        <v>#N/A</v>
      </c>
      <c r="N1085" t="e">
        <f t="shared" si="33"/>
        <v>#N/A</v>
      </c>
    </row>
    <row r="1086" spans="11:14" x14ac:dyDescent="0.3">
      <c r="K1086" t="s">
        <v>981</v>
      </c>
      <c r="L1086">
        <v>3.1349999999999998</v>
      </c>
      <c r="M1086" t="e">
        <f t="shared" si="32"/>
        <v>#N/A</v>
      </c>
      <c r="N1086" t="e">
        <f t="shared" si="33"/>
        <v>#N/A</v>
      </c>
    </row>
    <row r="1087" spans="11:14" x14ac:dyDescent="0.3">
      <c r="K1087" t="s">
        <v>982</v>
      </c>
      <c r="L1087">
        <v>3.1349999999999998</v>
      </c>
      <c r="M1087" t="e">
        <f t="shared" si="32"/>
        <v>#N/A</v>
      </c>
      <c r="N1087" t="e">
        <f t="shared" si="33"/>
        <v>#N/A</v>
      </c>
    </row>
    <row r="1088" spans="11:14" x14ac:dyDescent="0.3">
      <c r="K1088" t="s">
        <v>983</v>
      </c>
      <c r="L1088">
        <v>17.425999999999998</v>
      </c>
      <c r="M1088" t="e">
        <f t="shared" si="32"/>
        <v>#N/A</v>
      </c>
      <c r="N1088" t="e">
        <f t="shared" si="33"/>
        <v>#N/A</v>
      </c>
    </row>
    <row r="1089" spans="11:14" x14ac:dyDescent="0.3">
      <c r="K1089" t="s">
        <v>984</v>
      </c>
      <c r="L1089">
        <v>3.1349999999999998</v>
      </c>
      <c r="M1089" t="e">
        <f t="shared" si="32"/>
        <v>#N/A</v>
      </c>
      <c r="N1089" t="e">
        <f t="shared" si="33"/>
        <v>#N/A</v>
      </c>
    </row>
    <row r="1090" spans="11:14" x14ac:dyDescent="0.3">
      <c r="K1090" t="s">
        <v>984</v>
      </c>
      <c r="L1090">
        <v>3.1349999999999998</v>
      </c>
      <c r="M1090" t="e">
        <f t="shared" si="32"/>
        <v>#N/A</v>
      </c>
      <c r="N1090" t="e">
        <f t="shared" si="33"/>
        <v>#N/A</v>
      </c>
    </row>
    <row r="1091" spans="11:14" x14ac:dyDescent="0.3">
      <c r="K1091" t="s">
        <v>984</v>
      </c>
      <c r="L1091">
        <v>3.1349999999999998</v>
      </c>
      <c r="M1091" t="e">
        <f t="shared" ref="M1091:M1118" si="34">_xlfn.XLOOKUP(K1091,A:A,B:B)</f>
        <v>#N/A</v>
      </c>
      <c r="N1091" t="e">
        <f t="shared" ref="N1091:N1118" si="35">L1091-M1091</f>
        <v>#N/A</v>
      </c>
    </row>
    <row r="1092" spans="11:14" x14ac:dyDescent="0.3">
      <c r="K1092" t="s">
        <v>984</v>
      </c>
      <c r="L1092">
        <v>3.1349999999999998</v>
      </c>
      <c r="M1092" t="e">
        <f t="shared" si="34"/>
        <v>#N/A</v>
      </c>
      <c r="N1092" t="e">
        <f t="shared" si="35"/>
        <v>#N/A</v>
      </c>
    </row>
    <row r="1093" spans="11:14" x14ac:dyDescent="0.3">
      <c r="K1093" t="s">
        <v>985</v>
      </c>
      <c r="L1093">
        <v>3.1349999999999998</v>
      </c>
      <c r="M1093" t="e">
        <f t="shared" si="34"/>
        <v>#N/A</v>
      </c>
      <c r="N1093" t="e">
        <f t="shared" si="35"/>
        <v>#N/A</v>
      </c>
    </row>
    <row r="1094" spans="11:14" x14ac:dyDescent="0.3">
      <c r="K1094" t="s">
        <v>985</v>
      </c>
      <c r="L1094">
        <v>3.1349999999999998</v>
      </c>
      <c r="M1094" t="e">
        <f t="shared" si="34"/>
        <v>#N/A</v>
      </c>
      <c r="N1094" t="e">
        <f t="shared" si="35"/>
        <v>#N/A</v>
      </c>
    </row>
    <row r="1095" spans="11:14" x14ac:dyDescent="0.3">
      <c r="K1095" t="s">
        <v>985</v>
      </c>
      <c r="L1095">
        <v>3.1349999999999998</v>
      </c>
      <c r="M1095" t="e">
        <f t="shared" si="34"/>
        <v>#N/A</v>
      </c>
      <c r="N1095" t="e">
        <f t="shared" si="35"/>
        <v>#N/A</v>
      </c>
    </row>
    <row r="1096" spans="11:14" x14ac:dyDescent="0.3">
      <c r="K1096" t="s">
        <v>986</v>
      </c>
      <c r="L1096">
        <v>3.1349999999999998</v>
      </c>
      <c r="M1096" t="e">
        <f t="shared" si="34"/>
        <v>#N/A</v>
      </c>
      <c r="N1096" t="e">
        <f t="shared" si="35"/>
        <v>#N/A</v>
      </c>
    </row>
    <row r="1097" spans="11:14" x14ac:dyDescent="0.3">
      <c r="K1097" t="s">
        <v>987</v>
      </c>
      <c r="L1097">
        <v>5.2249999999999996</v>
      </c>
      <c r="M1097" t="e">
        <f t="shared" si="34"/>
        <v>#N/A</v>
      </c>
      <c r="N1097" t="e">
        <f t="shared" si="35"/>
        <v>#N/A</v>
      </c>
    </row>
    <row r="1098" spans="11:14" x14ac:dyDescent="0.3">
      <c r="K1098" t="s">
        <v>987</v>
      </c>
      <c r="L1098">
        <v>5.2249999999999996</v>
      </c>
      <c r="M1098" t="e">
        <f t="shared" si="34"/>
        <v>#N/A</v>
      </c>
      <c r="N1098" t="e">
        <f t="shared" si="35"/>
        <v>#N/A</v>
      </c>
    </row>
    <row r="1099" spans="11:14" x14ac:dyDescent="0.3">
      <c r="K1099" t="s">
        <v>988</v>
      </c>
      <c r="L1099">
        <v>3.3778000000000001</v>
      </c>
      <c r="M1099" t="e">
        <f t="shared" si="34"/>
        <v>#N/A</v>
      </c>
      <c r="N1099" t="e">
        <f t="shared" si="35"/>
        <v>#N/A</v>
      </c>
    </row>
    <row r="1100" spans="11:14" x14ac:dyDescent="0.3">
      <c r="K1100" t="s">
        <v>989</v>
      </c>
      <c r="L1100">
        <v>5.2249999999999996</v>
      </c>
      <c r="M1100" t="e">
        <f t="shared" si="34"/>
        <v>#N/A</v>
      </c>
      <c r="N1100" t="e">
        <f t="shared" si="35"/>
        <v>#N/A</v>
      </c>
    </row>
    <row r="1101" spans="11:14" x14ac:dyDescent="0.3">
      <c r="K1101" t="s">
        <v>989</v>
      </c>
      <c r="L1101">
        <v>5.2249999999999996</v>
      </c>
      <c r="M1101" t="e">
        <f t="shared" si="34"/>
        <v>#N/A</v>
      </c>
      <c r="N1101" t="e">
        <f t="shared" si="35"/>
        <v>#N/A</v>
      </c>
    </row>
    <row r="1102" spans="11:14" x14ac:dyDescent="0.3">
      <c r="K1102" t="s">
        <v>990</v>
      </c>
      <c r="L1102">
        <v>3.3778000000000001</v>
      </c>
      <c r="M1102" t="e">
        <f t="shared" si="34"/>
        <v>#N/A</v>
      </c>
      <c r="N1102" t="e">
        <f t="shared" si="35"/>
        <v>#N/A</v>
      </c>
    </row>
    <row r="1103" spans="11:14" x14ac:dyDescent="0.3">
      <c r="K1103" t="s">
        <v>991</v>
      </c>
      <c r="L1103">
        <v>17.018899999999999</v>
      </c>
      <c r="M1103" t="e">
        <f t="shared" si="34"/>
        <v>#N/A</v>
      </c>
      <c r="N1103" t="e">
        <f t="shared" si="35"/>
        <v>#N/A</v>
      </c>
    </row>
    <row r="1104" spans="11:14" x14ac:dyDescent="0.3">
      <c r="K1104" t="s">
        <v>991</v>
      </c>
      <c r="L1104">
        <v>17.018899999999999</v>
      </c>
      <c r="M1104" t="e">
        <f t="shared" si="34"/>
        <v>#N/A</v>
      </c>
      <c r="N1104" t="e">
        <f t="shared" si="35"/>
        <v>#N/A</v>
      </c>
    </row>
    <row r="1105" spans="11:14" x14ac:dyDescent="0.3">
      <c r="K1105" t="s">
        <v>991</v>
      </c>
      <c r="L1105">
        <v>17.018899999999999</v>
      </c>
      <c r="M1105" t="e">
        <f t="shared" si="34"/>
        <v>#N/A</v>
      </c>
      <c r="N1105" t="e">
        <f t="shared" si="35"/>
        <v>#N/A</v>
      </c>
    </row>
    <row r="1106" spans="11:14" x14ac:dyDescent="0.3">
      <c r="K1106" t="s">
        <v>992</v>
      </c>
      <c r="L1106">
        <v>8.2591000000000001</v>
      </c>
      <c r="M1106" t="e">
        <f t="shared" si="34"/>
        <v>#N/A</v>
      </c>
      <c r="N1106" t="e">
        <f t="shared" si="35"/>
        <v>#N/A</v>
      </c>
    </row>
    <row r="1107" spans="11:14" x14ac:dyDescent="0.3">
      <c r="K1107" t="s">
        <v>993</v>
      </c>
      <c r="L1107">
        <v>10.1762</v>
      </c>
      <c r="M1107" t="e">
        <f t="shared" si="34"/>
        <v>#N/A</v>
      </c>
      <c r="N1107" t="e">
        <f t="shared" si="35"/>
        <v>#N/A</v>
      </c>
    </row>
    <row r="1108" spans="11:14" x14ac:dyDescent="0.3">
      <c r="K1108" t="s">
        <v>994</v>
      </c>
      <c r="L1108">
        <v>22.046900000000001</v>
      </c>
      <c r="M1108" t="e">
        <f t="shared" si="34"/>
        <v>#N/A</v>
      </c>
      <c r="N1108" t="e">
        <f t="shared" si="35"/>
        <v>#N/A</v>
      </c>
    </row>
    <row r="1109" spans="11:14" x14ac:dyDescent="0.3">
      <c r="K1109" t="s">
        <v>994</v>
      </c>
      <c r="L1109">
        <v>22.046900000000001</v>
      </c>
      <c r="M1109" t="e">
        <f t="shared" si="34"/>
        <v>#N/A</v>
      </c>
      <c r="N1109" t="e">
        <f t="shared" si="35"/>
        <v>#N/A</v>
      </c>
    </row>
    <row r="1110" spans="11:14" x14ac:dyDescent="0.3">
      <c r="K1110" t="s">
        <v>995</v>
      </c>
      <c r="L1110">
        <v>25.55</v>
      </c>
      <c r="M1110" t="e">
        <f t="shared" si="34"/>
        <v>#N/A</v>
      </c>
      <c r="N1110" t="e">
        <f t="shared" si="35"/>
        <v>#N/A</v>
      </c>
    </row>
    <row r="1111" spans="11:14" x14ac:dyDescent="0.3">
      <c r="K1111" t="s">
        <v>996</v>
      </c>
      <c r="L1111">
        <v>14.332700000000001</v>
      </c>
      <c r="M1111" t="e">
        <f t="shared" si="34"/>
        <v>#N/A</v>
      </c>
      <c r="N1111" t="e">
        <f t="shared" si="35"/>
        <v>#N/A</v>
      </c>
    </row>
    <row r="1112" spans="11:14" x14ac:dyDescent="0.3">
      <c r="K1112" t="s">
        <v>997</v>
      </c>
      <c r="L1112">
        <v>15.463200000000001</v>
      </c>
      <c r="M1112" t="e">
        <f t="shared" si="34"/>
        <v>#N/A</v>
      </c>
      <c r="N1112" t="e">
        <f t="shared" si="35"/>
        <v>#N/A</v>
      </c>
    </row>
    <row r="1113" spans="11:14" x14ac:dyDescent="0.3">
      <c r="K1113" t="s">
        <v>998</v>
      </c>
      <c r="L1113">
        <v>16.593699999999998</v>
      </c>
      <c r="M1113" t="e">
        <f t="shared" si="34"/>
        <v>#N/A</v>
      </c>
      <c r="N1113" t="e">
        <f t="shared" si="35"/>
        <v>#N/A</v>
      </c>
    </row>
    <row r="1114" spans="11:14" x14ac:dyDescent="0.3">
      <c r="K1114" t="s">
        <v>999</v>
      </c>
      <c r="L1114">
        <v>18.854700000000001</v>
      </c>
      <c r="M1114" t="e">
        <f t="shared" si="34"/>
        <v>#N/A</v>
      </c>
      <c r="N1114" t="e">
        <f t="shared" si="35"/>
        <v>#N/A</v>
      </c>
    </row>
    <row r="1115" spans="11:14" x14ac:dyDescent="0.3">
      <c r="K1115" t="s">
        <v>1000</v>
      </c>
      <c r="L1115">
        <v>22.246200000000002</v>
      </c>
      <c r="M1115" t="e">
        <f t="shared" si="34"/>
        <v>#N/A</v>
      </c>
      <c r="N1115" t="e">
        <f t="shared" si="35"/>
        <v>#N/A</v>
      </c>
    </row>
    <row r="1116" spans="11:14" x14ac:dyDescent="0.3">
      <c r="K1116" t="s">
        <v>1001</v>
      </c>
      <c r="L1116">
        <v>19.675799999999999</v>
      </c>
      <c r="M1116" t="e">
        <f t="shared" si="34"/>
        <v>#N/A</v>
      </c>
      <c r="N1116" t="e">
        <f t="shared" si="35"/>
        <v>#N/A</v>
      </c>
    </row>
    <row r="1117" spans="11:14" x14ac:dyDescent="0.3">
      <c r="K1117" t="s">
        <v>1002</v>
      </c>
      <c r="L1117">
        <v>42.25</v>
      </c>
      <c r="M1117" t="e">
        <f t="shared" si="34"/>
        <v>#N/A</v>
      </c>
      <c r="N1117" t="e">
        <f t="shared" si="35"/>
        <v>#N/A</v>
      </c>
    </row>
    <row r="1118" spans="11:14" x14ac:dyDescent="0.3">
      <c r="K1118" t="s">
        <v>1003</v>
      </c>
      <c r="L1118">
        <v>175.50559999999999</v>
      </c>
      <c r="M1118" t="e">
        <f t="shared" si="34"/>
        <v>#N/A</v>
      </c>
      <c r="N1118" t="e">
        <f t="shared" si="35"/>
        <v>#N/A</v>
      </c>
    </row>
  </sheetData>
  <autoFilter ref="K1:N1118" xr:uid="{E416D707-EE38-48D3-B591-428324B9DCED}"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L16" sqref="L16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10</v>
      </c>
      <c r="B12" t="s">
        <v>1034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247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11</v>
      </c>
      <c r="B14" t="s">
        <v>282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66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67</v>
      </c>
      <c r="B16" t="s">
        <v>248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68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 x14ac:dyDescent="0.3">
      <c r="A18" s="2" t="s">
        <v>70</v>
      </c>
      <c r="B18" t="s">
        <v>247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 x14ac:dyDescent="0.3">
      <c r="A19" s="2" t="s">
        <v>69</v>
      </c>
      <c r="B19" t="s">
        <v>247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工作表1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2024-05-14T09:07:47Z</dcterms:modified>
</cp:coreProperties>
</file>